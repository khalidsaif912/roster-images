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0" documentId="8_{F961F770-D790-4F7A-A41F-839439FD2979}" xr6:coauthVersionLast="47" xr6:coauthVersionMax="47" xr10:uidLastSave="{00000000-0000-0000-0000-000000000000}"/>
  <bookViews>
    <workbookView xWindow="-120" yWindow="-120" windowWidth="29040" windowHeight="17520" firstSheet="3" activeTab="6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s="1"/>
  <c r="AJ28" i="10" l="1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G9" authorId="0" shapeId="0" xr:uid="{D5F4E0E3-1958-4285-ACF1-C1844798C7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11" authorId="0" shapeId="0" xr:uid="{5FC59585-3468-4B3B-920D-5BA9CF1BD9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12" authorId="0" shapeId="0" xr:uid="{3AF007AA-F33F-4547-97B5-93C2508689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4" authorId="0" shapeId="0" xr:uid="{497A5911-2B65-4378-8E85-67021E91F8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CE2A75B4-E2F2-496F-BAD4-FF655EB218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S15" authorId="0" shapeId="0" xr:uid="{410BE61A-2E21-48D1-8577-5A3EC1FB1B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16" authorId="0" shapeId="0" xr:uid="{40B645C6-93AF-44ED-B94C-14F0D276FC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AE8A9B58-0D13-4310-9A72-5A1C9807B52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24" authorId="0" shapeId="0" xr:uid="{B773D078-8200-404C-B6A5-6620719822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F6F9F1BC-1316-465B-BA4F-1CA35A41D1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26" authorId="0" shapeId="0" xr:uid="{EE4CBD7E-6E74-4C7B-9D50-AFB49E98E1E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AA943B2C-F1C3-428C-A3EA-053DA36E87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75A1431A-A1CA-43B4-9C5E-C80E6881A3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40" authorId="0" shapeId="0" xr:uid="{590C3E71-6062-4EB2-93AF-C7C9C626CA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42" authorId="0" shapeId="0" xr:uid="{2AA0252A-B0FD-46EC-B3D5-F7128B4B67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D01BE421-402F-45E7-8CDD-BE8ADA926E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CD54468A-7397-468E-B2D8-59BCED47D2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68A84822-D2E0-4B3A-816A-E76C7C5B4C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9A244F2D-CFEA-4B7D-8E16-06E1972079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49" authorId="0" shapeId="0" xr:uid="{8333A8B0-F23F-4317-994B-7E921E18D5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8C6D5547-05F6-4DB7-80FF-332A0C0F9C6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49" authorId="0" shapeId="0" xr:uid="{AC64701A-2492-4869-80DE-914D4832E1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54" authorId="0" shapeId="0" xr:uid="{DF11A319-ABF0-4383-BE63-03D4A1626D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EF244E3E-B4F5-4AA6-9AFF-58F5D3EAEB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94438057-6501-4F0B-B2D6-E22FEA7D09B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6" authorId="0" shapeId="0" xr:uid="{F55CD555-3E30-49F8-A967-0044D87CE2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6" authorId="0" shapeId="0" xr:uid="{7580CBE3-E651-4893-B0C7-5B652C55D7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661A6D42-B009-4481-A8E0-4566738FE0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57" authorId="0" shapeId="0" xr:uid="{F69B60A3-1D83-4B9B-B506-293B5D53FB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7856FEBC-E41B-479E-99F6-93226F9879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A1911C91-44CA-4164-97DC-16AAEDFFC8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71" authorId="0" shapeId="0" xr:uid="{250BE8DB-D7ED-4DCB-8B26-64EEDB60DD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2" authorId="0" shapeId="0" xr:uid="{D7047CDA-D455-4EB9-B7F3-09F1110072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3" authorId="0" shapeId="0" xr:uid="{AD8C231E-D22D-4C56-9419-91FC4FCEA0D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76" authorId="0" shapeId="0" xr:uid="{32ED3EF2-8979-498E-A05D-E083EBAAB7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80" authorId="0" shapeId="0" xr:uid="{103ACE94-B943-4018-B407-3CD7B0D73D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84" authorId="0" shapeId="0" xr:uid="{2E729F33-00CC-449D-9C27-17AD001DDAB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<sst xmlns="http://schemas.openxmlformats.org/spreadsheetml/2006/main" count="7808" uniqueCount="272">
  <si>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</si>
  <si>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</si>
  <si>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</si>
  <si>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</si>
  <si>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</si>
  <si>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</si>
  <si>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</si>
  <si>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</si>
  <si>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</si>
  <si>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</si>
  <si>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</si>
  <si>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</si>
  <si>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</si>
  <si>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</si>
  <si>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</si>
  <si>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</si>
  <si>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</si>
  <si>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</si>
  <si>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</si>
  <si>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</si>
  <si>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</si>
  <si>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</si>
  <si>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</si>
  <si>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</si>
  <si>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</si>
  <si>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</si>
  <si>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</si>
  <si>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</si>
  <si>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</si>
  <si>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</si>
  <si>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</si>
  <si>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</si>
  <si>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</si>
  <si>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</si>
  <si>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</si>
  <si>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</si>
  <si>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</si>
  <si>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</si>
  <si>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</si>
  <si>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</si>
  <si>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</si>
  <si>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</si>
  <si>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</si>
  <si>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</si>
  <si>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</si>
  <si>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</si>
  <si>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</si>
  <si>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</si>
  <si>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</si>
  <si>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</si>
  <si>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</si>
  <si>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</si>
  <si>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</si>
  <si>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</si>
  <si>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</si>
  <si>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</si>
  <si>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</si>
  <si>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</si>
  <si>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</si>
  <si>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</si>
  <si>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</si>
  <si>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</si>
  <si>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</si>
  <si>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</si>
  <si>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</si>
  <si>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</si>
  <si>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</si>
  <si>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</si>
  <si>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</si>
  <si>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</si>
  <si>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</si>
  <si>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</si>
  <si>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</si>
  <si>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</si>
  <si>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</si>
  <si>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</si>
  <si>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</si>
  <si>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</si>
  <si>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</si>
  <si>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</si>
  <si>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</si>
  <si>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</si>
  <si>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</si>
  <si>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</si>
  <si>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</si>
  <si>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</si>
  <si>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</si>
  <si>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</si>
  <si>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</si>
  <si>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</si>
  <si>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</si>
  <si>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</si>
  <si>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</si>
  <si>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</si>
  <si>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</si>
  <si>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</si>
  <si>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</si>
  <si>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</si>
  <si>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</si>
  <si>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</si>
  <si>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</si>
  <si>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</si>
  <si>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</si>
  <si>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</si>
  <si>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</si>
  <si>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</si>
  <si>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</si>
  <si>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</si>
  <si>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</si>
  <si>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</si>
  <si>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</si>
  <si>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</si>
  <si>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</si>
  <si>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</si>
  <si>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</si>
  <si>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</si>
  <si>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</si>
  <si>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</si>
  <si>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</si>
  <si>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</si>
  <si>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</si>
  <si>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</si>
  <si>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</si>
  <si>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</si>
  <si>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</si>
  <si>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</si>
  <si>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</si>
  <si>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</si>
  <si>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</si>
  <si>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</si>
  <si>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</si>
  <si>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</si>
  <si>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</si>
  <si>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</si>
  <si>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</si>
  <si>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</si>
  <si>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</si>
  <si>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</si>
  <si>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</si>
  <si>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</si>
  <si>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</si>
  <si>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</si>
  <si>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</si>
  <si>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</si>
  <si>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</si>
  <si>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</si>
  <si>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</si>
  <si>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</si>
  <si>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</si>
  <si>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</si>
  <si>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</si>
  <si>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</si>
  <si>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</si>
  <si>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</si>
  <si>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</si>
  <si>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</si>
  <si>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</si>
  <si>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</si>
  <si>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</si>
  <si>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</si>
  <si>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</si>
  <si>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</si>
  <si>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</si>
  <si>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</si>
  <si>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</si>
  <si>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</si>
  <si>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</si>
  <si>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</si>
  <si>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</si>
  <si>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</si>
  <si>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</si>
  <si>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</si>
  <si>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</si>
  <si>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</si>
  <si>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</si>
  <si>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</si>
  <si>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</si>
  <si>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</si>
  <si>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</si>
  <si>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</si>
  <si>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</si>
  <si>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</si>
  <si>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</si>
  <si>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</si>
  <si>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</si>
  <si>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</si>
  <si>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</si>
  <si>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</si>
  <si>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</si>
  <si>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</si>
  <si>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</si>
  <si>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</si>
  <si>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</si>
  <si>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</si>
  <si>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</si>
  <si>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</si>
  <si>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</si>
  <si>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</si>
  <si>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</si>
  <si>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</si>
  <si>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</si>
  <si>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</si>
  <si>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</si>
  <si>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</si>
  <si>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</si>
  <si>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</si>
  <si>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</si>
  <si>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</si>
  <si>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</si>
  <si>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</si>
  <si>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</si>
  <si>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</si>
  <si>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</si>
  <si>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</si>
  <si>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</si>
  <si>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</si>
  <si>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</si>
  <si>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</si>
  <si>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</si>
  <si>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</si>
  <si>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</si>
  <si>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</si>
  <si>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</si>
  <si>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</si>
  <si>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</si>
  <si>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</si>
  <si>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</si>
  <si>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</si>
  <si>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</si>
  <si>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</si>
  <si>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</si>
  <si>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</si>
  <si>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</si>
  <si>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</si>
  <si>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</si>
  <si>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</si>
  <si>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</si>
  <si>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</si>
  <si>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</si>
  <si>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</si>
  <si>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</si>
  <si>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</si>
  <si>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</si>
  <si>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</si>
  <si>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</si>
  <si>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</si>
  <si>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</si>
  <si>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</si>
  <si>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</si>
  <si>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</si>
  <si>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</si>
  <si>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</si>
  <si>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</si>
  <si>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</si>
  <si>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</si>
  <si>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</si>
  <si>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</si>
  <si>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</si>
  <si>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</si>
  <si>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</si>
  <si>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</si>
  <si>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</si>
  <si>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</si>
  <si>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</si>
  <si>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</si>
  <si>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</si>
  <si>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</si>
  <si>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</si>
  <si>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</si>
  <si>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STAN1`3</t>
  </si>
  <si>
    <t>Ahmed Al Balushi - 82415</t>
  </si>
  <si>
    <t>Ahmed Al Balushi  - 82415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</si>
</sst>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50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</row>
    <row r="2" spans="2:40" ht="28.5" x14ac:dyDescent="0.45">
      <c r="B2" s="137" t="s">
        <v>32</v>
      </c>
      <c r="C2" s="137"/>
      <c r="D2" s="10"/>
      <c r="E2" s="138" t="s">
        <v>33</v>
      </c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 t="s">
        <v>9</v>
      </c>
      <c r="X2" s="138"/>
      <c r="Y2" s="138"/>
      <c r="Z2" s="138"/>
      <c r="AA2" s="138"/>
      <c r="AB2" s="138"/>
      <c r="AC2" s="138">
        <v>2025</v>
      </c>
      <c r="AD2" s="138"/>
      <c r="AE2" s="138"/>
      <c r="AF2" s="138"/>
      <c r="AG2" s="5"/>
      <c r="AH2" s="5"/>
      <c r="AI2" s="5"/>
      <c r="AK2" s="132" t="s">
        <v>78</v>
      </c>
      <c r="AL2" s="132"/>
      <c r="AM2" s="132"/>
      <c r="AN2" s="132"/>
    </row>
    <row r="3" spans="2:40" x14ac:dyDescent="0.25">
      <c r="B3" s="137"/>
      <c r="C3" s="13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2"/>
      <c r="AL3" s="132"/>
      <c r="AM3" s="132"/>
      <c r="AN3" s="132"/>
    </row>
    <row r="4" spans="2:40" x14ac:dyDescent="0.25">
      <c r="B4" s="137"/>
      <c r="C4" s="137"/>
      <c r="D4" s="11"/>
      <c r="E4" s="133" t="s">
        <v>34</v>
      </c>
      <c r="F4" s="133"/>
      <c r="G4" s="133"/>
      <c r="H4" s="133"/>
      <c r="I4" s="133"/>
      <c r="J4" s="3">
        <v>1</v>
      </c>
      <c r="K4" s="3"/>
      <c r="L4" s="3"/>
      <c r="M4" s="135" t="s">
        <v>35</v>
      </c>
      <c r="N4" s="135"/>
      <c r="O4" s="135"/>
      <c r="P4" s="140">
        <f>IFERROR(DATEVALUE(J4&amp;W2&amp;AC2),"")</f>
        <v>45901</v>
      </c>
      <c r="Q4" s="140"/>
      <c r="R4" s="140"/>
      <c r="S4" s="3"/>
      <c r="T4" s="3"/>
      <c r="U4" s="135" t="s">
        <v>36</v>
      </c>
      <c r="V4" s="135"/>
      <c r="W4" s="135"/>
      <c r="X4" s="140">
        <f>IFERROR(EOMONTH(P4,0)+J4-1,"")</f>
        <v>45930</v>
      </c>
      <c r="Y4" s="140"/>
      <c r="Z4" s="140"/>
      <c r="AA4" s="3"/>
      <c r="AB4" s="3"/>
      <c r="AC4" s="135" t="s">
        <v>37</v>
      </c>
      <c r="AD4" s="135"/>
      <c r="AE4" s="135"/>
      <c r="AF4" s="3">
        <f>COUNTIF(E6:AI6,"*?")</f>
        <v>30</v>
      </c>
      <c r="AG4" s="3"/>
      <c r="AH4" s="3"/>
      <c r="AI4" s="3"/>
      <c r="AK4" s="132"/>
      <c r="AL4" s="132"/>
      <c r="AM4" s="132"/>
      <c r="AN4" s="13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6" t="s">
        <v>38</v>
      </c>
      <c r="C6" s="13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4" t="s">
        <v>74</v>
      </c>
      <c r="AL6" s="134" t="s">
        <v>75</v>
      </c>
      <c r="AM6" s="134" t="s">
        <v>76</v>
      </c>
      <c r="AN6" s="134" t="s">
        <v>77</v>
      </c>
    </row>
    <row r="7" spans="2:40" x14ac:dyDescent="0.25">
      <c r="B7" s="136"/>
      <c r="C7" s="13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4"/>
      <c r="AL7" s="134"/>
      <c r="AM7" s="134"/>
      <c r="AN7" s="13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3" t="s">
        <v>70</v>
      </c>
      <c r="C39" s="13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3" t="s">
        <v>71</v>
      </c>
      <c r="C40" s="13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3" t="s">
        <v>72</v>
      </c>
      <c r="C41" s="13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3" t="s">
        <v>73</v>
      </c>
      <c r="C42" s="13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49" priority="4">
      <formula>LEFT(E8,1)="N"</formula>
    </cfRule>
    <cfRule type="expression" dxfId="148" priority="5">
      <formula>LEFT(E8,1)="A"</formula>
    </cfRule>
    <cfRule type="expression" dxfId="147" priority="7">
      <formula>LEFT(E8,1)="M"</formula>
    </cfRule>
    <cfRule type="expression" dxfId="146" priority="8">
      <formula>LEFT(E8,1)="D"</formula>
    </cfRule>
  </conditionalFormatting>
  <conditionalFormatting sqref="E39:AI42 E8:AI37 AK8:AN37">
    <cfRule type="expression" dxfId="145" priority="3">
      <formula>LEFT(E8,1)="O"</formula>
    </cfRule>
  </conditionalFormatting>
  <conditionalFormatting sqref="E39:AI42">
    <cfRule type="expression" dxfId="144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topLeftCell="A35" zoomScale="60" zoomScaleNormal="60" workbookViewId="0">
      <selection activeCell="AI30" sqref="AI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126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5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8">
        <v>31</v>
      </c>
      <c r="AL4" s="146"/>
      <c r="AM4" s="146"/>
      <c r="AN4" s="146"/>
      <c r="AO4" s="146"/>
      <c r="AP4" s="146"/>
    </row>
    <row r="5" spans="2:42" ht="19.5" customHeight="1" x14ac:dyDescent="0.25">
      <c r="B5" s="37" t="s">
        <v>267</v>
      </c>
      <c r="C5" s="147" t="s">
        <v>187</v>
      </c>
      <c r="D5" s="147"/>
      <c r="F5" s="130" t="s">
        <v>258</v>
      </c>
      <c r="G5" s="130" t="s">
        <v>258</v>
      </c>
      <c r="H5" s="130" t="s">
        <v>258</v>
      </c>
      <c r="I5" s="130" t="s">
        <v>258</v>
      </c>
      <c r="J5" s="130" t="s">
        <v>258</v>
      </c>
      <c r="K5" s="130" t="s">
        <v>258</v>
      </c>
      <c r="L5" s="130" t="s">
        <v>258</v>
      </c>
      <c r="M5" s="130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7">
        <f>COUNTIF($F5:$AJ5,"ST*")</f>
        <v>0</v>
      </c>
      <c r="AM5" s="127">
        <f>COUNTIF($F5:$AJ5,"M*")</f>
        <v>15</v>
      </c>
      <c r="AN5" s="127">
        <f>COUNTIF($F5:$AJ5,"A*")</f>
        <v>0</v>
      </c>
      <c r="AO5" s="127">
        <f>COUNTIF($F5:$AJ5,"N*")</f>
        <v>0</v>
      </c>
      <c r="AP5" s="127">
        <f>COUNTIF($F5:$AJ5,"O*")</f>
        <v>8</v>
      </c>
    </row>
    <row r="6" spans="2:42" ht="19.5" customHeight="1" x14ac:dyDescent="0.25">
      <c r="B6" s="37" t="s">
        <v>267</v>
      </c>
      <c r="C6" s="147" t="s">
        <v>190</v>
      </c>
      <c r="D6" s="147"/>
      <c r="F6" s="130" t="s">
        <v>258</v>
      </c>
      <c r="G6" s="51" t="s">
        <v>257</v>
      </c>
      <c r="H6" s="51" t="s">
        <v>257</v>
      </c>
      <c r="I6" s="130" t="s">
        <v>258</v>
      </c>
      <c r="J6" s="130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7">
        <f t="shared" ref="AL6:AL8" si="0">COUNTIF($F6:$AJ6,"ST*")</f>
        <v>0</v>
      </c>
      <c r="AM6" s="127">
        <f t="shared" ref="AM6:AM8" si="1">COUNTIF($F6:$AJ6,"M*")</f>
        <v>18</v>
      </c>
      <c r="AN6" s="127">
        <f t="shared" ref="AN6:AN8" si="2">COUNTIF($F6:$AJ6,"A*")</f>
        <v>0</v>
      </c>
      <c r="AO6" s="127">
        <f t="shared" ref="AO6:AO8" si="3">COUNTIF($F6:$AJ6,"N*")</f>
        <v>0</v>
      </c>
      <c r="AP6" s="127">
        <f t="shared" ref="AP6:AP8" si="4">COUNTIF($F6:$AJ6,"O*")</f>
        <v>10</v>
      </c>
    </row>
    <row r="7" spans="2:42" ht="19.5" customHeight="1" x14ac:dyDescent="0.25">
      <c r="B7" s="37" t="s">
        <v>267</v>
      </c>
      <c r="C7" s="147" t="s">
        <v>188</v>
      </c>
      <c r="D7" s="147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7">
        <f t="shared" si="0"/>
        <v>0</v>
      </c>
      <c r="AM7" s="127">
        <f t="shared" si="1"/>
        <v>15</v>
      </c>
      <c r="AN7" s="127">
        <f t="shared" si="2"/>
        <v>7</v>
      </c>
      <c r="AO7" s="127">
        <f t="shared" si="3"/>
        <v>0</v>
      </c>
      <c r="AP7" s="127">
        <f t="shared" si="4"/>
        <v>8</v>
      </c>
    </row>
    <row r="8" spans="2:42" ht="19.5" customHeight="1" thickBot="1" x14ac:dyDescent="0.3">
      <c r="B8" s="37" t="s">
        <v>267</v>
      </c>
      <c r="C8" s="147" t="s">
        <v>189</v>
      </c>
      <c r="D8" s="147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7">
        <f t="shared" si="0"/>
        <v>0</v>
      </c>
      <c r="AM8" s="127">
        <f t="shared" si="1"/>
        <v>7</v>
      </c>
      <c r="AN8" s="127">
        <f t="shared" si="2"/>
        <v>15</v>
      </c>
      <c r="AO8" s="127">
        <f t="shared" si="3"/>
        <v>0</v>
      </c>
      <c r="AP8" s="127">
        <f t="shared" si="4"/>
        <v>8</v>
      </c>
    </row>
    <row r="9" spans="2:42" ht="18.75" x14ac:dyDescent="0.25">
      <c r="B9" s="37" t="s">
        <v>246</v>
      </c>
      <c r="C9" s="147" t="s">
        <v>178</v>
      </c>
      <c r="D9" s="147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47" t="s">
        <v>179</v>
      </c>
      <c r="D10" s="147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47" t="s">
        <v>180</v>
      </c>
      <c r="D11" s="147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47" t="s">
        <v>181</v>
      </c>
      <c r="D12" s="147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47" t="s">
        <v>182</v>
      </c>
      <c r="D13" s="147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47" t="s">
        <v>183</v>
      </c>
      <c r="D14" s="147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229</v>
      </c>
      <c r="X14" s="64" t="s">
        <v>229</v>
      </c>
      <c r="Y14" s="64" t="s">
        <v>229</v>
      </c>
      <c r="Z14" s="64" t="s">
        <v>229</v>
      </c>
      <c r="AA14" s="64" t="s">
        <v>229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19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8" t="s">
        <v>225</v>
      </c>
      <c r="D15" s="149"/>
      <c r="E15" s="97"/>
      <c r="F15" s="44" t="s">
        <v>257</v>
      </c>
      <c r="G15" s="44" t="s">
        <v>257</v>
      </c>
      <c r="H15" s="44" t="s">
        <v>257</v>
      </c>
      <c r="I15" s="105" t="s">
        <v>253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230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10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230</v>
      </c>
      <c r="AJ15" s="44" t="s">
        <v>256</v>
      </c>
      <c r="AL15" s="50">
        <f>COUNTIF($F15:$AJ15,"ST*")</f>
        <v>4</v>
      </c>
      <c r="AM15" s="50">
        <f>COUNTIF($F15:$AJ15,"M*")</f>
        <v>6</v>
      </c>
      <c r="AN15" s="50">
        <f>COUNTIF($F15:$AJ15,"A*")</f>
        <v>5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8" t="s">
        <v>214</v>
      </c>
      <c r="D16" s="149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255</v>
      </c>
      <c r="AJ16" s="56" t="s">
        <v>254</v>
      </c>
      <c r="AL16" s="50">
        <f t="shared" ref="AL16:AL29" si="10">COUNTIF($F16:$AJ16,"ST*")</f>
        <v>6</v>
      </c>
      <c r="AM16" s="50">
        <f t="shared" ref="AM16:AM29" si="11">COUNTIF($F16:$AJ16,"M*")</f>
        <v>3</v>
      </c>
      <c r="AN16" s="50">
        <f t="shared" ref="AN16:AN29" si="12">COUNTIF($F16:$AJ16,"A*")</f>
        <v>6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8" t="s">
        <v>215</v>
      </c>
      <c r="D17" s="149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230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230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6</v>
      </c>
      <c r="AM17" s="50">
        <f t="shared" si="11"/>
        <v>4</v>
      </c>
      <c r="AN17" s="50">
        <f t="shared" si="12"/>
        <v>5</v>
      </c>
      <c r="AO17" s="50">
        <f t="shared" si="13"/>
        <v>5</v>
      </c>
      <c r="AP17" s="50">
        <f t="shared" si="14"/>
        <v>11</v>
      </c>
    </row>
    <row r="18" spans="2:42" ht="18.75" x14ac:dyDescent="0.25">
      <c r="B18" s="41" t="s">
        <v>247</v>
      </c>
      <c r="C18" s="148" t="s">
        <v>216</v>
      </c>
      <c r="D18" s="149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229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6</v>
      </c>
      <c r="AN18" s="50">
        <f t="shared" si="12"/>
        <v>4</v>
      </c>
      <c r="AO18" s="50">
        <f t="shared" si="13"/>
        <v>5</v>
      </c>
      <c r="AP18" s="50">
        <f t="shared" si="14"/>
        <v>11</v>
      </c>
    </row>
    <row r="19" spans="2:42" ht="18.75" x14ac:dyDescent="0.25">
      <c r="B19" s="41" t="s">
        <v>247</v>
      </c>
      <c r="C19" s="148" t="s">
        <v>217</v>
      </c>
      <c r="D19" s="149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8" t="s">
        <v>218</v>
      </c>
      <c r="D20" s="149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229</v>
      </c>
      <c r="N20" s="51" t="s">
        <v>230</v>
      </c>
      <c r="O20" s="51" t="s">
        <v>256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255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3</v>
      </c>
      <c r="AM20" s="50">
        <f t="shared" si="11"/>
        <v>4</v>
      </c>
      <c r="AN20" s="50">
        <f t="shared" si="12"/>
        <v>4</v>
      </c>
      <c r="AO20" s="50">
        <f t="shared" si="13"/>
        <v>3</v>
      </c>
      <c r="AP20" s="50">
        <f t="shared" si="14"/>
        <v>11</v>
      </c>
    </row>
    <row r="21" spans="2:42" ht="18.75" x14ac:dyDescent="0.25">
      <c r="B21" s="41" t="s">
        <v>247</v>
      </c>
      <c r="C21" s="148" t="s">
        <v>219</v>
      </c>
      <c r="D21" s="149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253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255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257</v>
      </c>
      <c r="AH21" s="51" t="s">
        <v>257</v>
      </c>
      <c r="AI21" s="56" t="s">
        <v>229</v>
      </c>
      <c r="AJ21" s="56" t="s">
        <v>253</v>
      </c>
      <c r="AL21" s="50">
        <f t="shared" si="10"/>
        <v>4</v>
      </c>
      <c r="AM21" s="50">
        <f t="shared" si="11"/>
        <v>3</v>
      </c>
      <c r="AN21" s="50">
        <f t="shared" si="12"/>
        <v>2</v>
      </c>
      <c r="AO21" s="50">
        <f t="shared" si="13"/>
        <v>5</v>
      </c>
      <c r="AP21" s="50">
        <f t="shared" si="14"/>
        <v>11</v>
      </c>
    </row>
    <row r="22" spans="2:42" ht="18.75" x14ac:dyDescent="0.25">
      <c r="B22" s="41" t="s">
        <v>247</v>
      </c>
      <c r="C22" s="148" t="s">
        <v>220</v>
      </c>
      <c r="D22" s="149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253</v>
      </c>
      <c r="T22" s="51" t="s">
        <v>230</v>
      </c>
      <c r="U22" s="51" t="s">
        <v>256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253</v>
      </c>
      <c r="AB22" s="56" t="s">
        <v>230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253</v>
      </c>
      <c r="AJ22" s="51" t="s">
        <v>230</v>
      </c>
      <c r="AL22" s="50">
        <f t="shared" si="10"/>
        <v>4</v>
      </c>
      <c r="AM22" s="50">
        <f t="shared" si="11"/>
        <v>3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8" t="s">
        <v>221</v>
      </c>
      <c r="D23" s="149"/>
      <c r="E23" s="97"/>
      <c r="F23" s="56" t="s">
        <v>257</v>
      </c>
      <c r="G23" s="56" t="s">
        <v>257</v>
      </c>
      <c r="H23" s="56" t="s">
        <v>257</v>
      </c>
      <c r="I23" s="56" t="s">
        <v>229</v>
      </c>
      <c r="J23" s="56" t="s">
        <v>229</v>
      </c>
      <c r="K23" s="56" t="s">
        <v>230</v>
      </c>
      <c r="L23" s="56" t="s">
        <v>230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255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4</v>
      </c>
      <c r="AM23" s="50">
        <f t="shared" si="11"/>
        <v>3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8" t="s">
        <v>145</v>
      </c>
      <c r="D24" s="149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253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253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5</v>
      </c>
      <c r="AM24" s="50">
        <f t="shared" si="11"/>
        <v>5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8" t="s">
        <v>147</v>
      </c>
      <c r="D25" s="149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254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255</v>
      </c>
      <c r="Q25" s="51" t="s">
        <v>230</v>
      </c>
      <c r="R25" s="51" t="s">
        <v>256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229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6</v>
      </c>
      <c r="AM25" s="50">
        <f t="shared" si="11"/>
        <v>6</v>
      </c>
      <c r="AN25" s="50">
        <f t="shared" si="12"/>
        <v>3</v>
      </c>
      <c r="AO25" s="50">
        <f t="shared" si="13"/>
        <v>4</v>
      </c>
      <c r="AP25" s="50">
        <f t="shared" si="14"/>
        <v>11</v>
      </c>
    </row>
    <row r="26" spans="2:42" ht="18.75" x14ac:dyDescent="0.25">
      <c r="B26" s="41" t="s">
        <v>247</v>
      </c>
      <c r="C26" s="148" t="s">
        <v>170</v>
      </c>
      <c r="D26" s="149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8" t="s">
        <v>222</v>
      </c>
      <c r="D27" s="149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258</v>
      </c>
      <c r="L27" s="98" t="s">
        <v>258</v>
      </c>
      <c r="M27" s="98" t="s">
        <v>258</v>
      </c>
      <c r="N27" s="98" t="s">
        <v>258</v>
      </c>
      <c r="O27" s="98" t="s">
        <v>258</v>
      </c>
      <c r="P27" s="98" t="s">
        <v>258</v>
      </c>
      <c r="Q27" s="98" t="s">
        <v>258</v>
      </c>
      <c r="R27" s="98" t="s">
        <v>258</v>
      </c>
      <c r="S27" s="51" t="s">
        <v>257</v>
      </c>
      <c r="T27" s="51" t="s">
        <v>257</v>
      </c>
      <c r="U27" s="56" t="s">
        <v>229</v>
      </c>
      <c r="V27" s="98" t="s">
        <v>255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4</v>
      </c>
      <c r="AM27" s="50">
        <f t="shared" si="11"/>
        <v>2</v>
      </c>
      <c r="AN27" s="50">
        <f t="shared" si="12"/>
        <v>2</v>
      </c>
      <c r="AO27" s="50">
        <f t="shared" si="13"/>
        <v>2</v>
      </c>
      <c r="AP27" s="50">
        <f t="shared" si="14"/>
        <v>8</v>
      </c>
    </row>
    <row r="28" spans="2:42" ht="18.75" x14ac:dyDescent="0.25">
      <c r="B28" s="41" t="s">
        <v>247</v>
      </c>
      <c r="C28" s="148" t="s">
        <v>223</v>
      </c>
      <c r="D28" s="149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230</v>
      </c>
      <c r="W28" s="51" t="s">
        <v>256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253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3</v>
      </c>
      <c r="AM28" s="50">
        <f t="shared" si="11"/>
        <v>3</v>
      </c>
      <c r="AN28" s="50">
        <f t="shared" si="12"/>
        <v>5</v>
      </c>
      <c r="AO28" s="50">
        <f t="shared" si="13"/>
        <v>3</v>
      </c>
      <c r="AP28" s="50">
        <f t="shared" si="14"/>
        <v>12</v>
      </c>
    </row>
    <row r="29" spans="2:42" ht="19.5" thickBot="1" x14ac:dyDescent="0.3">
      <c r="B29" s="41" t="s">
        <v>247</v>
      </c>
      <c r="C29" s="151" t="s">
        <v>224</v>
      </c>
      <c r="D29" s="152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106" t="s">
        <v>229</v>
      </c>
      <c r="L29" s="64" t="s">
        <v>229</v>
      </c>
      <c r="M29" s="64" t="s">
        <v>230</v>
      </c>
      <c r="N29" s="64" t="s">
        <v>254</v>
      </c>
      <c r="O29" s="64" t="s">
        <v>254</v>
      </c>
      <c r="P29" s="64" t="s">
        <v>257</v>
      </c>
      <c r="Q29" s="64" t="s">
        <v>257</v>
      </c>
      <c r="R29" s="64" t="s">
        <v>257</v>
      </c>
      <c r="S29" s="106" t="s">
        <v>229</v>
      </c>
      <c r="T29" s="106" t="s">
        <v>253</v>
      </c>
      <c r="U29" s="64" t="s">
        <v>230</v>
      </c>
      <c r="V29" s="64" t="s">
        <v>256</v>
      </c>
      <c r="W29" s="64" t="s">
        <v>254</v>
      </c>
      <c r="X29" s="64" t="s">
        <v>257</v>
      </c>
      <c r="Y29" s="64" t="s">
        <v>257</v>
      </c>
      <c r="Z29" s="64" t="s">
        <v>257</v>
      </c>
      <c r="AA29" s="64" t="s">
        <v>229</v>
      </c>
      <c r="AB29" s="64" t="s">
        <v>229</v>
      </c>
      <c r="AC29" s="64" t="s">
        <v>230</v>
      </c>
      <c r="AD29" s="64" t="s">
        <v>254</v>
      </c>
      <c r="AE29" s="64" t="s">
        <v>254</v>
      </c>
      <c r="AF29" s="64" t="s">
        <v>257</v>
      </c>
      <c r="AG29" s="64" t="s">
        <v>257</v>
      </c>
      <c r="AH29" s="64" t="s">
        <v>257</v>
      </c>
      <c r="AI29" s="106" t="s">
        <v>229</v>
      </c>
      <c r="AJ29" s="64" t="s">
        <v>230</v>
      </c>
      <c r="AL29" s="50">
        <f t="shared" si="10"/>
        <v>2</v>
      </c>
      <c r="AM29" s="50">
        <f t="shared" si="11"/>
        <v>6</v>
      </c>
      <c r="AN29" s="50">
        <f t="shared" si="12"/>
        <v>4</v>
      </c>
      <c r="AO29" s="50">
        <f t="shared" si="13"/>
        <v>7</v>
      </c>
      <c r="AP29" s="50">
        <f t="shared" si="14"/>
        <v>12</v>
      </c>
    </row>
    <row r="30" spans="2:42" ht="18.75" x14ac:dyDescent="0.25">
      <c r="B30" s="37" t="s">
        <v>248</v>
      </c>
      <c r="C30" s="147" t="s">
        <v>146</v>
      </c>
      <c r="D30" s="147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254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5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47" t="s">
        <v>149</v>
      </c>
      <c r="D31" s="147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254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4</v>
      </c>
      <c r="AO31" s="50">
        <f t="shared" si="18"/>
        <v>7</v>
      </c>
      <c r="AP31" s="50">
        <f t="shared" si="19"/>
        <v>12</v>
      </c>
    </row>
    <row r="32" spans="2:42" ht="18.75" x14ac:dyDescent="0.25">
      <c r="B32" s="37" t="s">
        <v>248</v>
      </c>
      <c r="C32" s="147" t="s">
        <v>150</v>
      </c>
      <c r="D32" s="147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254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5</v>
      </c>
      <c r="AO32" s="50">
        <f t="shared" si="18"/>
        <v>8</v>
      </c>
      <c r="AP32" s="50">
        <f t="shared" si="19"/>
        <v>12</v>
      </c>
    </row>
    <row r="33" spans="2:42" ht="18.75" x14ac:dyDescent="0.25">
      <c r="B33" s="37" t="s">
        <v>248</v>
      </c>
      <c r="C33" s="147" t="s">
        <v>151</v>
      </c>
      <c r="D33" s="147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229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0</v>
      </c>
      <c r="AM33" s="50">
        <f t="shared" si="16"/>
        <v>5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47" t="s">
        <v>152</v>
      </c>
      <c r="D34" s="147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47" t="s">
        <v>153</v>
      </c>
      <c r="D35" s="147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47" t="s">
        <v>154</v>
      </c>
      <c r="D36" s="147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254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6</v>
      </c>
      <c r="AO36" s="50">
        <f t="shared" si="18"/>
        <v>8</v>
      </c>
      <c r="AP36" s="50">
        <f t="shared" si="19"/>
        <v>11</v>
      </c>
    </row>
    <row r="37" spans="2:42" ht="18.75" x14ac:dyDescent="0.25">
      <c r="B37" s="37" t="s">
        <v>248</v>
      </c>
      <c r="C37" s="147" t="s">
        <v>155</v>
      </c>
      <c r="D37" s="147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47" t="s">
        <v>156</v>
      </c>
      <c r="D38" s="147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47" t="s">
        <v>157</v>
      </c>
      <c r="D39" s="147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230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5</v>
      </c>
      <c r="AN39" s="50">
        <f t="shared" si="17"/>
        <v>7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47" t="s">
        <v>158</v>
      </c>
      <c r="D40" s="147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230</v>
      </c>
      <c r="V40" s="129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3</v>
      </c>
      <c r="AN40" s="50">
        <f t="shared" si="17"/>
        <v>5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47" t="s">
        <v>166</v>
      </c>
      <c r="D41" s="147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229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229</v>
      </c>
      <c r="AJ41" s="51" t="s">
        <v>230</v>
      </c>
      <c r="AL41" s="50">
        <f t="shared" si="15"/>
        <v>0</v>
      </c>
      <c r="AM41" s="50">
        <f t="shared" si="16"/>
        <v>5</v>
      </c>
      <c r="AN41" s="50">
        <f t="shared" si="17"/>
        <v>6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47" t="s">
        <v>159</v>
      </c>
      <c r="D42" s="147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230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230</v>
      </c>
      <c r="U42" s="51" t="s">
        <v>254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7</v>
      </c>
      <c r="AN42" s="50">
        <f t="shared" si="17"/>
        <v>5</v>
      </c>
      <c r="AO42" s="50">
        <f t="shared" si="18"/>
        <v>6</v>
      </c>
      <c r="AP42" s="50">
        <f t="shared" si="19"/>
        <v>12</v>
      </c>
    </row>
    <row r="43" spans="2:42" ht="18.75" x14ac:dyDescent="0.25">
      <c r="B43" s="37" t="s">
        <v>248</v>
      </c>
      <c r="C43" s="147" t="s">
        <v>160</v>
      </c>
      <c r="D43" s="147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144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5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47" t="s">
        <v>161</v>
      </c>
      <c r="D44" s="147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47" t="s">
        <v>162</v>
      </c>
      <c r="D45" s="147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47" t="s">
        <v>163</v>
      </c>
      <c r="D46" s="147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47" t="s">
        <v>164</v>
      </c>
      <c r="D47" s="147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258</v>
      </c>
      <c r="X47" s="51" t="s">
        <v>258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229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0</v>
      </c>
      <c r="AM47" s="50">
        <f t="shared" si="16"/>
        <v>3</v>
      </c>
      <c r="AN47" s="50">
        <f t="shared" si="17"/>
        <v>1</v>
      </c>
      <c r="AO47" s="50">
        <f t="shared" si="18"/>
        <v>2</v>
      </c>
      <c r="AP47" s="50">
        <f t="shared" si="19"/>
        <v>6</v>
      </c>
    </row>
    <row r="48" spans="2:42" ht="18.75" x14ac:dyDescent="0.25">
      <c r="B48" s="37" t="s">
        <v>248</v>
      </c>
      <c r="C48" s="147" t="s">
        <v>165</v>
      </c>
      <c r="D48" s="147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254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230</v>
      </c>
      <c r="AL48" s="50">
        <f t="shared" si="15"/>
        <v>0</v>
      </c>
      <c r="AM48" s="50">
        <f t="shared" si="16"/>
        <v>3</v>
      </c>
      <c r="AN48" s="50">
        <f t="shared" si="17"/>
        <v>6</v>
      </c>
      <c r="AO48" s="50">
        <f t="shared" si="18"/>
        <v>6</v>
      </c>
      <c r="AP48" s="50">
        <f t="shared" si="19"/>
        <v>11</v>
      </c>
    </row>
    <row r="49" spans="2:42" ht="18.75" x14ac:dyDescent="0.25">
      <c r="B49" s="37" t="s">
        <v>248</v>
      </c>
      <c r="C49" s="147" t="s">
        <v>167</v>
      </c>
      <c r="D49" s="147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47" t="s">
        <v>168</v>
      </c>
      <c r="D50" s="147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47" t="s">
        <v>169</v>
      </c>
      <c r="D51" s="147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47" t="s">
        <v>148</v>
      </c>
      <c r="D52" s="147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04" t="s">
        <v>229</v>
      </c>
      <c r="X52" s="104" t="s">
        <v>230</v>
      </c>
      <c r="Y52" s="104" t="s">
        <v>254</v>
      </c>
      <c r="Z52" s="104" t="s">
        <v>254</v>
      </c>
      <c r="AA52" s="51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47" t="s">
        <v>171</v>
      </c>
      <c r="D53" s="147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47" t="s">
        <v>172</v>
      </c>
      <c r="D54" s="147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229</v>
      </c>
      <c r="U54" s="51" t="s">
        <v>229</v>
      </c>
      <c r="V54" s="51" t="s">
        <v>230</v>
      </c>
      <c r="W54" s="51" t="s">
        <v>230</v>
      </c>
      <c r="X54" s="51" t="s">
        <v>254</v>
      </c>
      <c r="Y54" s="51" t="s">
        <v>257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254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229</v>
      </c>
      <c r="AL54" s="50">
        <f t="shared" si="15"/>
        <v>0</v>
      </c>
      <c r="AM54" s="50">
        <f t="shared" si="16"/>
        <v>4</v>
      </c>
      <c r="AN54" s="50">
        <f t="shared" si="17"/>
        <v>6</v>
      </c>
      <c r="AO54" s="50">
        <f t="shared" si="18"/>
        <v>7</v>
      </c>
      <c r="AP54" s="50">
        <f t="shared" si="19"/>
        <v>12</v>
      </c>
    </row>
    <row r="55" spans="2:42" ht="18.75" x14ac:dyDescent="0.25">
      <c r="B55" s="37" t="s">
        <v>248</v>
      </c>
      <c r="C55" s="148" t="s">
        <v>173</v>
      </c>
      <c r="D55" s="153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229</v>
      </c>
      <c r="M55" s="51" t="s">
        <v>230</v>
      </c>
      <c r="N55" s="51" t="s">
        <v>230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230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229</v>
      </c>
      <c r="AL55" s="50">
        <f t="shared" si="15"/>
        <v>0</v>
      </c>
      <c r="AM55" s="50">
        <f t="shared" si="16"/>
        <v>6</v>
      </c>
      <c r="AN55" s="50">
        <f t="shared" si="17"/>
        <v>6</v>
      </c>
      <c r="AO55" s="50">
        <f t="shared" si="18"/>
        <v>7</v>
      </c>
      <c r="AP55" s="50">
        <f t="shared" si="19"/>
        <v>12</v>
      </c>
    </row>
    <row r="56" spans="2:42" ht="18.75" x14ac:dyDescent="0.25">
      <c r="B56" s="37" t="s">
        <v>248</v>
      </c>
      <c r="C56" s="148" t="s">
        <v>211</v>
      </c>
      <c r="D56" s="153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230</v>
      </c>
      <c r="AL56" s="50">
        <f t="shared" si="15"/>
        <v>0</v>
      </c>
      <c r="AM56" s="50">
        <f t="shared" si="16"/>
        <v>4</v>
      </c>
      <c r="AN56" s="50">
        <f t="shared" si="17"/>
        <v>5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8" t="s">
        <v>213</v>
      </c>
      <c r="D57" s="153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254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6</v>
      </c>
      <c r="AO57" s="50">
        <f t="shared" si="18"/>
        <v>5</v>
      </c>
      <c r="AP57" s="50">
        <f t="shared" si="19"/>
        <v>12</v>
      </c>
    </row>
    <row r="58" spans="2:42" ht="18.75" x14ac:dyDescent="0.25">
      <c r="B58" s="37" t="s">
        <v>248</v>
      </c>
      <c r="C58" s="148" t="s">
        <v>212</v>
      </c>
      <c r="D58" s="153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230</v>
      </c>
      <c r="AH58" s="51" t="s">
        <v>230</v>
      </c>
      <c r="AI58" s="51" t="s">
        <v>254</v>
      </c>
      <c r="AJ58" s="51" t="s">
        <v>254</v>
      </c>
      <c r="AL58" s="50">
        <f t="shared" si="15"/>
        <v>0</v>
      </c>
      <c r="AM58" s="50">
        <f t="shared" si="16"/>
        <v>4</v>
      </c>
      <c r="AN58" s="50">
        <f t="shared" si="17"/>
        <v>5</v>
      </c>
      <c r="AO58" s="50">
        <f t="shared" si="18"/>
        <v>6</v>
      </c>
      <c r="AP58" s="50">
        <f t="shared" si="19"/>
        <v>10</v>
      </c>
    </row>
    <row r="59" spans="2:42" ht="18.75" x14ac:dyDescent="0.25">
      <c r="B59" s="37" t="s">
        <v>248</v>
      </c>
      <c r="C59" s="147" t="s">
        <v>174</v>
      </c>
      <c r="D59" s="147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254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5</v>
      </c>
      <c r="AO59" s="50">
        <f t="shared" si="18"/>
        <v>9</v>
      </c>
      <c r="AP59" s="50">
        <f t="shared" si="19"/>
        <v>11</v>
      </c>
    </row>
    <row r="60" spans="2:42" ht="18.75" x14ac:dyDescent="0.25">
      <c r="B60" s="37" t="s">
        <v>248</v>
      </c>
      <c r="C60" s="147" t="s">
        <v>175</v>
      </c>
      <c r="D60" s="147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8" t="s">
        <v>176</v>
      </c>
      <c r="D61" s="153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1" t="s">
        <v>229</v>
      </c>
      <c r="V61" s="51" t="s">
        <v>229</v>
      </c>
      <c r="W61" s="51" t="s">
        <v>230</v>
      </c>
      <c r="X61" s="51" t="s">
        <v>254</v>
      </c>
      <c r="Y61" s="51" t="s">
        <v>254</v>
      </c>
      <c r="Z61" s="51" t="s">
        <v>257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3</v>
      </c>
      <c r="AN61" s="50">
        <f t="shared" si="17"/>
        <v>3</v>
      </c>
      <c r="AO61" s="50">
        <f t="shared" si="18"/>
        <v>4</v>
      </c>
      <c r="AP61" s="50">
        <f t="shared" si="19"/>
        <v>8</v>
      </c>
    </row>
    <row r="62" spans="2:42" ht="18.75" x14ac:dyDescent="0.25">
      <c r="B62" s="37" t="s">
        <v>248</v>
      </c>
      <c r="C62" s="147" t="s">
        <v>177</v>
      </c>
      <c r="D62" s="147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29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8" t="s">
        <v>184</v>
      </c>
      <c r="D63" s="153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8" t="s">
        <v>185</v>
      </c>
      <c r="D64" s="153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230</v>
      </c>
      <c r="Q64" s="51" t="s">
        <v>230</v>
      </c>
      <c r="R64" s="51" t="s">
        <v>230</v>
      </c>
      <c r="S64" s="51" t="s">
        <v>229</v>
      </c>
      <c r="T64" s="51" t="s">
        <v>229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9</v>
      </c>
      <c r="AN64" s="50">
        <f t="shared" si="17"/>
        <v>12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47" t="s">
        <v>186</v>
      </c>
      <c r="D65" s="147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84" t="s">
        <v>193</v>
      </c>
      <c r="D66" s="185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255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229</v>
      </c>
      <c r="AH66" s="27" t="s">
        <v>253</v>
      </c>
      <c r="AI66" s="23" t="s">
        <v>230</v>
      </c>
      <c r="AJ66" s="23" t="s">
        <v>230</v>
      </c>
      <c r="AL66" s="50">
        <f>COUNTIF($F66:$AJ66,"ST*")</f>
        <v>2</v>
      </c>
      <c r="AM66" s="50">
        <f>COUNTIF($F66:$AJ66,"M*")</f>
        <v>5</v>
      </c>
      <c r="AN66" s="50">
        <f>COUNTIF($F66:$AJ66,"A*")</f>
        <v>6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8" t="s">
        <v>194</v>
      </c>
      <c r="D67" s="153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229</v>
      </c>
      <c r="Y67" s="56" t="s">
        <v>253</v>
      </c>
      <c r="Z67" s="56" t="s">
        <v>230</v>
      </c>
      <c r="AA67" s="56" t="s">
        <v>230</v>
      </c>
      <c r="AB67" s="56" t="s">
        <v>254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1</v>
      </c>
      <c r="AM67" s="50">
        <f t="shared" ref="AM67:AM84" si="21">COUNTIF($F67:$AJ67,"M*")</f>
        <v>3</v>
      </c>
      <c r="AN67" s="50">
        <f t="shared" ref="AN67:AN84" si="22">COUNTIF($F67:$AJ67,"A*")</f>
        <v>8</v>
      </c>
      <c r="AO67" s="50">
        <f t="shared" ref="AO67:AO84" si="23">COUNTIF($F67:$AJ67,"N*")</f>
        <v>7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8" t="s">
        <v>271</v>
      </c>
      <c r="D68" s="153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229</v>
      </c>
      <c r="X68" s="56" t="s">
        <v>229</v>
      </c>
      <c r="Y68" s="56" t="s">
        <v>230</v>
      </c>
      <c r="Z68" s="56" t="s">
        <v>254</v>
      </c>
      <c r="AA68" s="56" t="s">
        <v>254</v>
      </c>
      <c r="AB68" s="23" t="s">
        <v>257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6</v>
      </c>
      <c r="AN68" s="50">
        <f t="shared" si="22"/>
        <v>6</v>
      </c>
      <c r="AO68" s="50">
        <f t="shared" si="23"/>
        <v>7</v>
      </c>
      <c r="AP68" s="50">
        <f t="shared" si="24"/>
        <v>11</v>
      </c>
    </row>
    <row r="69" spans="2:42" ht="18.75" x14ac:dyDescent="0.25">
      <c r="B69" s="37" t="s">
        <v>249</v>
      </c>
      <c r="C69" s="148" t="s">
        <v>195</v>
      </c>
      <c r="D69" s="153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230</v>
      </c>
      <c r="Y69" s="23" t="s">
        <v>254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5</v>
      </c>
      <c r="AN69" s="50">
        <f t="shared" si="22"/>
        <v>4</v>
      </c>
      <c r="AO69" s="50">
        <f t="shared" si="23"/>
        <v>6</v>
      </c>
      <c r="AP69" s="50">
        <f t="shared" si="24"/>
        <v>10</v>
      </c>
    </row>
    <row r="70" spans="2:42" ht="18.75" x14ac:dyDescent="0.25">
      <c r="B70" s="37" t="s">
        <v>249</v>
      </c>
      <c r="C70" s="148" t="s">
        <v>196</v>
      </c>
      <c r="D70" s="153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230</v>
      </c>
      <c r="X70" s="23" t="s">
        <v>254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7</v>
      </c>
      <c r="AN70" s="50">
        <f t="shared" si="22"/>
        <v>6</v>
      </c>
      <c r="AO70" s="50">
        <f t="shared" si="23"/>
        <v>6</v>
      </c>
      <c r="AP70" s="50">
        <f t="shared" si="24"/>
        <v>12</v>
      </c>
    </row>
    <row r="71" spans="2:42" ht="18.75" x14ac:dyDescent="0.25">
      <c r="B71" s="37" t="s">
        <v>249</v>
      </c>
      <c r="C71" s="148" t="s">
        <v>197</v>
      </c>
      <c r="D71" s="153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29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8" t="s">
        <v>198</v>
      </c>
      <c r="D72" s="153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255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229</v>
      </c>
      <c r="AB72" s="51" t="s">
        <v>255</v>
      </c>
      <c r="AC72" s="23" t="s">
        <v>230</v>
      </c>
      <c r="AD72" s="23" t="s">
        <v>144</v>
      </c>
      <c r="AE72" s="23" t="s">
        <v>254</v>
      </c>
      <c r="AF72" s="23" t="s">
        <v>257</v>
      </c>
      <c r="AG72" s="23" t="s">
        <v>257</v>
      </c>
      <c r="AH72" s="23" t="s">
        <v>257</v>
      </c>
      <c r="AI72" s="27" t="s">
        <v>229</v>
      </c>
      <c r="AJ72" s="51" t="s">
        <v>255</v>
      </c>
      <c r="AL72" s="50">
        <f t="shared" si="20"/>
        <v>3</v>
      </c>
      <c r="AM72" s="50">
        <f t="shared" si="21"/>
        <v>4</v>
      </c>
      <c r="AN72" s="50">
        <f t="shared" si="22"/>
        <v>5</v>
      </c>
      <c r="AO72" s="50">
        <f t="shared" si="23"/>
        <v>6</v>
      </c>
      <c r="AP72" s="50">
        <f t="shared" si="24"/>
        <v>12</v>
      </c>
    </row>
    <row r="73" spans="2:42" ht="18.75" x14ac:dyDescent="0.25">
      <c r="B73" s="37" t="s">
        <v>249</v>
      </c>
      <c r="C73" s="148" t="s">
        <v>199</v>
      </c>
      <c r="D73" s="153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255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253</v>
      </c>
      <c r="AJ73" s="56" t="s">
        <v>230</v>
      </c>
      <c r="AL73" s="50">
        <f t="shared" si="20"/>
        <v>3</v>
      </c>
      <c r="AM73" s="50">
        <f t="shared" si="21"/>
        <v>5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8" t="s">
        <v>200</v>
      </c>
      <c r="D74" s="153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29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256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2</v>
      </c>
      <c r="AM74" s="50">
        <f t="shared" si="21"/>
        <v>2</v>
      </c>
      <c r="AN74" s="50">
        <f t="shared" si="22"/>
        <v>3</v>
      </c>
      <c r="AO74" s="50">
        <f t="shared" si="23"/>
        <v>2</v>
      </c>
      <c r="AP74" s="50">
        <f t="shared" si="24"/>
        <v>6</v>
      </c>
    </row>
    <row r="75" spans="2:42" ht="18.75" x14ac:dyDescent="0.25">
      <c r="B75" s="37" t="s">
        <v>249</v>
      </c>
      <c r="C75" s="148" t="s">
        <v>201</v>
      </c>
      <c r="D75" s="153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8" t="s">
        <v>202</v>
      </c>
      <c r="D76" s="153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229</v>
      </c>
      <c r="X76" s="27" t="s">
        <v>230</v>
      </c>
      <c r="Y76" s="51" t="s">
        <v>230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7</v>
      </c>
      <c r="AN76" s="50">
        <f t="shared" si="22"/>
        <v>4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8" t="s">
        <v>203</v>
      </c>
      <c r="D77" s="153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8" t="s">
        <v>204</v>
      </c>
      <c r="D78" s="153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8" t="s">
        <v>205</v>
      </c>
      <c r="D79" s="153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8" t="s">
        <v>206</v>
      </c>
      <c r="D80" s="153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229</v>
      </c>
      <c r="AJ80" s="27" t="s">
        <v>229</v>
      </c>
      <c r="AL80" s="50">
        <f t="shared" si="20"/>
        <v>0</v>
      </c>
      <c r="AM80" s="50">
        <f t="shared" si="21"/>
        <v>8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8" t="s">
        <v>207</v>
      </c>
      <c r="D81" s="153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229</v>
      </c>
      <c r="T81" s="51" t="s">
        <v>230</v>
      </c>
      <c r="U81" s="51" t="s">
        <v>256</v>
      </c>
      <c r="V81" s="23" t="s">
        <v>254</v>
      </c>
      <c r="W81" s="23" t="s">
        <v>257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269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2</v>
      </c>
      <c r="AM81" s="50">
        <f t="shared" si="21"/>
        <v>7</v>
      </c>
      <c r="AN81" s="50">
        <f t="shared" si="22"/>
        <v>5</v>
      </c>
      <c r="AO81" s="50">
        <f t="shared" si="23"/>
        <v>5</v>
      </c>
      <c r="AP81" s="50">
        <f t="shared" si="24"/>
        <v>12</v>
      </c>
    </row>
    <row r="82" spans="2:42" ht="18.75" x14ac:dyDescent="0.25">
      <c r="B82" s="37" t="s">
        <v>249</v>
      </c>
      <c r="C82" s="148" t="s">
        <v>208</v>
      </c>
      <c r="D82" s="153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8" t="s">
        <v>192</v>
      </c>
      <c r="D84" s="153"/>
      <c r="F84" s="108" t="s">
        <v>229</v>
      </c>
      <c r="G84" s="109" t="s">
        <v>257</v>
      </c>
      <c r="H84" s="109" t="s">
        <v>257</v>
      </c>
      <c r="I84" s="64" t="s">
        <v>230</v>
      </c>
      <c r="J84" s="64" t="s">
        <v>230</v>
      </c>
      <c r="K84" s="108" t="s">
        <v>229</v>
      </c>
      <c r="L84" s="108" t="s">
        <v>229</v>
      </c>
      <c r="M84" s="108" t="s">
        <v>229</v>
      </c>
      <c r="N84" s="109" t="s">
        <v>257</v>
      </c>
      <c r="O84" s="109" t="s">
        <v>257</v>
      </c>
      <c r="P84" s="64" t="s">
        <v>230</v>
      </c>
      <c r="Q84" s="64" t="s">
        <v>230</v>
      </c>
      <c r="R84" s="108" t="s">
        <v>229</v>
      </c>
      <c r="S84" s="108" t="s">
        <v>229</v>
      </c>
      <c r="T84" s="108" t="s">
        <v>229</v>
      </c>
      <c r="U84" s="109" t="s">
        <v>257</v>
      </c>
      <c r="V84" s="109" t="s">
        <v>257</v>
      </c>
      <c r="W84" s="64" t="s">
        <v>230</v>
      </c>
      <c r="X84" s="64" t="s">
        <v>230</v>
      </c>
      <c r="Y84" s="108" t="s">
        <v>229</v>
      </c>
      <c r="Z84" s="108" t="s">
        <v>144</v>
      </c>
      <c r="AA84" s="64" t="s">
        <v>230</v>
      </c>
      <c r="AB84" s="109" t="s">
        <v>257</v>
      </c>
      <c r="AC84" s="109" t="s">
        <v>257</v>
      </c>
      <c r="AD84" s="64" t="s">
        <v>230</v>
      </c>
      <c r="AE84" s="64" t="s">
        <v>230</v>
      </c>
      <c r="AF84" s="108" t="s">
        <v>229</v>
      </c>
      <c r="AG84" s="108" t="s">
        <v>229</v>
      </c>
      <c r="AH84" s="64" t="s">
        <v>230</v>
      </c>
      <c r="AI84" s="109" t="s">
        <v>257</v>
      </c>
      <c r="AJ84" s="109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83" t="s">
        <v>91</v>
      </c>
      <c r="D86" s="183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13</v>
      </c>
      <c r="L86" s="37">
        <f t="shared" si="25"/>
        <v>13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14</v>
      </c>
      <c r="S86" s="37">
        <f t="shared" si="25"/>
        <v>13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14</v>
      </c>
      <c r="X86" s="37">
        <f t="shared" si="25"/>
        <v>15</v>
      </c>
      <c r="Y86" s="37">
        <f t="shared" si="25"/>
        <v>15</v>
      </c>
      <c r="Z86" s="37">
        <f t="shared" si="25"/>
        <v>14</v>
      </c>
      <c r="AA86" s="37">
        <f t="shared" si="25"/>
        <v>14</v>
      </c>
      <c r="AB86" s="37">
        <f t="shared" si="25"/>
        <v>13</v>
      </c>
      <c r="AC86" s="37">
        <f t="shared" si="25"/>
        <v>12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14</v>
      </c>
      <c r="AH86" s="37">
        <f t="shared" si="25"/>
        <v>15</v>
      </c>
      <c r="AI86" s="37">
        <f t="shared" si="25"/>
        <v>12</v>
      </c>
      <c r="AJ86" s="37">
        <f t="shared" si="25"/>
        <v>12</v>
      </c>
    </row>
    <row r="87" spans="2:42" ht="18.75" x14ac:dyDescent="0.3">
      <c r="C87" s="183" t="s">
        <v>92</v>
      </c>
      <c r="D87" s="183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12</v>
      </c>
      <c r="M87" s="37">
        <f t="shared" si="26"/>
        <v>12</v>
      </c>
      <c r="N87" s="37">
        <f t="shared" si="26"/>
        <v>11</v>
      </c>
      <c r="O87" s="37">
        <f t="shared" si="26"/>
        <v>11</v>
      </c>
      <c r="P87" s="37">
        <f t="shared" si="26"/>
        <v>13</v>
      </c>
      <c r="Q87" s="37">
        <f t="shared" si="26"/>
        <v>13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11</v>
      </c>
      <c r="V87" s="37">
        <f t="shared" si="26"/>
        <v>11</v>
      </c>
      <c r="W87" s="37">
        <f t="shared" si="26"/>
        <v>13</v>
      </c>
      <c r="X87" s="37">
        <f t="shared" si="26"/>
        <v>12</v>
      </c>
      <c r="Y87" s="37">
        <f t="shared" si="26"/>
        <v>13</v>
      </c>
      <c r="Z87" s="37">
        <f t="shared" si="26"/>
        <v>13</v>
      </c>
      <c r="AA87" s="37">
        <f t="shared" si="26"/>
        <v>13</v>
      </c>
      <c r="AB87" s="37">
        <f t="shared" si="26"/>
        <v>12</v>
      </c>
      <c r="AC87" s="37">
        <f t="shared" si="26"/>
        <v>11</v>
      </c>
      <c r="AD87" s="37">
        <f t="shared" si="26"/>
        <v>13</v>
      </c>
      <c r="AE87" s="37">
        <f t="shared" si="26"/>
        <v>12</v>
      </c>
      <c r="AF87" s="37">
        <f t="shared" si="26"/>
        <v>12</v>
      </c>
      <c r="AG87" s="37">
        <f t="shared" si="26"/>
        <v>14</v>
      </c>
      <c r="AH87" s="37">
        <f t="shared" si="26"/>
        <v>13</v>
      </c>
      <c r="AI87" s="37">
        <f t="shared" si="26"/>
        <v>11</v>
      </c>
      <c r="AJ87" s="37">
        <f t="shared" si="26"/>
        <v>12</v>
      </c>
    </row>
    <row r="88" spans="2:42" ht="18.75" x14ac:dyDescent="0.3">
      <c r="C88" s="183" t="s">
        <v>72</v>
      </c>
      <c r="D88" s="183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11</v>
      </c>
      <c r="O88" s="37">
        <f t="shared" si="27"/>
        <v>11</v>
      </c>
      <c r="P88" s="37">
        <f t="shared" si="27"/>
        <v>12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13</v>
      </c>
      <c r="U88" s="37">
        <f t="shared" si="27"/>
        <v>13</v>
      </c>
      <c r="V88" s="37">
        <f t="shared" si="27"/>
        <v>11</v>
      </c>
      <c r="W88" s="37">
        <f t="shared" si="27"/>
        <v>11</v>
      </c>
      <c r="X88" s="37">
        <f t="shared" si="27"/>
        <v>12</v>
      </c>
      <c r="Y88" s="37">
        <f t="shared" si="27"/>
        <v>11</v>
      </c>
      <c r="Z88" s="37">
        <f t="shared" si="27"/>
        <v>10</v>
      </c>
      <c r="AA88" s="37">
        <f t="shared" si="27"/>
        <v>12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12</v>
      </c>
      <c r="AF88" s="37">
        <f t="shared" si="27"/>
        <v>13</v>
      </c>
      <c r="AG88" s="37">
        <f t="shared" si="27"/>
        <v>12</v>
      </c>
      <c r="AH88" s="37">
        <f t="shared" si="27"/>
        <v>12</v>
      </c>
      <c r="AI88" s="37">
        <f t="shared" si="27"/>
        <v>13</v>
      </c>
      <c r="AJ88" s="37">
        <f t="shared" si="27"/>
        <v>13</v>
      </c>
    </row>
    <row r="89" spans="2:42" ht="18.75" x14ac:dyDescent="0.3">
      <c r="C89" s="183" t="s">
        <v>73</v>
      </c>
      <c r="D89" s="183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20</v>
      </c>
      <c r="X89" s="37">
        <f t="shared" si="28"/>
        <v>18</v>
      </c>
      <c r="Y89" s="37">
        <f t="shared" si="28"/>
        <v>18</v>
      </c>
      <c r="Z89" s="37">
        <f t="shared" si="28"/>
        <v>18</v>
      </c>
      <c r="AA89" s="37">
        <f t="shared" si="28"/>
        <v>15</v>
      </c>
      <c r="AB89" s="37">
        <f t="shared" si="28"/>
        <v>18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18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9" t="s">
        <v>143</v>
      </c>
      <c r="D90" s="180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2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3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9" t="s">
        <v>106</v>
      </c>
      <c r="D91" s="180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0</v>
      </c>
      <c r="AC91" s="37">
        <f t="shared" si="30"/>
        <v>0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0</v>
      </c>
    </row>
    <row r="92" spans="2:42" ht="18.75" x14ac:dyDescent="0.3">
      <c r="C92" s="181" t="s">
        <v>104</v>
      </c>
      <c r="D92" s="181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-9</v>
      </c>
      <c r="L92" s="53">
        <f t="shared" si="31"/>
        <v>-9</v>
      </c>
      <c r="M92" s="53">
        <f t="shared" si="31"/>
        <v>-9</v>
      </c>
      <c r="N92" s="53">
        <f t="shared" si="31"/>
        <v>-11</v>
      </c>
      <c r="O92" s="53">
        <f t="shared" si="31"/>
        <v>-11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-7</v>
      </c>
      <c r="T92" s="53">
        <f t="shared" si="31"/>
        <v>-4</v>
      </c>
      <c r="U92" s="53">
        <f t="shared" si="31"/>
        <v>-9</v>
      </c>
      <c r="V92" s="53">
        <f t="shared" si="31"/>
        <v>-13</v>
      </c>
      <c r="W92" s="53">
        <f t="shared" si="31"/>
        <v>-7</v>
      </c>
      <c r="X92" s="53">
        <f t="shared" si="31"/>
        <v>-6</v>
      </c>
      <c r="Y92" s="53">
        <f t="shared" si="31"/>
        <v>-6</v>
      </c>
      <c r="Z92" s="53">
        <f t="shared" si="31"/>
        <v>-8</v>
      </c>
      <c r="AA92" s="53">
        <f t="shared" si="31"/>
        <v>-6</v>
      </c>
      <c r="AB92" s="53">
        <f t="shared" si="31"/>
        <v>-7</v>
      </c>
      <c r="AC92" s="53">
        <f t="shared" si="31"/>
        <v>-9</v>
      </c>
      <c r="AD92" s="53">
        <f t="shared" si="31"/>
        <v>-9</v>
      </c>
      <c r="AE92" s="53">
        <f t="shared" si="31"/>
        <v>-6</v>
      </c>
      <c r="AF92" s="53">
        <f t="shared" si="31"/>
        <v>-5</v>
      </c>
      <c r="AG92" s="53">
        <f t="shared" si="31"/>
        <v>-5</v>
      </c>
      <c r="AH92" s="53">
        <f t="shared" si="31"/>
        <v>-5</v>
      </c>
      <c r="AI92" s="53">
        <f t="shared" si="31"/>
        <v>-9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</row>
    <row r="94" spans="2:42" ht="18.75" x14ac:dyDescent="0.3">
      <c r="C94" s="183" t="s">
        <v>102</v>
      </c>
      <c r="D94" s="183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36</v>
      </c>
      <c r="L94" s="41">
        <f t="shared" si="32"/>
        <v>36</v>
      </c>
      <c r="M94" s="41">
        <f t="shared" si="32"/>
        <v>36</v>
      </c>
      <c r="N94" s="41">
        <f t="shared" si="32"/>
        <v>34</v>
      </c>
      <c r="O94" s="41">
        <f t="shared" si="32"/>
        <v>34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38</v>
      </c>
      <c r="T94" s="41">
        <f t="shared" si="32"/>
        <v>41</v>
      </c>
      <c r="U94" s="41">
        <f t="shared" si="32"/>
        <v>36</v>
      </c>
      <c r="V94" s="41">
        <f t="shared" si="32"/>
        <v>32</v>
      </c>
      <c r="W94" s="41">
        <f t="shared" si="32"/>
        <v>38</v>
      </c>
      <c r="X94" s="41">
        <f t="shared" si="32"/>
        <v>39</v>
      </c>
      <c r="Y94" s="41">
        <f t="shared" si="32"/>
        <v>39</v>
      </c>
      <c r="Z94" s="41">
        <f t="shared" si="32"/>
        <v>37</v>
      </c>
      <c r="AA94" s="41">
        <f t="shared" si="32"/>
        <v>39</v>
      </c>
      <c r="AB94" s="41">
        <f t="shared" si="32"/>
        <v>38</v>
      </c>
      <c r="AC94" s="41">
        <f t="shared" si="32"/>
        <v>36</v>
      </c>
      <c r="AD94" s="41">
        <f t="shared" si="32"/>
        <v>36</v>
      </c>
      <c r="AE94" s="41">
        <f t="shared" si="32"/>
        <v>39</v>
      </c>
      <c r="AF94" s="41">
        <f t="shared" si="32"/>
        <v>40</v>
      </c>
      <c r="AG94" s="41">
        <f t="shared" si="32"/>
        <v>40</v>
      </c>
      <c r="AH94" s="41">
        <f t="shared" si="32"/>
        <v>40</v>
      </c>
      <c r="AI94" s="41">
        <f t="shared" si="32"/>
        <v>36</v>
      </c>
      <c r="AJ94" s="41">
        <v>18</v>
      </c>
    </row>
    <row r="95" spans="2:42" ht="18.75" x14ac:dyDescent="0.3">
      <c r="C95" s="183" t="s">
        <v>90</v>
      </c>
      <c r="D95" s="183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83" t="s">
        <v>103</v>
      </c>
      <c r="D96" s="183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51</v>
      </c>
      <c r="L96" s="37">
        <f t="shared" si="33"/>
        <v>52</v>
      </c>
      <c r="M96" s="37">
        <f t="shared" si="33"/>
        <v>54</v>
      </c>
      <c r="N96" s="37">
        <f t="shared" si="33"/>
        <v>55</v>
      </c>
      <c r="O96" s="37">
        <f t="shared" si="33"/>
        <v>56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56</v>
      </c>
      <c r="T96" s="37">
        <f t="shared" si="33"/>
        <v>58</v>
      </c>
      <c r="U96" s="37">
        <f t="shared" si="33"/>
        <v>57</v>
      </c>
      <c r="V96" s="37">
        <f t="shared" si="33"/>
        <v>57</v>
      </c>
      <c r="W96" s="37">
        <f t="shared" si="33"/>
        <v>58</v>
      </c>
      <c r="X96" s="37">
        <f t="shared" si="33"/>
        <v>57</v>
      </c>
      <c r="Y96" s="37">
        <f t="shared" si="33"/>
        <v>57</v>
      </c>
      <c r="Z96" s="37">
        <f t="shared" si="33"/>
        <v>55</v>
      </c>
      <c r="AA96" s="37">
        <f t="shared" si="33"/>
        <v>54</v>
      </c>
      <c r="AB96" s="37">
        <f t="shared" si="33"/>
        <v>56</v>
      </c>
      <c r="AC96" s="37">
        <f t="shared" si="33"/>
        <v>56</v>
      </c>
      <c r="AD96" s="37">
        <f t="shared" si="33"/>
        <v>56</v>
      </c>
      <c r="AE96" s="37">
        <f t="shared" si="33"/>
        <v>58</v>
      </c>
      <c r="AF96" s="37">
        <f t="shared" si="33"/>
        <v>58</v>
      </c>
      <c r="AG96" s="37">
        <f t="shared" si="33"/>
        <v>58</v>
      </c>
      <c r="AH96" s="37">
        <f t="shared" si="33"/>
        <v>58</v>
      </c>
      <c r="AI96" s="37">
        <f t="shared" si="33"/>
        <v>57</v>
      </c>
      <c r="AJ96" s="37">
        <v>35</v>
      </c>
    </row>
    <row r="97" spans="6:11" ht="16.5" thickBot="1" x14ac:dyDescent="0.3"/>
    <row r="98" spans="6:11" ht="16.5" thickBot="1" x14ac:dyDescent="0.3">
      <c r="F98" s="166" t="s">
        <v>232</v>
      </c>
      <c r="G98" s="167"/>
      <c r="H98" s="167"/>
      <c r="I98" s="167"/>
      <c r="J98" s="167"/>
      <c r="K98" s="168"/>
    </row>
    <row r="99" spans="6:11" x14ac:dyDescent="0.25">
      <c r="F99" s="87" t="s">
        <v>142</v>
      </c>
      <c r="G99" s="169" t="s">
        <v>228</v>
      </c>
      <c r="H99" s="170"/>
      <c r="I99" s="93" t="s">
        <v>229</v>
      </c>
      <c r="J99" s="189" t="s">
        <v>240</v>
      </c>
      <c r="K99" s="190"/>
    </row>
    <row r="100" spans="6:11" x14ac:dyDescent="0.25">
      <c r="F100" s="88" t="s">
        <v>119</v>
      </c>
      <c r="G100" s="171" t="s">
        <v>229</v>
      </c>
      <c r="H100" s="172"/>
      <c r="I100" s="93" t="s">
        <v>239</v>
      </c>
      <c r="J100" s="173" t="s">
        <v>241</v>
      </c>
      <c r="K100" s="174"/>
    </row>
    <row r="101" spans="6:11" x14ac:dyDescent="0.25">
      <c r="F101" s="89" t="s">
        <v>226</v>
      </c>
      <c r="G101" s="175" t="s">
        <v>230</v>
      </c>
      <c r="H101" s="176"/>
      <c r="I101" s="94" t="s">
        <v>235</v>
      </c>
      <c r="J101" s="177" t="s">
        <v>242</v>
      </c>
      <c r="K101" s="178"/>
    </row>
    <row r="102" spans="6:11" x14ac:dyDescent="0.25">
      <c r="F102" s="90" t="s">
        <v>227</v>
      </c>
      <c r="G102" s="154" t="s">
        <v>231</v>
      </c>
      <c r="H102" s="155"/>
      <c r="I102" s="95" t="s">
        <v>246</v>
      </c>
      <c r="J102" s="156" t="s">
        <v>243</v>
      </c>
      <c r="K102" s="157"/>
    </row>
    <row r="103" spans="6:11" x14ac:dyDescent="0.25">
      <c r="F103" s="91" t="s">
        <v>144</v>
      </c>
      <c r="G103" s="158" t="s">
        <v>234</v>
      </c>
      <c r="H103" s="159"/>
      <c r="I103" s="50" t="s">
        <v>247</v>
      </c>
      <c r="J103" s="160" t="s">
        <v>244</v>
      </c>
      <c r="K103" s="161"/>
    </row>
    <row r="104" spans="6:11" x14ac:dyDescent="0.25">
      <c r="F104" s="92"/>
      <c r="G104" s="162" t="s">
        <v>233</v>
      </c>
      <c r="H104" s="163"/>
      <c r="I104" s="96" t="s">
        <v>248</v>
      </c>
      <c r="J104" s="164" t="s">
        <v>245</v>
      </c>
      <c r="K104" s="165"/>
    </row>
    <row r="105" spans="6:11" ht="16.5" thickBot="1" x14ac:dyDescent="0.3">
      <c r="F105" s="100" t="s">
        <v>251</v>
      </c>
      <c r="G105" s="186" t="s">
        <v>252</v>
      </c>
      <c r="H105" s="187"/>
      <c r="I105" s="101" t="s">
        <v>249</v>
      </c>
      <c r="J105" s="186" t="s">
        <v>250</v>
      </c>
      <c r="K105" s="188"/>
    </row>
  </sheetData>
  <autoFilter ref="F4:AJ92" xr:uid="{10A87D31-A428-49C7-B3CE-66B468A7BADA}"/>
  <mergeCells count="112"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143" priority="1" operator="containsText" text="TR">
      <formula>NOT(ISERROR(SEARCH("TR",F5)))</formula>
    </cfRule>
    <cfRule type="containsText" dxfId="142" priority="2" operator="containsText" text="MN06">
      <formula>NOT(ISERROR(SEARCH("MN06",F5)))</formula>
    </cfRule>
    <cfRule type="containsText" dxfId="141" priority="3" operator="containsText" text="AN13">
      <formula>NOT(ISERROR(SEARCH("AN13",F5)))</formula>
    </cfRule>
    <cfRule type="containsText" dxfId="140" priority="4" operator="containsText" text="OFF">
      <formula>NOT(ISERROR(SEARCH("OFF",F5)))</formula>
    </cfRule>
    <cfRule type="containsText" dxfId="139" priority="5" operator="containsText" text="ME07">
      <formula>NOT(ISERROR(SEARCH("ME07",F5)))</formula>
    </cfRule>
  </conditionalFormatting>
  <conditionalFormatting sqref="F9:AJ14">
    <cfRule type="containsText" dxfId="138" priority="6" operator="containsText" text="LV">
      <formula>NOT(ISERROR(SEARCH("LV",F9)))</formula>
    </cfRule>
    <cfRule type="containsText" dxfId="137" priority="7" operator="containsText" text="STNN21">
      <formula>NOT(ISERROR(SEARCH("STNN21",F9)))</formula>
    </cfRule>
    <cfRule type="containsText" dxfId="136" priority="8" operator="containsText" text="STAN13">
      <formula>NOT(ISERROR(SEARCH("STAN13",F9)))</formula>
    </cfRule>
    <cfRule type="containsText" dxfId="135" priority="10" operator="containsText" text="MN12">
      <formula>NOT(ISERROR(SEARCH("MN12",F9)))</formula>
    </cfRule>
    <cfRule type="containsText" dxfId="134" priority="11" operator="containsText" text="TR">
      <formula>NOT(ISERROR(SEARCH("TR",F9)))</formula>
    </cfRule>
    <cfRule type="containsText" dxfId="133" priority="12" operator="containsText" text="OFF">
      <formula>NOT(ISERROR(SEARCH("OFF",F9)))</formula>
    </cfRule>
    <cfRule type="containsText" dxfId="132" priority="13" operator="containsText" text="NN21">
      <formula>NOT(ISERROR(SEARCH("NN21",F9)))</formula>
    </cfRule>
    <cfRule type="containsText" dxfId="131" priority="14" operator="containsText" text="AN13">
      <formula>NOT(ISERROR(SEARCH("AN13",F9)))</formula>
    </cfRule>
    <cfRule type="containsText" dxfId="130" priority="15" operator="containsText" text="MN06">
      <formula>NOT(ISERROR(SEARCH("MN06",F9)))</formula>
    </cfRule>
  </conditionalFormatting>
  <conditionalFormatting sqref="F9:AJ29">
    <cfRule type="containsText" dxfId="129" priority="9" operator="containsText" text="STMN06">
      <formula>NOT(ISERROR(SEARCH("STMN06",F9)))</formula>
    </cfRule>
  </conditionalFormatting>
  <conditionalFormatting sqref="F15:AJ29">
    <cfRule type="containsText" dxfId="128" priority="34" operator="containsText" text="STAN13">
      <formula>NOT(ISERROR(SEARCH("STAN13",F15)))</formula>
    </cfRule>
    <cfRule type="containsText" dxfId="127" priority="33" operator="containsText" text="MN06">
      <formula>NOT(ISERROR(SEARCH("MN06",F15)))</formula>
    </cfRule>
    <cfRule type="containsText" dxfId="126" priority="32" operator="containsText" text="AN13">
      <formula>NOT(ISERROR(SEARCH("AN13",F15)))</formula>
    </cfRule>
    <cfRule type="containsText" dxfId="125" priority="30" operator="containsText" text="AN13">
      <formula>NOT(ISERROR(SEARCH("AN13",F15)))</formula>
    </cfRule>
    <cfRule type="containsText" dxfId="124" priority="31" operator="containsText" text="AN13">
      <formula>NOT(ISERROR(SEARCH("AN13",F15)))</formula>
    </cfRule>
    <cfRule type="containsText" dxfId="123" priority="29" operator="containsText" text="LV">
      <formula>NOT(ISERROR(SEARCH("LV",F15)))</formula>
    </cfRule>
    <cfRule type="containsText" dxfId="122" priority="28" operator="containsText" text="TR">
      <formula>NOT(ISERROR(SEARCH("TR",F15)))</formula>
    </cfRule>
    <cfRule type="containsText" dxfId="121" priority="27" operator="containsText" text="STAN13">
      <formula>NOT(ISERROR(SEARCH("STAN13",F15)))</formula>
    </cfRule>
    <cfRule type="containsText" dxfId="120" priority="35" operator="containsText" text="STNN21">
      <formula>NOT(ISERROR(SEARCH("STNN21",F15)))</formula>
    </cfRule>
    <cfRule type="containsText" dxfId="119" priority="36" operator="containsText" text="NN21">
      <formula>NOT(ISERROR(SEARCH("NN21",F15)))</formula>
    </cfRule>
    <cfRule type="containsText" dxfId="118" priority="37" operator="containsText" text="OFF">
      <formula>NOT(ISERROR(SEARCH("OFF",F15)))</formula>
    </cfRule>
  </conditionalFormatting>
  <conditionalFormatting sqref="F30:AJ65">
    <cfRule type="containsText" dxfId="117" priority="52" operator="containsText" text="LV">
      <formula>NOT(ISERROR(SEARCH("LV",F30)))</formula>
    </cfRule>
    <cfRule type="containsText" dxfId="116" priority="48" operator="containsText" text="MN12">
      <formula>NOT(ISERROR(SEARCH("MN12",F30)))</formula>
    </cfRule>
    <cfRule type="containsText" dxfId="115" priority="49" operator="containsText" text="STNN21">
      <formula>NOT(ISERROR(SEARCH("STNN21",F30)))</formula>
    </cfRule>
    <cfRule type="containsText" dxfId="114" priority="50" operator="containsText" text="STAN13">
      <formula>NOT(ISERROR(SEARCH("STAN13",F30)))</formula>
    </cfRule>
    <cfRule type="containsText" dxfId="113" priority="51" operator="containsText" text="STMN06">
      <formula>NOT(ISERROR(SEARCH("STMN06",F30)))</formula>
    </cfRule>
    <cfRule type="containsText" dxfId="112" priority="53" operator="containsText" text="TR">
      <formula>NOT(ISERROR(SEARCH("TR",F30)))</formula>
    </cfRule>
    <cfRule type="containsText" dxfId="111" priority="54" operator="containsText" text="NN21">
      <formula>NOT(ISERROR(SEARCH("NN21",F30)))</formula>
    </cfRule>
    <cfRule type="containsText" dxfId="110" priority="55" operator="containsText" text="AN13">
      <formula>NOT(ISERROR(SEARCH("AN13",F30)))</formula>
    </cfRule>
    <cfRule type="containsText" dxfId="109" priority="56" operator="containsText" text="MN06">
      <formula>NOT(ISERROR(SEARCH("MN06",F30)))</formula>
    </cfRule>
    <cfRule type="containsText" dxfId="108" priority="57" operator="containsText" text="OFF">
      <formula>NOT(ISERROR(SEARCH("OFF",F30)))</formula>
    </cfRule>
  </conditionalFormatting>
  <conditionalFormatting sqref="F66:AJ84">
    <cfRule type="containsText" dxfId="107" priority="21" operator="containsText" text="NN21">
      <formula>NOT(ISERROR(SEARCH("NN21",F66)))</formula>
    </cfRule>
    <cfRule type="containsText" dxfId="106" priority="24" operator="containsText" text="MN06">
      <formula>NOT(ISERROR(SEARCH("MN06",F66)))</formula>
    </cfRule>
    <cfRule type="containsText" dxfId="105" priority="20" operator="containsText" text="TR">
      <formula>NOT(ISERROR(SEARCH("TR",F66)))</formula>
    </cfRule>
    <cfRule type="containsText" dxfId="104" priority="18" operator="containsText" text="STNN21">
      <formula>NOT(ISERROR(SEARCH("STNN21",F66)))</formula>
    </cfRule>
    <cfRule type="containsText" dxfId="103" priority="19" operator="containsText" text="LV">
      <formula>NOT(ISERROR(SEARCH("LV",F66)))</formula>
    </cfRule>
    <cfRule type="containsText" dxfId="102" priority="17" operator="containsText" text="STAN13">
      <formula>NOT(ISERROR(SEARCH("STAN13",F66)))</formula>
    </cfRule>
    <cfRule type="containsText" dxfId="101" priority="16" operator="containsText" text="STMN06">
      <formula>NOT(ISERROR(SEARCH("STMN06",F66)))</formula>
    </cfRule>
    <cfRule type="containsText" dxfId="100" priority="25" operator="containsText" text="OFF">
      <formula>NOT(ISERROR(SEARCH("OFF",F66)))</formula>
    </cfRule>
    <cfRule type="containsText" dxfId="99" priority="23" operator="containsText" text="AN13">
      <formula>NOT(ISERROR(SEARCH("AN13",F66)))</formula>
    </cfRule>
    <cfRule type="containsText" dxfId="98" priority="22" operator="containsText" text="NN13">
      <formula>NOT(ISERROR(SEARCH("NN13",F66)))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261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187</v>
      </c>
      <c r="D5" s="147"/>
      <c r="F5" s="130" t="s">
        <v>258</v>
      </c>
      <c r="G5" s="130" t="s">
        <v>258</v>
      </c>
      <c r="H5" s="130" t="s">
        <v>258</v>
      </c>
      <c r="I5" s="130" t="s">
        <v>258</v>
      </c>
      <c r="J5" s="130" t="s">
        <v>258</v>
      </c>
      <c r="K5" s="130" t="s">
        <v>258</v>
      </c>
      <c r="L5" s="130" t="s">
        <v>258</v>
      </c>
      <c r="M5" s="130" t="s">
        <v>258</v>
      </c>
      <c r="N5" s="130" t="s">
        <v>257</v>
      </c>
      <c r="O5" s="130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47" t="s">
        <v>190</v>
      </c>
      <c r="D6" s="147"/>
      <c r="F6" s="130" t="s">
        <v>258</v>
      </c>
      <c r="G6" s="51" t="s">
        <v>257</v>
      </c>
      <c r="H6" s="51" t="s">
        <v>257</v>
      </c>
      <c r="I6" s="130" t="s">
        <v>258</v>
      </c>
      <c r="J6" s="130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131" t="s">
        <v>258</v>
      </c>
      <c r="Q6" s="131" t="s">
        <v>258</v>
      </c>
      <c r="R6" s="131" t="s">
        <v>258</v>
      </c>
      <c r="S6" s="131" t="s">
        <v>258</v>
      </c>
      <c r="T6" s="131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47" t="s">
        <v>188</v>
      </c>
      <c r="D7" s="147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47" t="s">
        <v>189</v>
      </c>
      <c r="D8" s="147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3" t="s">
        <v>91</v>
      </c>
      <c r="D10" s="183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83" t="s">
        <v>92</v>
      </c>
      <c r="D11" s="183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3" t="s">
        <v>72</v>
      </c>
      <c r="D12" s="18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3" t="s">
        <v>73</v>
      </c>
      <c r="D13" s="183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9" t="s">
        <v>143</v>
      </c>
      <c r="D14" s="180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9" t="s">
        <v>106</v>
      </c>
      <c r="D15" s="18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1" t="s">
        <v>104</v>
      </c>
      <c r="D16" s="181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</row>
    <row r="18" spans="3:36" ht="18.75" x14ac:dyDescent="0.3">
      <c r="C18" s="183" t="s">
        <v>102</v>
      </c>
      <c r="D18" s="183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83" t="s">
        <v>90</v>
      </c>
      <c r="D19" s="18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3" t="s">
        <v>103</v>
      </c>
      <c r="D20" s="183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9" t="s">
        <v>232</v>
      </c>
      <c r="G22" s="200"/>
      <c r="H22" s="201"/>
    </row>
    <row r="23" spans="3:36" x14ac:dyDescent="0.25">
      <c r="F23" s="70" t="s">
        <v>142</v>
      </c>
      <c r="G23" s="202" t="s">
        <v>228</v>
      </c>
      <c r="H23" s="203"/>
    </row>
    <row r="24" spans="3:36" x14ac:dyDescent="0.25">
      <c r="F24" s="79" t="s">
        <v>119</v>
      </c>
      <c r="G24" s="197" t="s">
        <v>229</v>
      </c>
      <c r="H24" s="204"/>
    </row>
    <row r="25" spans="3:36" x14ac:dyDescent="0.25">
      <c r="F25" s="72" t="s">
        <v>226</v>
      </c>
      <c r="G25" s="205" t="s">
        <v>230</v>
      </c>
      <c r="H25" s="206"/>
    </row>
    <row r="26" spans="3:36" x14ac:dyDescent="0.25">
      <c r="F26" s="73" t="s">
        <v>227</v>
      </c>
      <c r="G26" s="207" t="s">
        <v>231</v>
      </c>
      <c r="H26" s="208"/>
    </row>
    <row r="27" spans="3:36" x14ac:dyDescent="0.25">
      <c r="F27" s="74" t="s">
        <v>144</v>
      </c>
      <c r="G27" s="191" t="s">
        <v>234</v>
      </c>
      <c r="H27" s="192"/>
    </row>
    <row r="28" spans="3:36" x14ac:dyDescent="0.25">
      <c r="F28" s="75"/>
      <c r="G28" s="193" t="s">
        <v>233</v>
      </c>
      <c r="H28" s="194"/>
    </row>
    <row r="29" spans="3:36" x14ac:dyDescent="0.25">
      <c r="F29" s="77" t="s">
        <v>235</v>
      </c>
      <c r="G29" s="195" t="s">
        <v>236</v>
      </c>
      <c r="H29" s="196"/>
    </row>
    <row r="30" spans="3:36" x14ac:dyDescent="0.25">
      <c r="F30" s="78" t="s">
        <v>237</v>
      </c>
      <c r="G30" s="197" t="s">
        <v>238</v>
      </c>
      <c r="H30" s="198"/>
    </row>
    <row r="38" spans="18:18" x14ac:dyDescent="0.25">
      <c r="R38" s="18" t="s">
        <v>260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8:D8"/>
    <mergeCell ref="C6:D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97" priority="1" operator="containsText" text="TR">
      <formula>NOT(ISERROR(SEARCH("TR",F5)))</formula>
    </cfRule>
    <cfRule type="containsText" dxfId="96" priority="2" operator="containsText" text="MN06">
      <formula>NOT(ISERROR(SEARCH("MN06",F5)))</formula>
    </cfRule>
    <cfRule type="containsText" dxfId="95" priority="3" operator="containsText" text="AN13">
      <formula>NOT(ISERROR(SEARCH("AN13",F5)))</formula>
    </cfRule>
    <cfRule type="containsText" dxfId="94" priority="4" operator="containsText" text="OFF">
      <formula>NOT(ISERROR(SEARCH("OFF",F5)))</formula>
    </cfRule>
    <cfRule type="containsText" dxfId="93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8" sqref="I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261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178</v>
      </c>
      <c r="D5" s="147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47" t="s">
        <v>179</v>
      </c>
      <c r="D6" s="147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47" t="s">
        <v>180</v>
      </c>
      <c r="D7" s="147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47" t="s">
        <v>181</v>
      </c>
      <c r="D8" s="147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47" t="s">
        <v>182</v>
      </c>
      <c r="D9" s="147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1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47" t="s">
        <v>183</v>
      </c>
      <c r="D10" s="147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229</v>
      </c>
      <c r="X10" s="64" t="s">
        <v>229</v>
      </c>
      <c r="Y10" s="64" t="s">
        <v>229</v>
      </c>
      <c r="Z10" s="64" t="s">
        <v>229</v>
      </c>
      <c r="AA10" s="64" t="s">
        <v>229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19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3" t="s">
        <v>91</v>
      </c>
      <c r="D12" s="183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83" t="s">
        <v>92</v>
      </c>
      <c r="D13" s="183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3" t="s">
        <v>72</v>
      </c>
      <c r="D14" s="183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3" t="s">
        <v>73</v>
      </c>
      <c r="D15" s="183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9" t="s">
        <v>143</v>
      </c>
      <c r="D16" s="18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9" t="s">
        <v>106</v>
      </c>
      <c r="D17" s="18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1" t="s">
        <v>104</v>
      </c>
      <c r="D18" s="181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</row>
    <row r="20" spans="3:36" ht="18.75" x14ac:dyDescent="0.3">
      <c r="C20" s="183" t="s">
        <v>102</v>
      </c>
      <c r="D20" s="183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83" t="s">
        <v>90</v>
      </c>
      <c r="D21" s="18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3" t="s">
        <v>103</v>
      </c>
      <c r="D22" s="183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24" t="s">
        <v>232</v>
      </c>
      <c r="G24" s="225"/>
      <c r="H24" s="225"/>
      <c r="I24" s="225"/>
      <c r="J24" s="225"/>
      <c r="K24" s="226"/>
    </row>
    <row r="25" spans="3:36" x14ac:dyDescent="0.25">
      <c r="F25" s="70" t="s">
        <v>142</v>
      </c>
      <c r="G25" s="218" t="s">
        <v>228</v>
      </c>
      <c r="H25" s="219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20" t="s">
        <v>262</v>
      </c>
      <c r="H26" s="221"/>
      <c r="I26" s="83" t="s">
        <v>239</v>
      </c>
      <c r="J26" s="197" t="s">
        <v>241</v>
      </c>
      <c r="K26" s="204"/>
    </row>
    <row r="27" spans="3:36" x14ac:dyDescent="0.25">
      <c r="F27" s="72" t="s">
        <v>230</v>
      </c>
      <c r="G27" s="205" t="s">
        <v>263</v>
      </c>
      <c r="H27" s="222"/>
      <c r="I27" s="86" t="s">
        <v>235</v>
      </c>
      <c r="J27" s="227" t="s">
        <v>242</v>
      </c>
      <c r="K27" s="228"/>
    </row>
    <row r="28" spans="3:36" x14ac:dyDescent="0.25">
      <c r="F28" s="73" t="s">
        <v>254</v>
      </c>
      <c r="G28" s="207" t="s">
        <v>264</v>
      </c>
      <c r="H28" s="223"/>
      <c r="I28" s="26"/>
      <c r="J28" s="229"/>
      <c r="K28" s="230"/>
    </row>
    <row r="29" spans="3:36" x14ac:dyDescent="0.25">
      <c r="F29" s="74" t="s">
        <v>144</v>
      </c>
      <c r="G29" s="191" t="s">
        <v>234</v>
      </c>
      <c r="H29" s="214"/>
      <c r="I29" s="19"/>
      <c r="J29" s="209"/>
      <c r="K29" s="210"/>
    </row>
    <row r="30" spans="3:36" ht="16.5" thickBot="1" x14ac:dyDescent="0.3">
      <c r="F30" s="81"/>
      <c r="G30" s="215" t="s">
        <v>233</v>
      </c>
      <c r="H30" s="216"/>
      <c r="I30" s="82"/>
      <c r="J30" s="211"/>
      <c r="K30" s="212"/>
    </row>
    <row r="31" spans="3:36" x14ac:dyDescent="0.25">
      <c r="F31" s="80"/>
      <c r="G31" s="217"/>
      <c r="H31" s="217"/>
      <c r="I31" s="69"/>
      <c r="J31" s="213"/>
      <c r="K31" s="213"/>
    </row>
    <row r="32" spans="3:36" x14ac:dyDescent="0.25">
      <c r="F32" s="69"/>
      <c r="G32" s="213"/>
      <c r="H32" s="213"/>
      <c r="I32" s="69"/>
      <c r="J32" s="69"/>
      <c r="K32" s="69"/>
    </row>
    <row r="33" spans="6:11" x14ac:dyDescent="0.25">
      <c r="F33" s="69"/>
      <c r="G33" s="213"/>
      <c r="H33" s="213"/>
      <c r="I33" s="69"/>
      <c r="J33" s="69"/>
      <c r="K33" s="69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92" priority="1" operator="containsText" text="LV">
      <formula>NOT(ISERROR(SEARCH("LV",F5)))</formula>
    </cfRule>
    <cfRule type="containsText" dxfId="91" priority="2" operator="containsText" text="STNN21">
      <formula>NOT(ISERROR(SEARCH("STNN21",F5)))</formula>
    </cfRule>
    <cfRule type="containsText" dxfId="90" priority="3" operator="containsText" text="STAN13">
      <formula>NOT(ISERROR(SEARCH("STAN13",F5)))</formula>
    </cfRule>
    <cfRule type="containsText" dxfId="89" priority="4" operator="containsText" text="STMN06">
      <formula>NOT(ISERROR(SEARCH("STMN06",F5)))</formula>
    </cfRule>
    <cfRule type="containsText" dxfId="88" priority="5" operator="containsText" text="MN12">
      <formula>NOT(ISERROR(SEARCH("MN12",F5)))</formula>
    </cfRule>
    <cfRule type="containsText" dxfId="87" priority="6" operator="containsText" text="TR">
      <formula>NOT(ISERROR(SEARCH("TR",F5)))</formula>
    </cfRule>
    <cfRule type="containsText" dxfId="86" priority="7" operator="containsText" text="OFF">
      <formula>NOT(ISERROR(SEARCH("OFF",F5)))</formula>
    </cfRule>
    <cfRule type="containsText" dxfId="85" priority="8" operator="containsText" text="NN21">
      <formula>NOT(ISERROR(SEARCH("NN21",F5)))</formula>
    </cfRule>
    <cfRule type="containsText" dxfId="84" priority="9" operator="containsText" text="AN13">
      <formula>NOT(ISERROR(SEARCH("AN13",F5)))</formula>
    </cfRule>
    <cfRule type="containsText" dxfId="83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I5" activePane="bottomRight" state="frozen"/>
      <selection pane="topRight" activeCell="E1" sqref="E1"/>
      <selection pane="bottomLeft" activeCell="A5" sqref="A5"/>
      <selection pane="bottomRight" activeCell="AI15" sqref="AI15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4" t="s">
        <v>265</v>
      </c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238" t="s">
        <v>105</v>
      </c>
      <c r="C3" s="239"/>
      <c r="D3" s="240"/>
      <c r="F3" s="121" t="s">
        <v>98</v>
      </c>
      <c r="G3" s="122" t="s">
        <v>99</v>
      </c>
      <c r="H3" s="122" t="s">
        <v>100</v>
      </c>
      <c r="I3" s="121" t="s">
        <v>101</v>
      </c>
      <c r="J3" s="122" t="s">
        <v>95</v>
      </c>
      <c r="K3" s="122" t="s">
        <v>96</v>
      </c>
      <c r="L3" s="121" t="s">
        <v>97</v>
      </c>
      <c r="M3" s="122" t="s">
        <v>98</v>
      </c>
      <c r="N3" s="122" t="s">
        <v>99</v>
      </c>
      <c r="O3" s="121" t="s">
        <v>100</v>
      </c>
      <c r="P3" s="122" t="s">
        <v>101</v>
      </c>
      <c r="Q3" s="122" t="s">
        <v>95</v>
      </c>
      <c r="R3" s="121" t="s">
        <v>96</v>
      </c>
      <c r="S3" s="122" t="s">
        <v>97</v>
      </c>
      <c r="T3" s="122" t="s">
        <v>98</v>
      </c>
      <c r="U3" s="121" t="s">
        <v>99</v>
      </c>
      <c r="V3" s="122" t="s">
        <v>100</v>
      </c>
      <c r="W3" s="122" t="s">
        <v>101</v>
      </c>
      <c r="X3" s="121" t="s">
        <v>95</v>
      </c>
      <c r="Y3" s="122" t="s">
        <v>96</v>
      </c>
      <c r="Z3" s="122" t="s">
        <v>97</v>
      </c>
      <c r="AA3" s="121" t="s">
        <v>98</v>
      </c>
      <c r="AB3" s="122" t="s">
        <v>99</v>
      </c>
      <c r="AC3" s="122" t="s">
        <v>100</v>
      </c>
      <c r="AD3" s="121" t="s">
        <v>101</v>
      </c>
      <c r="AE3" s="122" t="s">
        <v>95</v>
      </c>
      <c r="AF3" s="122" t="s">
        <v>96</v>
      </c>
      <c r="AG3" s="121" t="s">
        <v>97</v>
      </c>
      <c r="AH3" s="122" t="s">
        <v>98</v>
      </c>
      <c r="AI3" s="122" t="s">
        <v>99</v>
      </c>
      <c r="AJ3" s="121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241"/>
      <c r="C4" s="242"/>
      <c r="D4" s="243"/>
      <c r="F4" s="118">
        <v>1</v>
      </c>
      <c r="G4" s="119">
        <v>2</v>
      </c>
      <c r="H4" s="119">
        <v>3</v>
      </c>
      <c r="I4" s="119">
        <v>4</v>
      </c>
      <c r="J4" s="119">
        <v>5</v>
      </c>
      <c r="K4" s="119">
        <v>6</v>
      </c>
      <c r="L4" s="119">
        <v>7</v>
      </c>
      <c r="M4" s="119">
        <v>8</v>
      </c>
      <c r="N4" s="119">
        <v>9</v>
      </c>
      <c r="O4" s="119">
        <v>10</v>
      </c>
      <c r="P4" s="119">
        <v>11</v>
      </c>
      <c r="Q4" s="119">
        <v>12</v>
      </c>
      <c r="R4" s="119">
        <v>13</v>
      </c>
      <c r="S4" s="119">
        <v>14</v>
      </c>
      <c r="T4" s="119">
        <v>15</v>
      </c>
      <c r="U4" s="119">
        <v>16</v>
      </c>
      <c r="V4" s="119">
        <v>17</v>
      </c>
      <c r="W4" s="119">
        <v>18</v>
      </c>
      <c r="X4" s="119">
        <v>19</v>
      </c>
      <c r="Y4" s="119">
        <v>20</v>
      </c>
      <c r="Z4" s="119">
        <v>21</v>
      </c>
      <c r="AA4" s="119">
        <v>22</v>
      </c>
      <c r="AB4" s="119">
        <v>23</v>
      </c>
      <c r="AC4" s="119">
        <v>24</v>
      </c>
      <c r="AD4" s="119">
        <v>25</v>
      </c>
      <c r="AE4" s="119">
        <v>26</v>
      </c>
      <c r="AF4" s="119">
        <v>27</v>
      </c>
      <c r="AG4" s="119">
        <v>28</v>
      </c>
      <c r="AH4" s="119">
        <v>29</v>
      </c>
      <c r="AI4" s="119">
        <v>30</v>
      </c>
      <c r="AJ4" s="120">
        <v>31</v>
      </c>
      <c r="AL4" s="146"/>
      <c r="AM4" s="146"/>
      <c r="AN4" s="146"/>
      <c r="AO4" s="146"/>
      <c r="AP4" s="146"/>
    </row>
    <row r="5" spans="2:42" ht="18.75" x14ac:dyDescent="0.25">
      <c r="B5" s="66">
        <v>1</v>
      </c>
      <c r="C5" s="245" t="s">
        <v>225</v>
      </c>
      <c r="D5" s="246"/>
      <c r="F5" s="44" t="s">
        <v>257</v>
      </c>
      <c r="G5" s="44" t="s">
        <v>257</v>
      </c>
      <c r="H5" s="44" t="s">
        <v>257</v>
      </c>
      <c r="I5" s="105" t="s">
        <v>229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255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10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230</v>
      </c>
      <c r="AJ5" s="44" t="s">
        <v>256</v>
      </c>
      <c r="AL5" s="50">
        <f>COUNTIF($F5:$AJ5,"ST*")</f>
        <v>4</v>
      </c>
      <c r="AM5" s="50">
        <f>COUNTIF($F5:$AJ5,"M*")</f>
        <v>7</v>
      </c>
      <c r="AN5" s="50">
        <f>COUNTIF($F5:$AJ5,"A*")</f>
        <v>4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47" t="s">
        <v>214</v>
      </c>
      <c r="D6" s="234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255</v>
      </c>
      <c r="AJ6" s="56" t="s">
        <v>254</v>
      </c>
      <c r="AL6" s="50">
        <f t="shared" ref="AL6:AL19" si="0">COUNTIF($F6:$AJ6,"ST*")</f>
        <v>6</v>
      </c>
      <c r="AM6" s="50">
        <f t="shared" ref="AM6:AM19" si="1">COUNTIF($F6:$AJ6,"M*")</f>
        <v>3</v>
      </c>
      <c r="AN6" s="50">
        <f t="shared" ref="AN6:AN19" si="2">COUNTIF($F6:$AJ6,"A*")</f>
        <v>6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47" t="s">
        <v>215</v>
      </c>
      <c r="D7" s="234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254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255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7</v>
      </c>
      <c r="AM7" s="50">
        <f t="shared" si="1"/>
        <v>4</v>
      </c>
      <c r="AN7" s="50">
        <f t="shared" si="2"/>
        <v>3</v>
      </c>
      <c r="AO7" s="50">
        <f t="shared" si="3"/>
        <v>6</v>
      </c>
      <c r="AP7" s="50">
        <f t="shared" si="4"/>
        <v>11</v>
      </c>
    </row>
    <row r="8" spans="2:42" ht="18.75" x14ac:dyDescent="0.25">
      <c r="B8" s="58">
        <v>4</v>
      </c>
      <c r="C8" s="147" t="s">
        <v>216</v>
      </c>
      <c r="D8" s="234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229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6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58">
        <v>5</v>
      </c>
      <c r="C9" s="147" t="s">
        <v>217</v>
      </c>
      <c r="D9" s="234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47" t="s">
        <v>218</v>
      </c>
      <c r="D10" s="234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229</v>
      </c>
      <c r="N10" s="51" t="s">
        <v>230</v>
      </c>
      <c r="O10" s="51" t="s">
        <v>256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255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3</v>
      </c>
      <c r="AM10" s="50">
        <f t="shared" si="1"/>
        <v>4</v>
      </c>
      <c r="AN10" s="50">
        <f t="shared" si="2"/>
        <v>4</v>
      </c>
      <c r="AO10" s="50">
        <f t="shared" si="3"/>
        <v>3</v>
      </c>
      <c r="AP10" s="50">
        <f t="shared" si="4"/>
        <v>11</v>
      </c>
    </row>
    <row r="11" spans="2:42" ht="18.75" x14ac:dyDescent="0.25">
      <c r="B11" s="58">
        <v>7</v>
      </c>
      <c r="C11" s="147" t="s">
        <v>219</v>
      </c>
      <c r="D11" s="234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229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255</v>
      </c>
      <c r="U11" s="51" t="s">
        <v>255</v>
      </c>
      <c r="V11" s="51" t="s">
        <v>256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253</v>
      </c>
      <c r="AB11" s="51" t="s">
        <v>230</v>
      </c>
      <c r="AC11" s="51" t="s">
        <v>255</v>
      </c>
      <c r="AD11" s="51" t="s">
        <v>256</v>
      </c>
      <c r="AE11" s="51" t="s">
        <v>254</v>
      </c>
      <c r="AF11" s="51" t="s">
        <v>257</v>
      </c>
      <c r="AG11" s="51" t="s">
        <v>257</v>
      </c>
      <c r="AH11" s="51" t="s">
        <v>257</v>
      </c>
      <c r="AI11" s="56" t="s">
        <v>258</v>
      </c>
      <c r="AJ11" s="56" t="s">
        <v>258</v>
      </c>
      <c r="AL11" s="50">
        <f t="shared" si="0"/>
        <v>7</v>
      </c>
      <c r="AM11" s="50">
        <f t="shared" si="1"/>
        <v>3</v>
      </c>
      <c r="AN11" s="50">
        <f t="shared" si="2"/>
        <v>2</v>
      </c>
      <c r="AO11" s="50">
        <f t="shared" si="3"/>
        <v>5</v>
      </c>
      <c r="AP11" s="50">
        <f t="shared" si="4"/>
        <v>12</v>
      </c>
    </row>
    <row r="12" spans="2:42" ht="18.75" x14ac:dyDescent="0.25">
      <c r="B12" s="58">
        <v>8</v>
      </c>
      <c r="C12" s="147" t="s">
        <v>220</v>
      </c>
      <c r="D12" s="234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253</v>
      </c>
      <c r="T12" s="51" t="s">
        <v>230</v>
      </c>
      <c r="U12" s="51" t="s">
        <v>256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253</v>
      </c>
      <c r="AB12" s="56" t="s">
        <v>229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229</v>
      </c>
      <c r="AJ12" s="51" t="s">
        <v>230</v>
      </c>
      <c r="AL12" s="50">
        <f t="shared" si="0"/>
        <v>3</v>
      </c>
      <c r="AM12" s="50">
        <f t="shared" si="1"/>
        <v>5</v>
      </c>
      <c r="AN12" s="50">
        <f t="shared" si="2"/>
        <v>3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47" t="s">
        <v>221</v>
      </c>
      <c r="D13" s="234"/>
      <c r="F13" s="56" t="s">
        <v>257</v>
      </c>
      <c r="G13" s="56" t="s">
        <v>257</v>
      </c>
      <c r="H13" s="56" t="s">
        <v>257</v>
      </c>
      <c r="I13" s="56" t="s">
        <v>258</v>
      </c>
      <c r="J13" s="56" t="s">
        <v>258</v>
      </c>
      <c r="K13" s="56" t="s">
        <v>230</v>
      </c>
      <c r="L13" s="56" t="s">
        <v>258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255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4</v>
      </c>
      <c r="AM13" s="50">
        <f t="shared" si="1"/>
        <v>1</v>
      </c>
      <c r="AN13" s="50">
        <f t="shared" si="2"/>
        <v>3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47" t="s">
        <v>145</v>
      </c>
      <c r="D14" s="234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229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229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3</v>
      </c>
      <c r="AM14" s="50">
        <f t="shared" si="1"/>
        <v>7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8" t="s">
        <v>147</v>
      </c>
      <c r="D15" s="235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230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253</v>
      </c>
      <c r="Q15" s="51" t="s">
        <v>230</v>
      </c>
      <c r="R15" s="51" t="s">
        <v>230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230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5</v>
      </c>
      <c r="AM15" s="50">
        <f t="shared" si="1"/>
        <v>5</v>
      </c>
      <c r="AN15" s="50">
        <f t="shared" si="2"/>
        <v>6</v>
      </c>
      <c r="AO15" s="50">
        <f t="shared" si="3"/>
        <v>3</v>
      </c>
      <c r="AP15" s="50">
        <f t="shared" si="4"/>
        <v>11</v>
      </c>
    </row>
    <row r="16" spans="2:42" ht="18.75" x14ac:dyDescent="0.25">
      <c r="B16" s="58">
        <v>12</v>
      </c>
      <c r="C16" s="148" t="s">
        <v>170</v>
      </c>
      <c r="D16" s="235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8" t="s">
        <v>222</v>
      </c>
      <c r="D17" s="235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258</v>
      </c>
      <c r="L17" s="98" t="s">
        <v>258</v>
      </c>
      <c r="M17" s="98" t="s">
        <v>258</v>
      </c>
      <c r="N17" s="98" t="s">
        <v>258</v>
      </c>
      <c r="O17" s="98" t="s">
        <v>258</v>
      </c>
      <c r="P17" s="98" t="s">
        <v>258</v>
      </c>
      <c r="Q17" s="98" t="s">
        <v>258</v>
      </c>
      <c r="R17" s="98" t="s">
        <v>258</v>
      </c>
      <c r="S17" s="51" t="s">
        <v>257</v>
      </c>
      <c r="T17" s="51" t="s">
        <v>257</v>
      </c>
      <c r="U17" s="56" t="s">
        <v>229</v>
      </c>
      <c r="V17" s="98" t="s">
        <v>255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4</v>
      </c>
      <c r="AM17" s="50">
        <f t="shared" si="1"/>
        <v>2</v>
      </c>
      <c r="AN17" s="50">
        <f t="shared" si="2"/>
        <v>2</v>
      </c>
      <c r="AO17" s="50">
        <f t="shared" si="3"/>
        <v>2</v>
      </c>
      <c r="AP17" s="50">
        <f t="shared" si="4"/>
        <v>8</v>
      </c>
    </row>
    <row r="18" spans="2:42" ht="18.75" x14ac:dyDescent="0.25">
      <c r="B18" s="58">
        <v>14</v>
      </c>
      <c r="C18" s="148" t="s">
        <v>223</v>
      </c>
      <c r="D18" s="235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230</v>
      </c>
      <c r="W18" s="51" t="s">
        <v>256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253</v>
      </c>
      <c r="AD18" s="51" t="s">
        <v>230</v>
      </c>
      <c r="AE18" s="51" t="s">
        <v>256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4</v>
      </c>
      <c r="AM18" s="50">
        <f t="shared" si="1"/>
        <v>3</v>
      </c>
      <c r="AN18" s="50">
        <f t="shared" si="2"/>
        <v>5</v>
      </c>
      <c r="AO18" s="50">
        <f t="shared" si="3"/>
        <v>2</v>
      </c>
      <c r="AP18" s="50">
        <f t="shared" si="4"/>
        <v>12</v>
      </c>
    </row>
    <row r="19" spans="2:42" ht="19.5" thickBot="1" x14ac:dyDescent="0.3">
      <c r="B19" s="59">
        <v>15</v>
      </c>
      <c r="C19" s="236" t="s">
        <v>224</v>
      </c>
      <c r="D19" s="237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106" t="s">
        <v>229</v>
      </c>
      <c r="L19" s="64" t="s">
        <v>230</v>
      </c>
      <c r="M19" s="64" t="s">
        <v>230</v>
      </c>
      <c r="N19" s="64" t="s">
        <v>254</v>
      </c>
      <c r="O19" s="64" t="s">
        <v>254</v>
      </c>
      <c r="P19" s="64" t="s">
        <v>257</v>
      </c>
      <c r="Q19" s="64" t="s">
        <v>257</v>
      </c>
      <c r="R19" s="64" t="s">
        <v>257</v>
      </c>
      <c r="S19" s="106" t="s">
        <v>229</v>
      </c>
      <c r="T19" s="106" t="s">
        <v>230</v>
      </c>
      <c r="U19" s="64" t="s">
        <v>230</v>
      </c>
      <c r="V19" s="64" t="s">
        <v>254</v>
      </c>
      <c r="W19" s="64" t="s">
        <v>254</v>
      </c>
      <c r="X19" s="64" t="s">
        <v>257</v>
      </c>
      <c r="Y19" s="64" t="s">
        <v>257</v>
      </c>
      <c r="Z19" s="64" t="s">
        <v>257</v>
      </c>
      <c r="AA19" s="64" t="s">
        <v>229</v>
      </c>
      <c r="AB19" s="64" t="s">
        <v>255</v>
      </c>
      <c r="AC19" s="64" t="s">
        <v>230</v>
      </c>
      <c r="AD19" s="64" t="s">
        <v>254</v>
      </c>
      <c r="AE19" s="64" t="s">
        <v>254</v>
      </c>
      <c r="AF19" s="64" t="s">
        <v>257</v>
      </c>
      <c r="AG19" s="64" t="s">
        <v>257</v>
      </c>
      <c r="AH19" s="64" t="s">
        <v>257</v>
      </c>
      <c r="AI19" s="106" t="s">
        <v>229</v>
      </c>
      <c r="AJ19" s="64" t="s">
        <v>230</v>
      </c>
      <c r="AL19" s="50">
        <f t="shared" si="0"/>
        <v>1</v>
      </c>
      <c r="AM19" s="50">
        <f t="shared" si="1"/>
        <v>4</v>
      </c>
      <c r="AN19" s="50">
        <f t="shared" si="2"/>
        <v>6</v>
      </c>
      <c r="AO19" s="50">
        <f t="shared" si="3"/>
        <v>8</v>
      </c>
      <c r="AP19" s="50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3" t="s">
        <v>91</v>
      </c>
      <c r="D21" s="183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3" t="s">
        <v>92</v>
      </c>
      <c r="D22" s="183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3" t="s">
        <v>72</v>
      </c>
      <c r="D23" s="183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3" t="s">
        <v>73</v>
      </c>
      <c r="D24" s="183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5</v>
      </c>
      <c r="L24" s="37">
        <f t="shared" si="8"/>
        <v>5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5</v>
      </c>
      <c r="Q24" s="37">
        <f t="shared" si="8"/>
        <v>5</v>
      </c>
      <c r="R24" s="37">
        <f t="shared" si="8"/>
        <v>5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6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6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9" t="s">
        <v>106</v>
      </c>
      <c r="D25" s="180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2</v>
      </c>
      <c r="J25" s="37">
        <f t="shared" si="9"/>
        <v>1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1</v>
      </c>
      <c r="T25" s="37">
        <f t="shared" si="9"/>
        <v>3</v>
      </c>
      <c r="U25" s="37">
        <f t="shared" si="9"/>
        <v>3</v>
      </c>
      <c r="V25" s="37">
        <f t="shared" si="9"/>
        <v>3</v>
      </c>
      <c r="W25" s="37">
        <f t="shared" si="9"/>
        <v>4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3</v>
      </c>
      <c r="AB25" s="37">
        <f t="shared" si="9"/>
        <v>2</v>
      </c>
      <c r="AC25" s="37">
        <f t="shared" si="9"/>
        <v>2</v>
      </c>
      <c r="AD25" s="37">
        <f t="shared" si="9"/>
        <v>2</v>
      </c>
      <c r="AE25" s="37">
        <f t="shared" si="9"/>
        <v>3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1</v>
      </c>
      <c r="AJ25" s="37">
        <f t="shared" si="9"/>
        <v>1</v>
      </c>
    </row>
    <row r="26" spans="2:42" ht="18.75" x14ac:dyDescent="0.3">
      <c r="C26" s="181" t="s">
        <v>104</v>
      </c>
      <c r="D26" s="181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0</v>
      </c>
      <c r="J26" s="53">
        <f t="shared" si="10"/>
        <v>0</v>
      </c>
      <c r="K26" s="53">
        <f t="shared" si="10"/>
        <v>0</v>
      </c>
      <c r="L26" s="53">
        <f t="shared" si="10"/>
        <v>0</v>
      </c>
      <c r="M26" s="53">
        <f t="shared" si="10"/>
        <v>0</v>
      </c>
      <c r="N26" s="53">
        <f t="shared" si="10"/>
        <v>0</v>
      </c>
      <c r="O26" s="53">
        <f t="shared" si="10"/>
        <v>0</v>
      </c>
      <c r="P26" s="53">
        <f t="shared" si="10"/>
        <v>0</v>
      </c>
      <c r="Q26" s="53">
        <f t="shared" si="10"/>
        <v>0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0</v>
      </c>
      <c r="V26" s="53">
        <f t="shared" si="10"/>
        <v>0</v>
      </c>
      <c r="W26" s="53">
        <f t="shared" si="10"/>
        <v>0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0</v>
      </c>
      <c r="AB26" s="53">
        <f t="shared" si="10"/>
        <v>0</v>
      </c>
      <c r="AC26" s="53">
        <f t="shared" si="10"/>
        <v>0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</row>
    <row r="28" spans="2:42" ht="18.75" x14ac:dyDescent="0.3">
      <c r="C28" s="183" t="s">
        <v>102</v>
      </c>
      <c r="D28" s="183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3" t="s">
        <v>90</v>
      </c>
      <c r="D29" s="18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3" t="s">
        <v>103</v>
      </c>
      <c r="D30" s="183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13</v>
      </c>
      <c r="J30" s="37">
        <f t="shared" si="12"/>
        <v>12</v>
      </c>
      <c r="K30" s="37">
        <f t="shared" si="12"/>
        <v>11</v>
      </c>
      <c r="L30" s="37">
        <f t="shared" si="12"/>
        <v>11</v>
      </c>
      <c r="M30" s="37">
        <f t="shared" si="12"/>
        <v>12</v>
      </c>
      <c r="N30" s="37">
        <f t="shared" si="12"/>
        <v>12</v>
      </c>
      <c r="O30" s="37">
        <f t="shared" si="12"/>
        <v>12</v>
      </c>
      <c r="P30" s="37">
        <f t="shared" si="12"/>
        <v>13</v>
      </c>
      <c r="Q30" s="37">
        <f t="shared" si="12"/>
        <v>12</v>
      </c>
      <c r="R30" s="37">
        <f t="shared" si="12"/>
        <v>14</v>
      </c>
      <c r="S30" s="37">
        <f t="shared" si="12"/>
        <v>13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15</v>
      </c>
      <c r="AA30" s="37">
        <f t="shared" si="12"/>
        <v>15</v>
      </c>
      <c r="AB30" s="37">
        <f t="shared" si="12"/>
        <v>14</v>
      </c>
      <c r="AC30" s="37">
        <f t="shared" si="12"/>
        <v>14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13</v>
      </c>
      <c r="AH30" s="37">
        <f t="shared" si="12"/>
        <v>14</v>
      </c>
      <c r="AI30" s="37">
        <f t="shared" si="12"/>
        <v>13</v>
      </c>
      <c r="AJ30" s="37">
        <f t="shared" si="12"/>
        <v>13</v>
      </c>
    </row>
    <row r="32" spans="2:42" ht="9.75" customHeight="1" thickBot="1" x14ac:dyDescent="0.3"/>
    <row r="33" spans="6:8" ht="16.5" thickBot="1" x14ac:dyDescent="0.3">
      <c r="F33" s="199" t="s">
        <v>232</v>
      </c>
      <c r="G33" s="200"/>
      <c r="H33" s="201"/>
    </row>
    <row r="34" spans="6:8" x14ac:dyDescent="0.25">
      <c r="F34" s="70" t="s">
        <v>142</v>
      </c>
      <c r="G34" s="202" t="s">
        <v>228</v>
      </c>
      <c r="H34" s="203"/>
    </row>
    <row r="35" spans="6:8" x14ac:dyDescent="0.25">
      <c r="F35" s="71" t="s">
        <v>119</v>
      </c>
      <c r="G35" s="220" t="s">
        <v>229</v>
      </c>
      <c r="H35" s="233"/>
    </row>
    <row r="36" spans="6:8" x14ac:dyDescent="0.25">
      <c r="F36" s="72" t="s">
        <v>226</v>
      </c>
      <c r="G36" s="205" t="s">
        <v>230</v>
      </c>
      <c r="H36" s="206"/>
    </row>
    <row r="37" spans="6:8" x14ac:dyDescent="0.25">
      <c r="F37" s="73" t="s">
        <v>227</v>
      </c>
      <c r="G37" s="207" t="s">
        <v>231</v>
      </c>
      <c r="H37" s="208"/>
    </row>
    <row r="38" spans="6:8" x14ac:dyDescent="0.25">
      <c r="F38" s="74" t="s">
        <v>144</v>
      </c>
      <c r="G38" s="191" t="s">
        <v>234</v>
      </c>
      <c r="H38" s="192"/>
    </row>
    <row r="39" spans="6:8" x14ac:dyDescent="0.25">
      <c r="F39" s="75"/>
      <c r="G39" s="193" t="s">
        <v>233</v>
      </c>
      <c r="H39" s="194"/>
    </row>
    <row r="40" spans="6:8" ht="16.5" thickBot="1" x14ac:dyDescent="0.3">
      <c r="F40" s="76" t="s">
        <v>235</v>
      </c>
      <c r="G40" s="231" t="s">
        <v>236</v>
      </c>
      <c r="H40" s="232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82" priority="1" operator="containsText" text="STMN06">
      <formula>NOT(ISERROR(SEARCH("STMN06",F5)))</formula>
    </cfRule>
    <cfRule type="containsText" dxfId="81" priority="3" operator="containsText" text="STAN13">
      <formula>NOT(ISERROR(SEARCH("STAN13",F5)))</formula>
    </cfRule>
    <cfRule type="containsText" dxfId="80" priority="4" operator="containsText" text="TR">
      <formula>NOT(ISERROR(SEARCH("TR",F5)))</formula>
    </cfRule>
    <cfRule type="containsText" dxfId="79" priority="5" operator="containsText" text="LV">
      <formula>NOT(ISERROR(SEARCH("LV",F5)))</formula>
    </cfRule>
    <cfRule type="containsText" dxfId="78" priority="6" operator="containsText" text="AN13">
      <formula>NOT(ISERROR(SEARCH("AN13",F5)))</formula>
    </cfRule>
    <cfRule type="containsText" dxfId="77" priority="7" operator="containsText" text="AN13">
      <formula>NOT(ISERROR(SEARCH("AN13",F5)))</formula>
    </cfRule>
    <cfRule type="containsText" dxfId="76" priority="8" operator="containsText" text="AN13">
      <formula>NOT(ISERROR(SEARCH("AN13",F5)))</formula>
    </cfRule>
    <cfRule type="containsText" dxfId="75" priority="9" operator="containsText" text="MN06">
      <formula>NOT(ISERROR(SEARCH("MN06",F5)))</formula>
    </cfRule>
    <cfRule type="containsText" dxfId="74" priority="10" operator="containsText" text="STAN13">
      <formula>NOT(ISERROR(SEARCH("STAN13",F5)))</formula>
    </cfRule>
    <cfRule type="containsText" dxfId="73" priority="11" operator="containsText" text="STNN21">
      <formula>NOT(ISERROR(SEARCH("STNN21",F5)))</formula>
    </cfRule>
    <cfRule type="containsText" dxfId="72" priority="12" operator="containsText" text="NN21">
      <formula>NOT(ISERROR(SEARCH("NN21",F5)))</formula>
    </cfRule>
    <cfRule type="containsText" dxfId="71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abSelected="1" topLeftCell="A2" zoomScale="80" zoomScaleNormal="80" workbookViewId="0">
      <pane xSplit="4" ySplit="3" topLeftCell="E15" activePane="bottomRight" state="frozen"/>
      <selection activeCell="A2" sqref="A2"/>
      <selection pane="topRight" activeCell="E2" sqref="E2"/>
      <selection pane="bottomLeft" activeCell="A5" sqref="A5"/>
      <selection pane="bottomRight" activeCell="P33" sqref="P3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261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146</v>
      </c>
      <c r="D5" s="147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5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47" t="s">
        <v>149</v>
      </c>
      <c r="D6" s="147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4</v>
      </c>
      <c r="AO6" s="50">
        <f t="shared" si="3"/>
        <v>7</v>
      </c>
      <c r="AP6" s="50">
        <f t="shared" si="4"/>
        <v>12</v>
      </c>
    </row>
    <row r="7" spans="2:42" ht="18.75" x14ac:dyDescent="0.25">
      <c r="B7" s="37">
        <v>3</v>
      </c>
      <c r="C7" s="147" t="s">
        <v>150</v>
      </c>
      <c r="D7" s="147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6</v>
      </c>
      <c r="AO7" s="50">
        <f t="shared" si="3"/>
        <v>7</v>
      </c>
      <c r="AP7" s="50">
        <f t="shared" si="4"/>
        <v>12</v>
      </c>
    </row>
    <row r="8" spans="2:42" ht="18.75" x14ac:dyDescent="0.25">
      <c r="B8" s="37">
        <v>4</v>
      </c>
      <c r="C8" s="147" t="s">
        <v>151</v>
      </c>
      <c r="D8" s="147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253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1</v>
      </c>
      <c r="AM8" s="50">
        <f t="shared" si="1"/>
        <v>4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47" t="s">
        <v>152</v>
      </c>
      <c r="D9" s="147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47" t="s">
        <v>153</v>
      </c>
      <c r="D10" s="147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47" t="s">
        <v>154</v>
      </c>
      <c r="D11" s="147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47" t="s">
        <v>155</v>
      </c>
      <c r="D12" s="147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47" t="s">
        <v>156</v>
      </c>
      <c r="D13" s="147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47" t="s">
        <v>157</v>
      </c>
      <c r="D14" s="147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230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5</v>
      </c>
      <c r="AN14" s="50">
        <f t="shared" si="2"/>
        <v>7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47" t="s">
        <v>158</v>
      </c>
      <c r="D15" s="147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229</v>
      </c>
      <c r="V15" s="113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4</v>
      </c>
      <c r="AN15" s="50">
        <f t="shared" si="2"/>
        <v>4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47" t="s">
        <v>166</v>
      </c>
      <c r="D16" s="147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229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258</v>
      </c>
      <c r="AJ16" s="51" t="s">
        <v>258</v>
      </c>
      <c r="AL16" s="50">
        <f t="shared" si="0"/>
        <v>0</v>
      </c>
      <c r="AM16" s="50">
        <f t="shared" si="1"/>
        <v>4</v>
      </c>
      <c r="AN16" s="50">
        <f t="shared" si="2"/>
        <v>5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47" t="s">
        <v>159</v>
      </c>
      <c r="D17" s="147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229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229</v>
      </c>
      <c r="U17" s="51" t="s">
        <v>230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9</v>
      </c>
      <c r="AN17" s="50">
        <f t="shared" si="2"/>
        <v>4</v>
      </c>
      <c r="AO17" s="50">
        <f t="shared" si="3"/>
        <v>5</v>
      </c>
      <c r="AP17" s="50">
        <f t="shared" si="4"/>
        <v>12</v>
      </c>
    </row>
    <row r="18" spans="2:42" ht="18.75" x14ac:dyDescent="0.25">
      <c r="B18" s="37">
        <v>14</v>
      </c>
      <c r="C18" s="147" t="s">
        <v>160</v>
      </c>
      <c r="D18" s="147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144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47" t="s">
        <v>161</v>
      </c>
      <c r="D19" s="147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47" t="s">
        <v>162</v>
      </c>
      <c r="D20" s="147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47" t="s">
        <v>163</v>
      </c>
      <c r="D21" s="147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47" t="s">
        <v>164</v>
      </c>
      <c r="D22" s="147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230</v>
      </c>
      <c r="X22" s="51" t="s">
        <v>254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253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1</v>
      </c>
      <c r="AM22" s="50">
        <f t="shared" si="1"/>
        <v>2</v>
      </c>
      <c r="AN22" s="50">
        <f t="shared" si="2"/>
        <v>2</v>
      </c>
      <c r="AO22" s="50">
        <f t="shared" si="3"/>
        <v>3</v>
      </c>
      <c r="AP22" s="50">
        <f t="shared" si="4"/>
        <v>6</v>
      </c>
    </row>
    <row r="23" spans="2:42" ht="18.75" x14ac:dyDescent="0.25">
      <c r="B23" s="37">
        <v>19</v>
      </c>
      <c r="C23" s="147" t="s">
        <v>165</v>
      </c>
      <c r="D23" s="147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230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230</v>
      </c>
      <c r="AL23" s="50">
        <f t="shared" si="0"/>
        <v>0</v>
      </c>
      <c r="AM23" s="50">
        <f t="shared" si="1"/>
        <v>3</v>
      </c>
      <c r="AN23" s="50">
        <f t="shared" si="2"/>
        <v>7</v>
      </c>
      <c r="AO23" s="50">
        <f t="shared" si="3"/>
        <v>5</v>
      </c>
      <c r="AP23" s="50">
        <f t="shared" si="4"/>
        <v>11</v>
      </c>
    </row>
    <row r="24" spans="2:42" ht="18.75" x14ac:dyDescent="0.25">
      <c r="B24" s="37">
        <v>20</v>
      </c>
      <c r="C24" s="147" t="s">
        <v>167</v>
      </c>
      <c r="D24" s="147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47" t="s">
        <v>168</v>
      </c>
      <c r="D25" s="147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47" t="s">
        <v>169</v>
      </c>
      <c r="D26" s="147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47" t="s">
        <v>148</v>
      </c>
      <c r="D27" s="147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104" t="s">
        <v>229</v>
      </c>
      <c r="X27" s="104" t="s">
        <v>230</v>
      </c>
      <c r="Y27" s="104" t="s">
        <v>254</v>
      </c>
      <c r="Z27" s="104" t="s">
        <v>254</v>
      </c>
      <c r="AA27" s="51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47" t="s">
        <v>171</v>
      </c>
      <c r="D28" s="147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47" t="s">
        <v>172</v>
      </c>
      <c r="D29" s="147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258</v>
      </c>
      <c r="U29" s="51" t="s">
        <v>258</v>
      </c>
      <c r="V29" s="51" t="s">
        <v>258</v>
      </c>
      <c r="W29" s="51" t="s">
        <v>258</v>
      </c>
      <c r="X29" s="51" t="s">
        <v>258</v>
      </c>
      <c r="Y29" s="51" t="s">
        <v>258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230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229</v>
      </c>
      <c r="AL29" s="50">
        <f t="shared" si="0"/>
        <v>0</v>
      </c>
      <c r="AM29" s="50">
        <f t="shared" si="1"/>
        <v>2</v>
      </c>
      <c r="AN29" s="50">
        <f t="shared" si="2"/>
        <v>5</v>
      </c>
      <c r="AO29" s="50">
        <f t="shared" si="3"/>
        <v>5</v>
      </c>
      <c r="AP29" s="50">
        <f t="shared" si="4"/>
        <v>11</v>
      </c>
    </row>
    <row r="30" spans="2:42" ht="18.75" x14ac:dyDescent="0.25">
      <c r="B30" s="37">
        <v>26</v>
      </c>
      <c r="C30" s="148" t="s">
        <v>173</v>
      </c>
      <c r="D30" s="153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230</v>
      </c>
      <c r="M30" s="51" t="s">
        <v>230</v>
      </c>
      <c r="N30" s="51" t="s">
        <v>254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255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230</v>
      </c>
      <c r="AL30" s="50">
        <f t="shared" si="0"/>
        <v>1</v>
      </c>
      <c r="AM30" s="50">
        <f t="shared" si="1"/>
        <v>4</v>
      </c>
      <c r="AN30" s="50">
        <f t="shared" si="2"/>
        <v>6</v>
      </c>
      <c r="AO30" s="50">
        <f t="shared" si="3"/>
        <v>8</v>
      </c>
      <c r="AP30" s="50">
        <f t="shared" si="4"/>
        <v>12</v>
      </c>
    </row>
    <row r="31" spans="2:42" ht="18.75" x14ac:dyDescent="0.25">
      <c r="B31" s="37">
        <v>27</v>
      </c>
      <c r="C31" s="148" t="s">
        <v>211</v>
      </c>
      <c r="D31" s="153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229</v>
      </c>
      <c r="AJ31" s="51" t="s">
        <v>255</v>
      </c>
      <c r="AL31" s="50">
        <f t="shared" si="0"/>
        <v>1</v>
      </c>
      <c r="AM31" s="50">
        <f t="shared" si="1"/>
        <v>4</v>
      </c>
      <c r="AN31" s="50">
        <f t="shared" si="2"/>
        <v>4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8" t="s">
        <v>213</v>
      </c>
      <c r="D32" s="153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230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7</v>
      </c>
      <c r="AO32" s="50">
        <f t="shared" si="3"/>
        <v>4</v>
      </c>
      <c r="AP32" s="50">
        <f t="shared" si="4"/>
        <v>12</v>
      </c>
    </row>
    <row r="33" spans="2:42" ht="18.75" x14ac:dyDescent="0.25">
      <c r="B33" s="37">
        <v>29</v>
      </c>
      <c r="C33" s="148" t="s">
        <v>212</v>
      </c>
      <c r="D33" s="153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230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5</v>
      </c>
      <c r="AO33" s="50">
        <f t="shared" si="3"/>
        <v>5</v>
      </c>
      <c r="AP33" s="50">
        <f t="shared" si="4"/>
        <v>10</v>
      </c>
    </row>
    <row r="34" spans="2:42" ht="18.75" x14ac:dyDescent="0.25">
      <c r="B34" s="37">
        <v>30</v>
      </c>
      <c r="C34" s="147" t="s">
        <v>174</v>
      </c>
      <c r="D34" s="147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47" t="s">
        <v>175</v>
      </c>
      <c r="D35" s="147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8" t="s">
        <v>176</v>
      </c>
      <c r="D36" s="153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1" t="s">
        <v>229</v>
      </c>
      <c r="V36" s="51" t="s">
        <v>229</v>
      </c>
      <c r="W36" s="51" t="s">
        <v>230</v>
      </c>
      <c r="X36" s="51" t="s">
        <v>254</v>
      </c>
      <c r="Y36" s="51" t="s">
        <v>254</v>
      </c>
      <c r="Z36" s="51" t="s">
        <v>257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3</v>
      </c>
      <c r="AN36" s="50">
        <f t="shared" si="2"/>
        <v>3</v>
      </c>
      <c r="AO36" s="50">
        <f t="shared" si="3"/>
        <v>4</v>
      </c>
      <c r="AP36" s="50">
        <f t="shared" si="4"/>
        <v>8</v>
      </c>
    </row>
    <row r="37" spans="2:42" ht="18.75" x14ac:dyDescent="0.25">
      <c r="B37" s="37">
        <v>33</v>
      </c>
      <c r="C37" s="147" t="s">
        <v>177</v>
      </c>
      <c r="D37" s="147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3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7" t="s">
        <v>184</v>
      </c>
      <c r="D38" s="248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7" t="s">
        <v>185</v>
      </c>
      <c r="D39" s="248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230</v>
      </c>
      <c r="Q39" s="51" t="s">
        <v>230</v>
      </c>
      <c r="R39" s="51" t="s">
        <v>230</v>
      </c>
      <c r="S39" s="51" t="s">
        <v>229</v>
      </c>
      <c r="T39" s="51" t="s">
        <v>229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9</v>
      </c>
      <c r="AN39" s="50">
        <f t="shared" si="2"/>
        <v>12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49" t="s">
        <v>268</v>
      </c>
      <c r="D40" s="249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3" t="s">
        <v>91</v>
      </c>
      <c r="D42" s="183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4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5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5</v>
      </c>
    </row>
    <row r="43" spans="2:42" ht="18.75" x14ac:dyDescent="0.3">
      <c r="C43" s="183" t="s">
        <v>92</v>
      </c>
      <c r="D43" s="183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5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6</v>
      </c>
      <c r="AC43" s="37">
        <f t="shared" si="6"/>
        <v>6</v>
      </c>
      <c r="AD43" s="37">
        <f t="shared" si="6"/>
        <v>6</v>
      </c>
      <c r="AE43" s="37">
        <f t="shared" si="6"/>
        <v>6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6</v>
      </c>
    </row>
    <row r="44" spans="2:42" ht="18.75" x14ac:dyDescent="0.3">
      <c r="C44" s="183" t="s">
        <v>72</v>
      </c>
      <c r="D44" s="183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5</v>
      </c>
      <c r="W44" s="37">
        <f t="shared" si="7"/>
        <v>6</v>
      </c>
      <c r="X44" s="37">
        <f t="shared" si="7"/>
        <v>6</v>
      </c>
      <c r="Y44" s="37">
        <f t="shared" si="7"/>
        <v>6</v>
      </c>
      <c r="Z44" s="37">
        <f t="shared" si="7"/>
        <v>5</v>
      </c>
      <c r="AA44" s="37">
        <f t="shared" si="7"/>
        <v>6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6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7</v>
      </c>
    </row>
    <row r="45" spans="2:42" ht="18.75" x14ac:dyDescent="0.3">
      <c r="C45" s="183" t="s">
        <v>73</v>
      </c>
      <c r="D45" s="183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11</v>
      </c>
      <c r="Z45" s="37">
        <f t="shared" si="8"/>
        <v>12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9" t="s">
        <v>143</v>
      </c>
      <c r="D46" s="180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2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9" t="s">
        <v>106</v>
      </c>
      <c r="D47" s="180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2</v>
      </c>
      <c r="AC47" s="37">
        <f t="shared" si="10"/>
        <v>1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1</v>
      </c>
    </row>
    <row r="48" spans="2:42" ht="18.75" x14ac:dyDescent="0.3">
      <c r="C48" s="181" t="s">
        <v>104</v>
      </c>
      <c r="D48" s="181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-3</v>
      </c>
      <c r="S48" s="53">
        <f t="shared" si="11"/>
        <v>-2</v>
      </c>
      <c r="T48" s="53">
        <f t="shared" si="11"/>
        <v>-1</v>
      </c>
      <c r="U48" s="53">
        <f t="shared" si="11"/>
        <v>-1</v>
      </c>
      <c r="V48" s="53">
        <f t="shared" si="11"/>
        <v>-3</v>
      </c>
      <c r="W48" s="53">
        <f t="shared" si="11"/>
        <v>-2</v>
      </c>
      <c r="X48" s="53">
        <f t="shared" si="11"/>
        <v>-2</v>
      </c>
      <c r="Y48" s="53">
        <f t="shared" si="11"/>
        <v>-2</v>
      </c>
      <c r="Z48" s="53">
        <f t="shared" si="11"/>
        <v>-3</v>
      </c>
      <c r="AA48" s="53">
        <f t="shared" si="11"/>
        <v>-2</v>
      </c>
      <c r="AB48" s="53">
        <f t="shared" si="11"/>
        <v>0</v>
      </c>
      <c r="AC48" s="53">
        <f t="shared" si="11"/>
        <v>0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-1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</row>
    <row r="50" spans="3:36" ht="18.75" x14ac:dyDescent="0.3">
      <c r="C50" s="183" t="s">
        <v>102</v>
      </c>
      <c r="D50" s="183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15</v>
      </c>
      <c r="S50" s="41">
        <f t="shared" si="12"/>
        <v>16</v>
      </c>
      <c r="T50" s="41">
        <f t="shared" si="12"/>
        <v>17</v>
      </c>
      <c r="U50" s="41">
        <f t="shared" si="12"/>
        <v>17</v>
      </c>
      <c r="V50" s="41">
        <f t="shared" si="12"/>
        <v>15</v>
      </c>
      <c r="W50" s="41">
        <f t="shared" si="12"/>
        <v>16</v>
      </c>
      <c r="X50" s="41">
        <f t="shared" si="12"/>
        <v>16</v>
      </c>
      <c r="Y50" s="41">
        <f t="shared" si="12"/>
        <v>16</v>
      </c>
      <c r="Z50" s="41">
        <f t="shared" si="12"/>
        <v>15</v>
      </c>
      <c r="AA50" s="41">
        <f t="shared" si="12"/>
        <v>16</v>
      </c>
      <c r="AB50" s="41">
        <f t="shared" si="12"/>
        <v>18</v>
      </c>
      <c r="AC50" s="41">
        <f t="shared" si="12"/>
        <v>18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17</v>
      </c>
      <c r="AJ50" s="41">
        <v>18</v>
      </c>
    </row>
    <row r="51" spans="3:36" ht="18.75" x14ac:dyDescent="0.3">
      <c r="C51" s="183" t="s">
        <v>90</v>
      </c>
      <c r="D51" s="183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3" t="s">
        <v>103</v>
      </c>
      <c r="D52" s="183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26</v>
      </c>
      <c r="S52" s="37">
        <f t="shared" si="13"/>
        <v>28</v>
      </c>
      <c r="T52" s="37">
        <f t="shared" si="13"/>
        <v>28</v>
      </c>
      <c r="U52" s="37">
        <f t="shared" si="13"/>
        <v>30</v>
      </c>
      <c r="V52" s="37">
        <f t="shared" si="13"/>
        <v>31</v>
      </c>
      <c r="W52" s="37">
        <f t="shared" si="13"/>
        <v>29</v>
      </c>
      <c r="X52" s="37">
        <f t="shared" si="13"/>
        <v>27</v>
      </c>
      <c r="Y52" s="37">
        <f t="shared" si="13"/>
        <v>27</v>
      </c>
      <c r="Z52" s="37">
        <f t="shared" si="13"/>
        <v>27</v>
      </c>
      <c r="AA52" s="37">
        <f t="shared" si="13"/>
        <v>26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31</v>
      </c>
      <c r="AJ52" s="37">
        <v>35</v>
      </c>
    </row>
    <row r="53" spans="3:36" ht="16.5" thickBot="1" x14ac:dyDescent="0.3"/>
    <row r="54" spans="3:36" ht="16.5" thickBot="1" x14ac:dyDescent="0.3">
      <c r="F54" s="224" t="s">
        <v>232</v>
      </c>
      <c r="G54" s="225"/>
      <c r="H54" s="225"/>
      <c r="I54" s="225"/>
      <c r="J54" s="225"/>
      <c r="K54" s="226"/>
    </row>
    <row r="55" spans="3:36" x14ac:dyDescent="0.25">
      <c r="F55" s="70" t="s">
        <v>142</v>
      </c>
      <c r="G55" s="218" t="s">
        <v>228</v>
      </c>
      <c r="H55" s="219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20" t="s">
        <v>229</v>
      </c>
      <c r="H56" s="221"/>
      <c r="I56" s="83" t="s">
        <v>239</v>
      </c>
      <c r="J56" s="197" t="s">
        <v>241</v>
      </c>
      <c r="K56" s="204"/>
    </row>
    <row r="57" spans="3:36" x14ac:dyDescent="0.25">
      <c r="F57" s="72" t="s">
        <v>226</v>
      </c>
      <c r="G57" s="205" t="s">
        <v>230</v>
      </c>
      <c r="H57" s="222"/>
      <c r="I57" s="86" t="s">
        <v>235</v>
      </c>
      <c r="J57" s="227" t="s">
        <v>242</v>
      </c>
      <c r="K57" s="228"/>
    </row>
    <row r="58" spans="3:36" x14ac:dyDescent="0.25">
      <c r="F58" s="73" t="s">
        <v>227</v>
      </c>
      <c r="G58" s="207" t="s">
        <v>254</v>
      </c>
      <c r="H58" s="223"/>
      <c r="I58" s="26"/>
      <c r="J58" s="229"/>
      <c r="K58" s="230"/>
    </row>
    <row r="59" spans="3:36" x14ac:dyDescent="0.25">
      <c r="F59" s="74" t="s">
        <v>144</v>
      </c>
      <c r="G59" s="191" t="s">
        <v>234</v>
      </c>
      <c r="H59" s="214"/>
      <c r="I59" s="19"/>
      <c r="J59" s="209"/>
      <c r="K59" s="210"/>
    </row>
    <row r="60" spans="3:36" ht="16.5" thickBot="1" x14ac:dyDescent="0.3">
      <c r="F60" s="81" t="s">
        <v>258</v>
      </c>
      <c r="G60" s="215" t="s">
        <v>233</v>
      </c>
      <c r="H60" s="216"/>
      <c r="I60" s="82"/>
      <c r="J60" s="211"/>
      <c r="K60" s="212"/>
    </row>
  </sheetData>
  <dataConsolidate/>
  <mergeCells count="66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J49"/>
    <mergeCell ref="C50:D50"/>
    <mergeCell ref="C51:D51"/>
    <mergeCell ref="C52:D52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</mergeCells>
  <phoneticPr fontId="14" type="noConversion"/>
  <conditionalFormatting sqref="F5:AJ40">
    <cfRule type="containsText" dxfId="70" priority="1" operator="containsText" text="MN12">
      <formula>NOT(ISERROR(SEARCH("MN12",F5)))</formula>
    </cfRule>
    <cfRule type="containsText" dxfId="69" priority="2" operator="containsText" text="STNN21">
      <formula>NOT(ISERROR(SEARCH("STNN21",F5)))</formula>
    </cfRule>
    <cfRule type="containsText" dxfId="68" priority="3" operator="containsText" text="STAN13">
      <formula>NOT(ISERROR(SEARCH("STAN13",F5)))</formula>
    </cfRule>
    <cfRule type="containsText" dxfId="67" priority="4" operator="containsText" text="STMN06">
      <formula>NOT(ISERROR(SEARCH("STMN06",F5)))</formula>
    </cfRule>
    <cfRule type="containsText" dxfId="66" priority="5" operator="containsText" text="LV">
      <formula>NOT(ISERROR(SEARCH("LV",F5)))</formula>
    </cfRule>
    <cfRule type="containsText" dxfId="65" priority="6" operator="containsText" text="TR">
      <formula>NOT(ISERROR(SEARCH("TR",F5)))</formula>
    </cfRule>
    <cfRule type="containsText" dxfId="64" priority="7" operator="containsText" text="NN21">
      <formula>NOT(ISERROR(SEARCH("NN21",F5)))</formula>
    </cfRule>
    <cfRule type="containsText" dxfId="63" priority="8" operator="containsText" text="AN13">
      <formula>NOT(ISERROR(SEARCH("AN13",F5)))</formula>
    </cfRule>
    <cfRule type="containsText" dxfId="62" priority="9" operator="containsText" text="MN06">
      <formula>NOT(ISERROR(SEARCH("MN06",F5)))</formula>
    </cfRule>
    <cfRule type="containsText" dxfId="61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5">
        <v>82658</v>
      </c>
      <c r="D2" s="115">
        <v>82673</v>
      </c>
      <c r="E2" s="115">
        <v>82464</v>
      </c>
      <c r="F2" s="115">
        <v>82649</v>
      </c>
      <c r="G2" s="115">
        <v>990465</v>
      </c>
      <c r="H2" s="115">
        <v>82659</v>
      </c>
      <c r="I2" s="115">
        <v>82545</v>
      </c>
      <c r="J2" s="115">
        <v>82671</v>
      </c>
      <c r="K2" s="115">
        <v>82615</v>
      </c>
      <c r="L2" s="115">
        <v>82672</v>
      </c>
      <c r="M2" s="115">
        <v>8930</v>
      </c>
      <c r="N2" s="115">
        <v>82283</v>
      </c>
      <c r="O2" s="115">
        <v>82587</v>
      </c>
      <c r="P2" s="115">
        <v>80270</v>
      </c>
      <c r="Q2" s="115">
        <v>990752</v>
      </c>
      <c r="R2" s="115">
        <v>81393</v>
      </c>
      <c r="S2" s="115">
        <v>80482</v>
      </c>
      <c r="T2" s="115">
        <v>82645</v>
      </c>
      <c r="U2" s="115">
        <v>82574</v>
      </c>
      <c r="V2" s="115">
        <v>82578</v>
      </c>
      <c r="W2" s="115">
        <v>82674</v>
      </c>
      <c r="X2" s="115">
        <v>8611</v>
      </c>
      <c r="Y2" s="115">
        <v>82666</v>
      </c>
      <c r="Z2" s="115">
        <v>82547</v>
      </c>
      <c r="AA2" s="115">
        <v>82577</v>
      </c>
      <c r="AB2" s="115">
        <v>80695</v>
      </c>
      <c r="AC2" s="115">
        <v>8646</v>
      </c>
      <c r="AD2" s="115">
        <v>82555</v>
      </c>
      <c r="AE2" s="115">
        <v>82424</v>
      </c>
      <c r="AF2" s="115">
        <v>82616</v>
      </c>
      <c r="AG2" s="115">
        <v>82439</v>
      </c>
      <c r="AH2" s="115">
        <v>82661</v>
      </c>
      <c r="AI2" s="115">
        <v>8715</v>
      </c>
      <c r="AJ2" s="115">
        <v>8584</v>
      </c>
      <c r="AK2" s="115">
        <v>81832</v>
      </c>
      <c r="AL2" s="115">
        <v>82670</v>
      </c>
    </row>
    <row r="3" spans="2:38" ht="15.75" x14ac:dyDescent="0.25">
      <c r="B3" s="117">
        <v>45992</v>
      </c>
      <c r="C3" s="116" t="s">
        <v>257</v>
      </c>
      <c r="D3" s="116" t="s">
        <v>230</v>
      </c>
      <c r="E3" s="116" t="s">
        <v>254</v>
      </c>
      <c r="F3" s="116" t="s">
        <v>254</v>
      </c>
      <c r="G3" s="116" t="s">
        <v>257</v>
      </c>
      <c r="H3" s="116" t="s">
        <v>257</v>
      </c>
      <c r="I3" s="116" t="s">
        <v>257</v>
      </c>
      <c r="J3" s="116" t="s">
        <v>229</v>
      </c>
      <c r="K3" s="116" t="s">
        <v>229</v>
      </c>
      <c r="L3" s="116" t="s">
        <v>230</v>
      </c>
      <c r="M3" s="116" t="s">
        <v>254</v>
      </c>
      <c r="N3" s="116" t="s">
        <v>254</v>
      </c>
      <c r="O3" s="116" t="s">
        <v>257</v>
      </c>
      <c r="P3" s="116" t="s">
        <v>257</v>
      </c>
      <c r="Q3" s="116" t="s">
        <v>257</v>
      </c>
      <c r="R3" s="116" t="s">
        <v>229</v>
      </c>
      <c r="S3" s="116" t="s">
        <v>230</v>
      </c>
      <c r="T3" s="116" t="s">
        <v>254</v>
      </c>
      <c r="U3" s="116" t="s">
        <v>254</v>
      </c>
      <c r="V3" s="116" t="s">
        <v>257</v>
      </c>
      <c r="W3" s="116" t="s">
        <v>257</v>
      </c>
      <c r="X3" s="116" t="s">
        <v>229</v>
      </c>
      <c r="Y3" s="116" t="s">
        <v>230</v>
      </c>
      <c r="Z3" s="116" t="s">
        <v>230</v>
      </c>
      <c r="AA3" s="116" t="s">
        <v>254</v>
      </c>
      <c r="AB3" s="116" t="s">
        <v>254</v>
      </c>
      <c r="AC3" s="116" t="s">
        <v>257</v>
      </c>
      <c r="AD3" s="116" t="s">
        <v>257</v>
      </c>
      <c r="AE3" s="116" t="s">
        <v>257</v>
      </c>
      <c r="AF3" s="116" t="s">
        <v>229</v>
      </c>
      <c r="AG3" s="116" t="s">
        <v>229</v>
      </c>
      <c r="AH3" s="116" t="s">
        <v>230</v>
      </c>
      <c r="AI3" s="116" t="s">
        <v>254</v>
      </c>
      <c r="AJ3" s="116" t="s">
        <v>229</v>
      </c>
      <c r="AK3" s="116" t="s">
        <v>230</v>
      </c>
      <c r="AL3" s="116" t="s">
        <v>239</v>
      </c>
    </row>
    <row r="4" spans="2:38" ht="15.75" x14ac:dyDescent="0.25">
      <c r="B4" s="117">
        <v>45993</v>
      </c>
      <c r="C4" s="116" t="s">
        <v>229</v>
      </c>
      <c r="D4" s="116" t="s">
        <v>254</v>
      </c>
      <c r="E4" s="116" t="s">
        <v>254</v>
      </c>
      <c r="F4" s="116" t="s">
        <v>257</v>
      </c>
      <c r="G4" s="116" t="s">
        <v>257</v>
      </c>
      <c r="H4" s="116" t="s">
        <v>257</v>
      </c>
      <c r="I4" s="116" t="s">
        <v>229</v>
      </c>
      <c r="J4" s="116" t="s">
        <v>230</v>
      </c>
      <c r="K4" s="116" t="s">
        <v>230</v>
      </c>
      <c r="L4" s="116" t="s">
        <v>254</v>
      </c>
      <c r="M4" s="116" t="s">
        <v>254</v>
      </c>
      <c r="N4" s="116" t="s">
        <v>257</v>
      </c>
      <c r="O4" s="116" t="s">
        <v>257</v>
      </c>
      <c r="P4" s="116" t="s">
        <v>257</v>
      </c>
      <c r="Q4" s="116" t="s">
        <v>229</v>
      </c>
      <c r="R4" s="116" t="s">
        <v>230</v>
      </c>
      <c r="S4" s="116" t="s">
        <v>230</v>
      </c>
      <c r="T4" s="116" t="s">
        <v>254</v>
      </c>
      <c r="U4" s="116" t="s">
        <v>257</v>
      </c>
      <c r="V4" s="116" t="s">
        <v>257</v>
      </c>
      <c r="W4" s="116" t="s">
        <v>229</v>
      </c>
      <c r="X4" s="116" t="s">
        <v>230</v>
      </c>
      <c r="Y4" s="116" t="s">
        <v>230</v>
      </c>
      <c r="Z4" s="116" t="s">
        <v>254</v>
      </c>
      <c r="AA4" s="116" t="s">
        <v>254</v>
      </c>
      <c r="AB4" s="116" t="s">
        <v>257</v>
      </c>
      <c r="AC4" s="116" t="s">
        <v>257</v>
      </c>
      <c r="AD4" s="116" t="s">
        <v>257</v>
      </c>
      <c r="AE4" s="116" t="s">
        <v>229</v>
      </c>
      <c r="AF4" s="116" t="s">
        <v>229</v>
      </c>
      <c r="AG4" s="116" t="s">
        <v>230</v>
      </c>
      <c r="AH4" s="116" t="s">
        <v>254</v>
      </c>
      <c r="AI4" s="116" t="s">
        <v>254</v>
      </c>
      <c r="AJ4" s="116" t="s">
        <v>229</v>
      </c>
      <c r="AK4" s="116" t="s">
        <v>230</v>
      </c>
      <c r="AL4" s="116" t="s">
        <v>229</v>
      </c>
    </row>
    <row r="5" spans="2:38" ht="15.75" x14ac:dyDescent="0.25">
      <c r="B5" s="117">
        <v>45994</v>
      </c>
      <c r="C5" s="116" t="s">
        <v>230</v>
      </c>
      <c r="D5" s="116" t="s">
        <v>254</v>
      </c>
      <c r="E5" s="116" t="s">
        <v>257</v>
      </c>
      <c r="F5" s="116" t="s">
        <v>257</v>
      </c>
      <c r="G5" s="116" t="s">
        <v>257</v>
      </c>
      <c r="H5" s="116" t="s">
        <v>229</v>
      </c>
      <c r="I5" s="116" t="s">
        <v>230</v>
      </c>
      <c r="J5" s="116" t="s">
        <v>230</v>
      </c>
      <c r="K5" s="116" t="s">
        <v>254</v>
      </c>
      <c r="L5" s="116" t="s">
        <v>254</v>
      </c>
      <c r="M5" s="116" t="s">
        <v>257</v>
      </c>
      <c r="N5" s="116" t="s">
        <v>257</v>
      </c>
      <c r="O5" s="116" t="s">
        <v>257</v>
      </c>
      <c r="P5" s="116" t="s">
        <v>229</v>
      </c>
      <c r="Q5" s="116" t="s">
        <v>229</v>
      </c>
      <c r="R5" s="116" t="s">
        <v>230</v>
      </c>
      <c r="S5" s="116" t="s">
        <v>254</v>
      </c>
      <c r="T5" s="116" t="s">
        <v>257</v>
      </c>
      <c r="U5" s="116" t="s">
        <v>257</v>
      </c>
      <c r="V5" s="116" t="s">
        <v>229</v>
      </c>
      <c r="W5" s="116" t="s">
        <v>230</v>
      </c>
      <c r="X5" s="116" t="s">
        <v>230</v>
      </c>
      <c r="Y5" s="116" t="s">
        <v>254</v>
      </c>
      <c r="Z5" s="116" t="s">
        <v>254</v>
      </c>
      <c r="AA5" s="116" t="s">
        <v>257</v>
      </c>
      <c r="AB5" s="116" t="s">
        <v>257</v>
      </c>
      <c r="AC5" s="116" t="s">
        <v>257</v>
      </c>
      <c r="AD5" s="116" t="s">
        <v>229</v>
      </c>
      <c r="AE5" s="116" t="s">
        <v>229</v>
      </c>
      <c r="AF5" s="116" t="s">
        <v>230</v>
      </c>
      <c r="AG5" s="116" t="s">
        <v>254</v>
      </c>
      <c r="AH5" s="116" t="s">
        <v>254</v>
      </c>
      <c r="AI5" s="116" t="s">
        <v>257</v>
      </c>
      <c r="AJ5" s="116" t="s">
        <v>230</v>
      </c>
      <c r="AK5" s="116" t="s">
        <v>229</v>
      </c>
      <c r="AL5" s="116" t="s">
        <v>229</v>
      </c>
    </row>
    <row r="6" spans="2:38" ht="15.75" x14ac:dyDescent="0.25">
      <c r="B6" s="117">
        <v>45995</v>
      </c>
      <c r="C6" s="116" t="s">
        <v>230</v>
      </c>
      <c r="D6" s="116" t="s">
        <v>257</v>
      </c>
      <c r="E6" s="116" t="s">
        <v>257</v>
      </c>
      <c r="F6" s="116" t="s">
        <v>257</v>
      </c>
      <c r="G6" s="116" t="s">
        <v>229</v>
      </c>
      <c r="H6" s="116" t="s">
        <v>230</v>
      </c>
      <c r="I6" s="116" t="s">
        <v>230</v>
      </c>
      <c r="J6" s="116" t="s">
        <v>254</v>
      </c>
      <c r="K6" s="116" t="s">
        <v>254</v>
      </c>
      <c r="L6" s="116" t="s">
        <v>257</v>
      </c>
      <c r="M6" s="116" t="s">
        <v>257</v>
      </c>
      <c r="N6" s="116" t="s">
        <v>257</v>
      </c>
      <c r="O6" s="116" t="s">
        <v>229</v>
      </c>
      <c r="P6" s="116" t="s">
        <v>229</v>
      </c>
      <c r="Q6" s="116" t="s">
        <v>230</v>
      </c>
      <c r="R6" s="116" t="s">
        <v>254</v>
      </c>
      <c r="S6" s="116" t="s">
        <v>254</v>
      </c>
      <c r="T6" s="116" t="s">
        <v>257</v>
      </c>
      <c r="U6" s="116" t="s">
        <v>257</v>
      </c>
      <c r="V6" s="116" t="s">
        <v>230</v>
      </c>
      <c r="W6" s="116" t="s">
        <v>230</v>
      </c>
      <c r="X6" s="116" t="s">
        <v>254</v>
      </c>
      <c r="Y6" s="116" t="s">
        <v>254</v>
      </c>
      <c r="Z6" s="116" t="s">
        <v>257</v>
      </c>
      <c r="AA6" s="116" t="s">
        <v>257</v>
      </c>
      <c r="AB6" s="116" t="s">
        <v>257</v>
      </c>
      <c r="AC6" s="116" t="s">
        <v>229</v>
      </c>
      <c r="AD6" s="116" t="s">
        <v>229</v>
      </c>
      <c r="AE6" s="116" t="s">
        <v>230</v>
      </c>
      <c r="AF6" s="116" t="s">
        <v>254</v>
      </c>
      <c r="AG6" s="116" t="s">
        <v>254</v>
      </c>
      <c r="AH6" s="116" t="s">
        <v>257</v>
      </c>
      <c r="AI6" s="116" t="s">
        <v>257</v>
      </c>
      <c r="AJ6" s="116" t="s">
        <v>230</v>
      </c>
      <c r="AK6" s="116" t="s">
        <v>229</v>
      </c>
      <c r="AL6" s="116" t="s">
        <v>257</v>
      </c>
    </row>
    <row r="7" spans="2:38" ht="15.75" x14ac:dyDescent="0.25">
      <c r="B7" s="117">
        <v>45996</v>
      </c>
      <c r="C7" s="116" t="s">
        <v>254</v>
      </c>
      <c r="D7" s="116" t="s">
        <v>257</v>
      </c>
      <c r="E7" s="116" t="s">
        <v>257</v>
      </c>
      <c r="F7" s="116" t="s">
        <v>229</v>
      </c>
      <c r="G7" s="116" t="s">
        <v>230</v>
      </c>
      <c r="H7" s="116" t="s">
        <v>230</v>
      </c>
      <c r="I7" s="116" t="s">
        <v>254</v>
      </c>
      <c r="J7" s="116" t="s">
        <v>254</v>
      </c>
      <c r="K7" s="116" t="s">
        <v>257</v>
      </c>
      <c r="L7" s="116" t="s">
        <v>257</v>
      </c>
      <c r="M7" s="116" t="s">
        <v>257</v>
      </c>
      <c r="N7" s="116" t="s">
        <v>229</v>
      </c>
      <c r="O7" s="116" t="s">
        <v>229</v>
      </c>
      <c r="P7" s="116" t="s">
        <v>230</v>
      </c>
      <c r="Q7" s="116" t="s">
        <v>254</v>
      </c>
      <c r="R7" s="116" t="s">
        <v>254</v>
      </c>
      <c r="S7" s="116" t="s">
        <v>257</v>
      </c>
      <c r="T7" s="116" t="s">
        <v>257</v>
      </c>
      <c r="U7" s="116" t="s">
        <v>229</v>
      </c>
      <c r="V7" s="116" t="s">
        <v>230</v>
      </c>
      <c r="W7" s="116" t="s">
        <v>254</v>
      </c>
      <c r="X7" s="116" t="s">
        <v>254</v>
      </c>
      <c r="Y7" s="116" t="s">
        <v>257</v>
      </c>
      <c r="Z7" s="116" t="s">
        <v>257</v>
      </c>
      <c r="AA7" s="116" t="s">
        <v>257</v>
      </c>
      <c r="AB7" s="116" t="s">
        <v>229</v>
      </c>
      <c r="AC7" s="116" t="s">
        <v>229</v>
      </c>
      <c r="AD7" s="116" t="s">
        <v>230</v>
      </c>
      <c r="AE7" s="116" t="s">
        <v>254</v>
      </c>
      <c r="AF7" s="116" t="s">
        <v>254</v>
      </c>
      <c r="AG7" s="116" t="s">
        <v>257</v>
      </c>
      <c r="AH7" s="116" t="s">
        <v>257</v>
      </c>
      <c r="AI7" s="116" t="s">
        <v>257</v>
      </c>
      <c r="AJ7" s="116" t="s">
        <v>257</v>
      </c>
      <c r="AK7" s="116" t="s">
        <v>257</v>
      </c>
      <c r="AL7" s="116" t="s">
        <v>257</v>
      </c>
    </row>
    <row r="8" spans="2:38" ht="15.75" x14ac:dyDescent="0.25">
      <c r="B8" s="117">
        <v>45997</v>
      </c>
      <c r="C8" s="116" t="s">
        <v>254</v>
      </c>
      <c r="D8" s="116" t="s">
        <v>257</v>
      </c>
      <c r="E8" s="116" t="s">
        <v>229</v>
      </c>
      <c r="F8" s="116" t="s">
        <v>230</v>
      </c>
      <c r="G8" s="116" t="s">
        <v>254</v>
      </c>
      <c r="H8" s="116" t="s">
        <v>254</v>
      </c>
      <c r="I8" s="116" t="s">
        <v>254</v>
      </c>
      <c r="J8" s="116" t="s">
        <v>257</v>
      </c>
      <c r="K8" s="116" t="s">
        <v>257</v>
      </c>
      <c r="L8" s="116" t="s">
        <v>257</v>
      </c>
      <c r="M8" s="116" t="s">
        <v>229</v>
      </c>
      <c r="N8" s="116" t="s">
        <v>230</v>
      </c>
      <c r="O8" s="116" t="s">
        <v>230</v>
      </c>
      <c r="P8" s="116" t="s">
        <v>254</v>
      </c>
      <c r="Q8" s="116" t="s">
        <v>254</v>
      </c>
      <c r="R8" s="116" t="s">
        <v>257</v>
      </c>
      <c r="S8" s="116" t="s">
        <v>257</v>
      </c>
      <c r="T8" s="116" t="s">
        <v>229</v>
      </c>
      <c r="U8" s="116" t="s">
        <v>230</v>
      </c>
      <c r="V8" s="116" t="s">
        <v>254</v>
      </c>
      <c r="W8" s="116" t="s">
        <v>254</v>
      </c>
      <c r="X8" s="116" t="s">
        <v>257</v>
      </c>
      <c r="Y8" s="116" t="s">
        <v>257</v>
      </c>
      <c r="Z8" s="116" t="s">
        <v>257</v>
      </c>
      <c r="AA8" s="116" t="s">
        <v>229</v>
      </c>
      <c r="AB8" s="116" t="s">
        <v>230</v>
      </c>
      <c r="AC8" s="116" t="s">
        <v>230</v>
      </c>
      <c r="AD8" s="116" t="s">
        <v>254</v>
      </c>
      <c r="AE8" s="116" t="s">
        <v>254</v>
      </c>
      <c r="AF8" s="116" t="s">
        <v>257</v>
      </c>
      <c r="AG8" s="116" t="s">
        <v>257</v>
      </c>
      <c r="AH8" s="116" t="s">
        <v>257</v>
      </c>
      <c r="AI8" s="116" t="s">
        <v>229</v>
      </c>
      <c r="AJ8" s="116" t="s">
        <v>257</v>
      </c>
      <c r="AK8" s="116" t="s">
        <v>257</v>
      </c>
      <c r="AL8" s="116" t="s">
        <v>239</v>
      </c>
    </row>
    <row r="9" spans="2:38" ht="15.75" x14ac:dyDescent="0.25">
      <c r="B9" s="117">
        <v>45998</v>
      </c>
      <c r="C9" s="116" t="s">
        <v>257</v>
      </c>
      <c r="D9" s="116" t="s">
        <v>229</v>
      </c>
      <c r="E9" s="116" t="s">
        <v>230</v>
      </c>
      <c r="F9" s="116" t="s">
        <v>230</v>
      </c>
      <c r="G9" s="116" t="s">
        <v>254</v>
      </c>
      <c r="H9" s="116" t="s">
        <v>254</v>
      </c>
      <c r="I9" s="116" t="s">
        <v>257</v>
      </c>
      <c r="J9" s="116" t="s">
        <v>257</v>
      </c>
      <c r="K9" s="116" t="s">
        <v>257</v>
      </c>
      <c r="L9" s="116" t="s">
        <v>229</v>
      </c>
      <c r="M9" s="116" t="s">
        <v>230</v>
      </c>
      <c r="N9" s="116" t="s">
        <v>230</v>
      </c>
      <c r="O9" s="116" t="s">
        <v>254</v>
      </c>
      <c r="P9" s="116" t="s">
        <v>254</v>
      </c>
      <c r="Q9" s="116" t="s">
        <v>257</v>
      </c>
      <c r="R9" s="116" t="s">
        <v>257</v>
      </c>
      <c r="S9" s="116" t="s">
        <v>257</v>
      </c>
      <c r="T9" s="116" t="s">
        <v>229</v>
      </c>
      <c r="U9" s="116" t="s">
        <v>230</v>
      </c>
      <c r="V9" s="116" t="s">
        <v>254</v>
      </c>
      <c r="W9" s="116" t="s">
        <v>257</v>
      </c>
      <c r="X9" s="116" t="s">
        <v>257</v>
      </c>
      <c r="Y9" s="116" t="s">
        <v>257</v>
      </c>
      <c r="Z9" s="116" t="s">
        <v>229</v>
      </c>
      <c r="AA9" s="116" t="s">
        <v>230</v>
      </c>
      <c r="AB9" s="116" t="s">
        <v>254</v>
      </c>
      <c r="AC9" s="116" t="s">
        <v>254</v>
      </c>
      <c r="AD9" s="116" t="s">
        <v>254</v>
      </c>
      <c r="AE9" s="116" t="s">
        <v>257</v>
      </c>
      <c r="AF9" s="116" t="s">
        <v>257</v>
      </c>
      <c r="AG9" s="116" t="s">
        <v>257</v>
      </c>
      <c r="AH9" s="116" t="s">
        <v>229</v>
      </c>
      <c r="AI9" s="116" t="s">
        <v>229</v>
      </c>
      <c r="AJ9" s="116" t="s">
        <v>229</v>
      </c>
      <c r="AK9" s="116" t="s">
        <v>230</v>
      </c>
      <c r="AL9" s="116" t="s">
        <v>239</v>
      </c>
    </row>
    <row r="10" spans="2:38" ht="15.75" x14ac:dyDescent="0.25">
      <c r="B10" s="117">
        <v>45999</v>
      </c>
      <c r="C10" s="116" t="s">
        <v>257</v>
      </c>
      <c r="D10" s="116" t="s">
        <v>229</v>
      </c>
      <c r="E10" s="116" t="s">
        <v>230</v>
      </c>
      <c r="F10" s="116" t="s">
        <v>254</v>
      </c>
      <c r="G10" s="116" t="s">
        <v>254</v>
      </c>
      <c r="H10" s="116" t="s">
        <v>257</v>
      </c>
      <c r="I10" s="116" t="s">
        <v>257</v>
      </c>
      <c r="J10" s="116" t="s">
        <v>257</v>
      </c>
      <c r="K10" s="116" t="s">
        <v>229</v>
      </c>
      <c r="L10" s="116" t="s">
        <v>230</v>
      </c>
      <c r="M10" s="116" t="s">
        <v>230</v>
      </c>
      <c r="N10" s="116" t="s">
        <v>254</v>
      </c>
      <c r="O10" s="116" t="s">
        <v>254</v>
      </c>
      <c r="P10" s="116" t="s">
        <v>257</v>
      </c>
      <c r="Q10" s="116" t="s">
        <v>257</v>
      </c>
      <c r="R10" s="116" t="s">
        <v>257</v>
      </c>
      <c r="S10" s="116" t="s">
        <v>229</v>
      </c>
      <c r="T10" s="116" t="s">
        <v>230</v>
      </c>
      <c r="U10" s="116" t="s">
        <v>254</v>
      </c>
      <c r="V10" s="116" t="s">
        <v>257</v>
      </c>
      <c r="W10" s="116" t="s">
        <v>257</v>
      </c>
      <c r="X10" s="116" t="s">
        <v>257</v>
      </c>
      <c r="Y10" s="116" t="s">
        <v>229</v>
      </c>
      <c r="Z10" s="116" t="s">
        <v>230</v>
      </c>
      <c r="AA10" s="116" t="s">
        <v>230</v>
      </c>
      <c r="AB10" s="116" t="s">
        <v>254</v>
      </c>
      <c r="AC10" s="116" t="s">
        <v>254</v>
      </c>
      <c r="AD10" s="116" t="s">
        <v>257</v>
      </c>
      <c r="AE10" s="116" t="s">
        <v>257</v>
      </c>
      <c r="AF10" s="116" t="s">
        <v>257</v>
      </c>
      <c r="AG10" s="116" t="s">
        <v>229</v>
      </c>
      <c r="AH10" s="116" t="s">
        <v>230</v>
      </c>
      <c r="AI10" s="116" t="s">
        <v>230</v>
      </c>
      <c r="AJ10" s="116" t="s">
        <v>229</v>
      </c>
      <c r="AK10" s="116" t="s">
        <v>230</v>
      </c>
      <c r="AL10" s="116" t="s">
        <v>239</v>
      </c>
    </row>
    <row r="11" spans="2:38" ht="15.75" x14ac:dyDescent="0.25">
      <c r="B11" s="117">
        <v>46000</v>
      </c>
      <c r="C11" s="116" t="s">
        <v>257</v>
      </c>
      <c r="D11" s="116" t="s">
        <v>230</v>
      </c>
      <c r="E11" s="116" t="s">
        <v>254</v>
      </c>
      <c r="F11" s="116" t="s">
        <v>254</v>
      </c>
      <c r="G11" s="116" t="s">
        <v>257</v>
      </c>
      <c r="H11" s="116" t="s">
        <v>257</v>
      </c>
      <c r="I11" s="116" t="s">
        <v>257</v>
      </c>
      <c r="J11" s="116" t="s">
        <v>229</v>
      </c>
      <c r="K11" s="116" t="s">
        <v>230</v>
      </c>
      <c r="L11" s="116" t="s">
        <v>230</v>
      </c>
      <c r="M11" s="116" t="s">
        <v>254</v>
      </c>
      <c r="N11" s="116" t="s">
        <v>254</v>
      </c>
      <c r="O11" s="116" t="s">
        <v>257</v>
      </c>
      <c r="P11" s="116" t="s">
        <v>257</v>
      </c>
      <c r="Q11" s="116" t="s">
        <v>257</v>
      </c>
      <c r="R11" s="116" t="s">
        <v>229</v>
      </c>
      <c r="S11" s="116" t="s">
        <v>230</v>
      </c>
      <c r="T11" s="116" t="s">
        <v>254</v>
      </c>
      <c r="U11" s="116" t="s">
        <v>254</v>
      </c>
      <c r="V11" s="116" t="s">
        <v>257</v>
      </c>
      <c r="W11" s="116" t="s">
        <v>257</v>
      </c>
      <c r="X11" s="116" t="s">
        <v>229</v>
      </c>
      <c r="Y11" s="116" t="s">
        <v>230</v>
      </c>
      <c r="Z11" s="116" t="s">
        <v>230</v>
      </c>
      <c r="AA11" s="116" t="s">
        <v>254</v>
      </c>
      <c r="AB11" s="116" t="s">
        <v>254</v>
      </c>
      <c r="AC11" s="116" t="s">
        <v>257</v>
      </c>
      <c r="AD11" s="116" t="s">
        <v>257</v>
      </c>
      <c r="AE11" s="116" t="s">
        <v>257</v>
      </c>
      <c r="AF11" s="116" t="s">
        <v>229</v>
      </c>
      <c r="AG11" s="116" t="s">
        <v>229</v>
      </c>
      <c r="AH11" s="116" t="s">
        <v>230</v>
      </c>
      <c r="AI11" s="116" t="s">
        <v>254</v>
      </c>
      <c r="AJ11" s="116" t="s">
        <v>229</v>
      </c>
      <c r="AK11" s="116" t="s">
        <v>230</v>
      </c>
      <c r="AL11" s="116" t="s">
        <v>229</v>
      </c>
    </row>
    <row r="12" spans="2:38" ht="15.75" x14ac:dyDescent="0.25">
      <c r="B12" s="117">
        <v>46001</v>
      </c>
      <c r="C12" s="116" t="s">
        <v>229</v>
      </c>
      <c r="D12" s="116" t="s">
        <v>230</v>
      </c>
      <c r="E12" s="116" t="s">
        <v>254</v>
      </c>
      <c r="F12" s="116" t="s">
        <v>257</v>
      </c>
      <c r="G12" s="116" t="s">
        <v>257</v>
      </c>
      <c r="H12" s="116" t="s">
        <v>257</v>
      </c>
      <c r="I12" s="116" t="s">
        <v>229</v>
      </c>
      <c r="J12" s="116" t="s">
        <v>229</v>
      </c>
      <c r="K12" s="116" t="s">
        <v>230</v>
      </c>
      <c r="L12" s="116" t="s">
        <v>254</v>
      </c>
      <c r="M12" s="116" t="s">
        <v>254</v>
      </c>
      <c r="N12" s="116" t="s">
        <v>257</v>
      </c>
      <c r="O12" s="116" t="s">
        <v>257</v>
      </c>
      <c r="P12" s="116" t="s">
        <v>257</v>
      </c>
      <c r="Q12" s="116" t="s">
        <v>229</v>
      </c>
      <c r="R12" s="116" t="s">
        <v>229</v>
      </c>
      <c r="S12" s="116" t="s">
        <v>230</v>
      </c>
      <c r="T12" s="116" t="s">
        <v>254</v>
      </c>
      <c r="U12" s="116" t="s">
        <v>257</v>
      </c>
      <c r="V12" s="116" t="s">
        <v>257</v>
      </c>
      <c r="W12" s="116" t="s">
        <v>229</v>
      </c>
      <c r="X12" s="116" t="s">
        <v>230</v>
      </c>
      <c r="Y12" s="116" t="s">
        <v>230</v>
      </c>
      <c r="Z12" s="116" t="s">
        <v>254</v>
      </c>
      <c r="AA12" s="116" t="s">
        <v>254</v>
      </c>
      <c r="AB12" s="116" t="s">
        <v>257</v>
      </c>
      <c r="AC12" s="116" t="s">
        <v>257</v>
      </c>
      <c r="AD12" s="116" t="s">
        <v>257</v>
      </c>
      <c r="AE12" s="116" t="s">
        <v>229</v>
      </c>
      <c r="AF12" s="116" t="s">
        <v>230</v>
      </c>
      <c r="AG12" s="116" t="s">
        <v>230</v>
      </c>
      <c r="AH12" s="116" t="s">
        <v>254</v>
      </c>
      <c r="AI12" s="116" t="s">
        <v>254</v>
      </c>
      <c r="AJ12" s="116" t="s">
        <v>230</v>
      </c>
      <c r="AK12" s="116" t="s">
        <v>229</v>
      </c>
      <c r="AL12" s="116" t="s">
        <v>229</v>
      </c>
    </row>
    <row r="13" spans="2:38" ht="15.75" x14ac:dyDescent="0.25">
      <c r="B13" s="117">
        <v>46002</v>
      </c>
      <c r="C13" s="116" t="s">
        <v>229</v>
      </c>
      <c r="D13" s="116" t="s">
        <v>254</v>
      </c>
      <c r="E13" s="116" t="s">
        <v>257</v>
      </c>
      <c r="F13" s="116" t="s">
        <v>257</v>
      </c>
      <c r="G13" s="116" t="s">
        <v>257</v>
      </c>
      <c r="H13" s="116" t="s">
        <v>229</v>
      </c>
      <c r="I13" s="116" t="s">
        <v>229</v>
      </c>
      <c r="J13" s="116" t="s">
        <v>230</v>
      </c>
      <c r="K13" s="116" t="s">
        <v>230</v>
      </c>
      <c r="L13" s="116" t="s">
        <v>254</v>
      </c>
      <c r="M13" s="116" t="s">
        <v>257</v>
      </c>
      <c r="N13" s="116" t="s">
        <v>257</v>
      </c>
      <c r="O13" s="116" t="s">
        <v>257</v>
      </c>
      <c r="P13" s="116" t="s">
        <v>229</v>
      </c>
      <c r="Q13" s="116" t="s">
        <v>229</v>
      </c>
      <c r="R13" s="116" t="s">
        <v>230</v>
      </c>
      <c r="S13" s="116" t="s">
        <v>254</v>
      </c>
      <c r="T13" s="116" t="s">
        <v>257</v>
      </c>
      <c r="U13" s="116" t="s">
        <v>257</v>
      </c>
      <c r="V13" s="116" t="s">
        <v>229</v>
      </c>
      <c r="W13" s="116" t="s">
        <v>230</v>
      </c>
      <c r="X13" s="116" t="s">
        <v>230</v>
      </c>
      <c r="Y13" s="116" t="s">
        <v>254</v>
      </c>
      <c r="Z13" s="116" t="s">
        <v>254</v>
      </c>
      <c r="AA13" s="116" t="s">
        <v>257</v>
      </c>
      <c r="AB13" s="116" t="s">
        <v>257</v>
      </c>
      <c r="AC13" s="116" t="s">
        <v>257</v>
      </c>
      <c r="AD13" s="116" t="s">
        <v>229</v>
      </c>
      <c r="AE13" s="116" t="s">
        <v>230</v>
      </c>
      <c r="AF13" s="116" t="s">
        <v>230</v>
      </c>
      <c r="AG13" s="116" t="s">
        <v>254</v>
      </c>
      <c r="AH13" s="116" t="s">
        <v>254</v>
      </c>
      <c r="AI13" s="116" t="s">
        <v>257</v>
      </c>
      <c r="AJ13" s="116" t="s">
        <v>230</v>
      </c>
      <c r="AK13" s="116" t="s">
        <v>229</v>
      </c>
      <c r="AL13" s="116" t="s">
        <v>257</v>
      </c>
    </row>
    <row r="14" spans="2:38" ht="15.75" x14ac:dyDescent="0.25">
      <c r="B14" s="117">
        <v>46003</v>
      </c>
      <c r="C14" s="116" t="s">
        <v>230</v>
      </c>
      <c r="D14" s="116" t="s">
        <v>257</v>
      </c>
      <c r="E14" s="116" t="s">
        <v>257</v>
      </c>
      <c r="F14" s="116" t="s">
        <v>257</v>
      </c>
      <c r="G14" s="116" t="s">
        <v>229</v>
      </c>
      <c r="H14" s="116" t="s">
        <v>230</v>
      </c>
      <c r="I14" s="116" t="s">
        <v>230</v>
      </c>
      <c r="J14" s="116" t="s">
        <v>254</v>
      </c>
      <c r="K14" s="116" t="s">
        <v>254</v>
      </c>
      <c r="L14" s="116" t="s">
        <v>257</v>
      </c>
      <c r="M14" s="116" t="s">
        <v>257</v>
      </c>
      <c r="N14" s="116" t="s">
        <v>257</v>
      </c>
      <c r="O14" s="116" t="s">
        <v>229</v>
      </c>
      <c r="P14" s="116" t="s">
        <v>229</v>
      </c>
      <c r="Q14" s="116" t="s">
        <v>230</v>
      </c>
      <c r="R14" s="116" t="s">
        <v>254</v>
      </c>
      <c r="S14" s="116" t="s">
        <v>254</v>
      </c>
      <c r="T14" s="116" t="s">
        <v>257</v>
      </c>
      <c r="U14" s="116" t="s">
        <v>257</v>
      </c>
      <c r="V14" s="116" t="s">
        <v>230</v>
      </c>
      <c r="W14" s="116" t="s">
        <v>230</v>
      </c>
      <c r="X14" s="116" t="s">
        <v>254</v>
      </c>
      <c r="Y14" s="116" t="s">
        <v>254</v>
      </c>
      <c r="Z14" s="116" t="s">
        <v>257</v>
      </c>
      <c r="AA14" s="116" t="s">
        <v>257</v>
      </c>
      <c r="AB14" s="116" t="s">
        <v>257</v>
      </c>
      <c r="AC14" s="116" t="s">
        <v>229</v>
      </c>
      <c r="AD14" s="116" t="s">
        <v>230</v>
      </c>
      <c r="AE14" s="116" t="s">
        <v>230</v>
      </c>
      <c r="AF14" s="116" t="s">
        <v>254</v>
      </c>
      <c r="AG14" s="116" t="s">
        <v>254</v>
      </c>
      <c r="AH14" s="116" t="s">
        <v>257</v>
      </c>
      <c r="AI14" s="116" t="s">
        <v>257</v>
      </c>
      <c r="AJ14" s="116" t="s">
        <v>257</v>
      </c>
      <c r="AK14" s="116" t="s">
        <v>257</v>
      </c>
      <c r="AL14" s="116" t="s">
        <v>257</v>
      </c>
    </row>
    <row r="15" spans="2:38" ht="15.75" x14ac:dyDescent="0.25">
      <c r="B15" s="117">
        <v>46004</v>
      </c>
      <c r="C15" s="116" t="s">
        <v>254</v>
      </c>
      <c r="D15" s="116" t="s">
        <v>257</v>
      </c>
      <c r="E15" s="116" t="s">
        <v>257</v>
      </c>
      <c r="F15" s="116" t="s">
        <v>229</v>
      </c>
      <c r="G15" s="116" t="s">
        <v>230</v>
      </c>
      <c r="H15" s="116" t="s">
        <v>230</v>
      </c>
      <c r="I15" s="116" t="s">
        <v>254</v>
      </c>
      <c r="J15" s="116" t="s">
        <v>254</v>
      </c>
      <c r="K15" s="116" t="s">
        <v>257</v>
      </c>
      <c r="L15" s="116" t="s">
        <v>257</v>
      </c>
      <c r="M15" s="116" t="s">
        <v>257</v>
      </c>
      <c r="N15" s="116" t="s">
        <v>229</v>
      </c>
      <c r="O15" s="116" t="s">
        <v>229</v>
      </c>
      <c r="P15" s="116" t="s">
        <v>230</v>
      </c>
      <c r="Q15" s="116" t="s">
        <v>254</v>
      </c>
      <c r="R15" s="116" t="s">
        <v>254</v>
      </c>
      <c r="S15" s="116" t="s">
        <v>257</v>
      </c>
      <c r="T15" s="116" t="s">
        <v>257</v>
      </c>
      <c r="U15" s="116" t="s">
        <v>229</v>
      </c>
      <c r="V15" s="116" t="s">
        <v>230</v>
      </c>
      <c r="W15" s="116" t="s">
        <v>254</v>
      </c>
      <c r="X15" s="116" t="s">
        <v>254</v>
      </c>
      <c r="Y15" s="116" t="s">
        <v>257</v>
      </c>
      <c r="Z15" s="116" t="s">
        <v>257</v>
      </c>
      <c r="AA15" s="116" t="s">
        <v>257</v>
      </c>
      <c r="AB15" s="116" t="s">
        <v>229</v>
      </c>
      <c r="AC15" s="116" t="s">
        <v>230</v>
      </c>
      <c r="AD15" s="116" t="s">
        <v>230</v>
      </c>
      <c r="AE15" s="116" t="s">
        <v>254</v>
      </c>
      <c r="AF15" s="116" t="s">
        <v>254</v>
      </c>
      <c r="AG15" s="116" t="s">
        <v>257</v>
      </c>
      <c r="AH15" s="116" t="s">
        <v>257</v>
      </c>
      <c r="AI15" s="116" t="s">
        <v>257</v>
      </c>
      <c r="AJ15" s="116" t="s">
        <v>257</v>
      </c>
      <c r="AK15" s="116" t="s">
        <v>257</v>
      </c>
      <c r="AL15" s="116" t="s">
        <v>239</v>
      </c>
    </row>
    <row r="16" spans="2:38" ht="15.75" x14ac:dyDescent="0.25">
      <c r="B16" s="117">
        <v>46005</v>
      </c>
      <c r="C16" s="116" t="s">
        <v>254</v>
      </c>
      <c r="D16" s="116" t="s">
        <v>257</v>
      </c>
      <c r="E16" s="116" t="s">
        <v>229</v>
      </c>
      <c r="F16" s="116" t="s">
        <v>230</v>
      </c>
      <c r="G16" s="116" t="s">
        <v>230</v>
      </c>
      <c r="H16" s="116" t="s">
        <v>254</v>
      </c>
      <c r="I16" s="116" t="s">
        <v>254</v>
      </c>
      <c r="J16" s="116" t="s">
        <v>257</v>
      </c>
      <c r="K16" s="116" t="s">
        <v>257</v>
      </c>
      <c r="L16" s="116" t="s">
        <v>257</v>
      </c>
      <c r="M16" s="116" t="s">
        <v>229</v>
      </c>
      <c r="N16" s="116" t="s">
        <v>230</v>
      </c>
      <c r="O16" s="116" t="s">
        <v>230</v>
      </c>
      <c r="P16" s="116" t="s">
        <v>254</v>
      </c>
      <c r="Q16" s="116" t="s">
        <v>254</v>
      </c>
      <c r="R16" s="116" t="s">
        <v>257</v>
      </c>
      <c r="S16" s="116" t="s">
        <v>257</v>
      </c>
      <c r="T16" s="116" t="s">
        <v>229</v>
      </c>
      <c r="U16" s="116" t="s">
        <v>230</v>
      </c>
      <c r="V16" s="116" t="s">
        <v>254</v>
      </c>
      <c r="W16" s="116" t="s">
        <v>254</v>
      </c>
      <c r="X16" s="116" t="s">
        <v>257</v>
      </c>
      <c r="Y16" s="116" t="s">
        <v>257</v>
      </c>
      <c r="Z16" s="116" t="s">
        <v>257</v>
      </c>
      <c r="AA16" s="116" t="s">
        <v>229</v>
      </c>
      <c r="AB16" s="116" t="s">
        <v>230</v>
      </c>
      <c r="AC16" s="116" t="s">
        <v>230</v>
      </c>
      <c r="AD16" s="116" t="s">
        <v>254</v>
      </c>
      <c r="AE16" s="116" t="s">
        <v>254</v>
      </c>
      <c r="AF16" s="116" t="s">
        <v>257</v>
      </c>
      <c r="AG16" s="116" t="s">
        <v>257</v>
      </c>
      <c r="AH16" s="116" t="s">
        <v>257</v>
      </c>
      <c r="AI16" s="116" t="s">
        <v>229</v>
      </c>
      <c r="AJ16" s="116" t="s">
        <v>229</v>
      </c>
      <c r="AK16" s="116" t="s">
        <v>230</v>
      </c>
      <c r="AL16" s="116" t="s">
        <v>239</v>
      </c>
    </row>
    <row r="17" spans="2:38" ht="15.75" x14ac:dyDescent="0.25">
      <c r="B17" s="117">
        <v>46006</v>
      </c>
      <c r="C17" s="116" t="s">
        <v>257</v>
      </c>
      <c r="D17" s="116" t="s">
        <v>229</v>
      </c>
      <c r="E17" s="116" t="s">
        <v>230</v>
      </c>
      <c r="F17" s="116" t="s">
        <v>230</v>
      </c>
      <c r="G17" s="116" t="s">
        <v>254</v>
      </c>
      <c r="H17" s="116" t="s">
        <v>254</v>
      </c>
      <c r="I17" s="116" t="s">
        <v>257</v>
      </c>
      <c r="J17" s="116" t="s">
        <v>257</v>
      </c>
      <c r="K17" s="116" t="s">
        <v>257</v>
      </c>
      <c r="L17" s="116" t="s">
        <v>229</v>
      </c>
      <c r="M17" s="116" t="s">
        <v>230</v>
      </c>
      <c r="N17" s="116" t="s">
        <v>230</v>
      </c>
      <c r="O17" s="116" t="s">
        <v>254</v>
      </c>
      <c r="P17" s="116" t="s">
        <v>254</v>
      </c>
      <c r="Q17" s="116" t="s">
        <v>257</v>
      </c>
      <c r="R17" s="116" t="s">
        <v>257</v>
      </c>
      <c r="S17" s="116" t="s">
        <v>257</v>
      </c>
      <c r="T17" s="116" t="s">
        <v>230</v>
      </c>
      <c r="U17" s="116" t="s">
        <v>254</v>
      </c>
      <c r="V17" s="116" t="s">
        <v>254</v>
      </c>
      <c r="W17" s="116" t="s">
        <v>257</v>
      </c>
      <c r="X17" s="116" t="s">
        <v>257</v>
      </c>
      <c r="Y17" s="116" t="s">
        <v>257</v>
      </c>
      <c r="Z17" s="116" t="s">
        <v>229</v>
      </c>
      <c r="AA17" s="116" t="s">
        <v>229</v>
      </c>
      <c r="AB17" s="116" t="s">
        <v>230</v>
      </c>
      <c r="AC17" s="116" t="s">
        <v>254</v>
      </c>
      <c r="AD17" s="116" t="s">
        <v>254</v>
      </c>
      <c r="AE17" s="116" t="s">
        <v>257</v>
      </c>
      <c r="AF17" s="116" t="s">
        <v>257</v>
      </c>
      <c r="AG17" s="116" t="s">
        <v>257</v>
      </c>
      <c r="AH17" s="116" t="s">
        <v>229</v>
      </c>
      <c r="AI17" s="116" t="s">
        <v>229</v>
      </c>
      <c r="AJ17" s="116" t="s">
        <v>229</v>
      </c>
      <c r="AK17" s="116" t="s">
        <v>230</v>
      </c>
      <c r="AL17" s="116" t="s">
        <v>239</v>
      </c>
    </row>
    <row r="18" spans="2:38" ht="15.75" x14ac:dyDescent="0.25">
      <c r="B18" s="117">
        <v>46007</v>
      </c>
      <c r="C18" s="116" t="s">
        <v>257</v>
      </c>
      <c r="D18" s="116" t="s">
        <v>229</v>
      </c>
      <c r="E18" s="116" t="s">
        <v>254</v>
      </c>
      <c r="F18" s="116" t="s">
        <v>254</v>
      </c>
      <c r="G18" s="116" t="s">
        <v>254</v>
      </c>
      <c r="H18" s="116" t="s">
        <v>257</v>
      </c>
      <c r="I18" s="116" t="s">
        <v>257</v>
      </c>
      <c r="J18" s="116" t="s">
        <v>257</v>
      </c>
      <c r="K18" s="116" t="s">
        <v>229</v>
      </c>
      <c r="L18" s="116" t="s">
        <v>230</v>
      </c>
      <c r="M18" s="116" t="s">
        <v>230</v>
      </c>
      <c r="N18" s="116" t="s">
        <v>254</v>
      </c>
      <c r="O18" s="116" t="s">
        <v>254</v>
      </c>
      <c r="P18" s="116" t="s">
        <v>257</v>
      </c>
      <c r="Q18" s="116" t="s">
        <v>257</v>
      </c>
      <c r="R18" s="116" t="s">
        <v>257</v>
      </c>
      <c r="S18" s="116" t="s">
        <v>229</v>
      </c>
      <c r="T18" s="116" t="s">
        <v>230</v>
      </c>
      <c r="U18" s="116" t="s">
        <v>254</v>
      </c>
      <c r="V18" s="116" t="s">
        <v>257</v>
      </c>
      <c r="W18" s="116" t="s">
        <v>257</v>
      </c>
      <c r="X18" s="116" t="s">
        <v>257</v>
      </c>
      <c r="Y18" s="116" t="s">
        <v>229</v>
      </c>
      <c r="Z18" s="116" t="s">
        <v>229</v>
      </c>
      <c r="AA18" s="116" t="s">
        <v>230</v>
      </c>
      <c r="AB18" s="116" t="s">
        <v>254</v>
      </c>
      <c r="AC18" s="116" t="s">
        <v>254</v>
      </c>
      <c r="AD18" s="116" t="s">
        <v>257</v>
      </c>
      <c r="AE18" s="116" t="s">
        <v>257</v>
      </c>
      <c r="AF18" s="116" t="s">
        <v>257</v>
      </c>
      <c r="AG18" s="116" t="s">
        <v>229</v>
      </c>
      <c r="AH18" s="116" t="s">
        <v>230</v>
      </c>
      <c r="AI18" s="116" t="s">
        <v>230</v>
      </c>
      <c r="AJ18" s="116" t="s">
        <v>229</v>
      </c>
      <c r="AK18" s="116" t="s">
        <v>230</v>
      </c>
      <c r="AL18" s="116" t="s">
        <v>229</v>
      </c>
    </row>
    <row r="19" spans="2:38" ht="15.75" x14ac:dyDescent="0.25">
      <c r="B19" s="117">
        <v>46008</v>
      </c>
      <c r="C19" s="116" t="s">
        <v>257</v>
      </c>
      <c r="D19" s="116" t="s">
        <v>230</v>
      </c>
      <c r="E19" s="116" t="s">
        <v>254</v>
      </c>
      <c r="F19" s="116" t="s">
        <v>254</v>
      </c>
      <c r="G19" s="116" t="s">
        <v>257</v>
      </c>
      <c r="H19" s="116" t="s">
        <v>257</v>
      </c>
      <c r="I19" s="116" t="s">
        <v>257</v>
      </c>
      <c r="J19" s="116" t="s">
        <v>229</v>
      </c>
      <c r="K19" s="116" t="s">
        <v>230</v>
      </c>
      <c r="L19" s="116" t="s">
        <v>230</v>
      </c>
      <c r="M19" s="116" t="s">
        <v>230</v>
      </c>
      <c r="N19" s="116" t="s">
        <v>254</v>
      </c>
      <c r="O19" s="116" t="s">
        <v>257</v>
      </c>
      <c r="P19" s="116" t="s">
        <v>257</v>
      </c>
      <c r="Q19" s="116" t="s">
        <v>257</v>
      </c>
      <c r="R19" s="116" t="s">
        <v>229</v>
      </c>
      <c r="S19" s="116" t="s">
        <v>230</v>
      </c>
      <c r="T19" s="116" t="s">
        <v>254</v>
      </c>
      <c r="U19" s="116" t="s">
        <v>254</v>
      </c>
      <c r="V19" s="116" t="s">
        <v>257</v>
      </c>
      <c r="W19" s="116" t="s">
        <v>257</v>
      </c>
      <c r="X19" s="116" t="s">
        <v>229</v>
      </c>
      <c r="Y19" s="116" t="s">
        <v>229</v>
      </c>
      <c r="Z19" s="116" t="s">
        <v>230</v>
      </c>
      <c r="AA19" s="116" t="s">
        <v>254</v>
      </c>
      <c r="AB19" s="116" t="s">
        <v>254</v>
      </c>
      <c r="AC19" s="116" t="s">
        <v>257</v>
      </c>
      <c r="AD19" s="116" t="s">
        <v>257</v>
      </c>
      <c r="AE19" s="116" t="s">
        <v>257</v>
      </c>
      <c r="AF19" s="116" t="s">
        <v>229</v>
      </c>
      <c r="AG19" s="116" t="s">
        <v>229</v>
      </c>
      <c r="AH19" s="116" t="s">
        <v>230</v>
      </c>
      <c r="AI19" s="116" t="s">
        <v>254</v>
      </c>
      <c r="AJ19" s="116" t="s">
        <v>230</v>
      </c>
      <c r="AK19" s="116" t="s">
        <v>229</v>
      </c>
      <c r="AL19" s="116" t="s">
        <v>229</v>
      </c>
    </row>
    <row r="20" spans="2:38" ht="15.75" x14ac:dyDescent="0.25">
      <c r="B20" s="117">
        <v>46009</v>
      </c>
      <c r="C20" s="116" t="s">
        <v>229</v>
      </c>
      <c r="D20" s="116" t="s">
        <v>230</v>
      </c>
      <c r="E20" s="116" t="s">
        <v>254</v>
      </c>
      <c r="F20" s="116" t="s">
        <v>257</v>
      </c>
      <c r="G20" s="116" t="s">
        <v>257</v>
      </c>
      <c r="H20" s="116" t="s">
        <v>257</v>
      </c>
      <c r="I20" s="116" t="s">
        <v>229</v>
      </c>
      <c r="J20" s="116" t="s">
        <v>230</v>
      </c>
      <c r="K20" s="116" t="s">
        <v>230</v>
      </c>
      <c r="L20" s="116" t="s">
        <v>254</v>
      </c>
      <c r="M20" s="116" t="s">
        <v>254</v>
      </c>
      <c r="N20" s="116" t="s">
        <v>257</v>
      </c>
      <c r="O20" s="116" t="s">
        <v>257</v>
      </c>
      <c r="P20" s="116" t="s">
        <v>257</v>
      </c>
      <c r="Q20" s="116" t="s">
        <v>229</v>
      </c>
      <c r="R20" s="116" t="s">
        <v>230</v>
      </c>
      <c r="S20" s="116" t="s">
        <v>230</v>
      </c>
      <c r="T20" s="116" t="s">
        <v>254</v>
      </c>
      <c r="U20" s="116" t="s">
        <v>257</v>
      </c>
      <c r="V20" s="116" t="s">
        <v>257</v>
      </c>
      <c r="W20" s="116" t="s">
        <v>229</v>
      </c>
      <c r="X20" s="116" t="s">
        <v>229</v>
      </c>
      <c r="Y20" s="116" t="s">
        <v>230</v>
      </c>
      <c r="Z20" s="116" t="s">
        <v>254</v>
      </c>
      <c r="AA20" s="116" t="s">
        <v>254</v>
      </c>
      <c r="AB20" s="116" t="s">
        <v>257</v>
      </c>
      <c r="AC20" s="116" t="s">
        <v>257</v>
      </c>
      <c r="AD20" s="116" t="s">
        <v>257</v>
      </c>
      <c r="AE20" s="116" t="s">
        <v>229</v>
      </c>
      <c r="AF20" s="116" t="s">
        <v>230</v>
      </c>
      <c r="AG20" s="116" t="s">
        <v>230</v>
      </c>
      <c r="AH20" s="116" t="s">
        <v>254</v>
      </c>
      <c r="AI20" s="116" t="s">
        <v>254</v>
      </c>
      <c r="AJ20" s="116" t="s">
        <v>230</v>
      </c>
      <c r="AK20" s="116" t="s">
        <v>229</v>
      </c>
      <c r="AL20" s="116" t="s">
        <v>257</v>
      </c>
    </row>
    <row r="21" spans="2:38" ht="15.75" x14ac:dyDescent="0.25">
      <c r="B21" s="117">
        <v>46010</v>
      </c>
      <c r="C21" s="116" t="s">
        <v>230</v>
      </c>
      <c r="D21" s="116" t="s">
        <v>254</v>
      </c>
      <c r="E21" s="116" t="s">
        <v>257</v>
      </c>
      <c r="F21" s="116" t="s">
        <v>257</v>
      </c>
      <c r="G21" s="116" t="s">
        <v>257</v>
      </c>
      <c r="H21" s="116" t="s">
        <v>229</v>
      </c>
      <c r="I21" s="116" t="s">
        <v>230</v>
      </c>
      <c r="J21" s="116" t="s">
        <v>230</v>
      </c>
      <c r="K21" s="116" t="s">
        <v>254</v>
      </c>
      <c r="L21" s="116" t="s">
        <v>254</v>
      </c>
      <c r="M21" s="116" t="s">
        <v>257</v>
      </c>
      <c r="N21" s="116" t="s">
        <v>257</v>
      </c>
      <c r="O21" s="116" t="s">
        <v>257</v>
      </c>
      <c r="P21" s="116" t="s">
        <v>229</v>
      </c>
      <c r="Q21" s="116" t="s">
        <v>229</v>
      </c>
      <c r="R21" s="116" t="s">
        <v>254</v>
      </c>
      <c r="S21" s="116" t="s">
        <v>254</v>
      </c>
      <c r="T21" s="116" t="s">
        <v>257</v>
      </c>
      <c r="U21" s="116" t="s">
        <v>257</v>
      </c>
      <c r="V21" s="116" t="s">
        <v>229</v>
      </c>
      <c r="W21" s="116" t="s">
        <v>230</v>
      </c>
      <c r="X21" s="116" t="s">
        <v>230</v>
      </c>
      <c r="Y21" s="116" t="s">
        <v>254</v>
      </c>
      <c r="Z21" s="116" t="s">
        <v>254</v>
      </c>
      <c r="AA21" s="116" t="s">
        <v>257</v>
      </c>
      <c r="AB21" s="116" t="s">
        <v>257</v>
      </c>
      <c r="AC21" s="116" t="s">
        <v>257</v>
      </c>
      <c r="AD21" s="116" t="s">
        <v>229</v>
      </c>
      <c r="AE21" s="116" t="s">
        <v>230</v>
      </c>
      <c r="AF21" s="116" t="s">
        <v>230</v>
      </c>
      <c r="AG21" s="116" t="s">
        <v>254</v>
      </c>
      <c r="AH21" s="116" t="s">
        <v>254</v>
      </c>
      <c r="AI21" s="116" t="s">
        <v>257</v>
      </c>
      <c r="AJ21" s="116" t="s">
        <v>257</v>
      </c>
      <c r="AK21" s="116" t="s">
        <v>257</v>
      </c>
      <c r="AL21" s="116" t="s">
        <v>257</v>
      </c>
    </row>
    <row r="22" spans="2:38" ht="15.75" x14ac:dyDescent="0.25">
      <c r="B22" s="117">
        <v>46011</v>
      </c>
      <c r="C22" s="116" t="s">
        <v>230</v>
      </c>
      <c r="D22" s="116" t="s">
        <v>257</v>
      </c>
      <c r="E22" s="116" t="s">
        <v>257</v>
      </c>
      <c r="F22" s="116" t="s">
        <v>257</v>
      </c>
      <c r="G22" s="116" t="s">
        <v>229</v>
      </c>
      <c r="H22" s="116" t="s">
        <v>230</v>
      </c>
      <c r="I22" s="116" t="s">
        <v>230</v>
      </c>
      <c r="J22" s="116" t="s">
        <v>254</v>
      </c>
      <c r="K22" s="116" t="s">
        <v>254</v>
      </c>
      <c r="L22" s="116" t="s">
        <v>257</v>
      </c>
      <c r="M22" s="116" t="s">
        <v>257</v>
      </c>
      <c r="N22" s="116" t="s">
        <v>257</v>
      </c>
      <c r="O22" s="116" t="s">
        <v>229</v>
      </c>
      <c r="P22" s="116" t="s">
        <v>229</v>
      </c>
      <c r="Q22" s="116" t="s">
        <v>230</v>
      </c>
      <c r="R22" s="116" t="s">
        <v>254</v>
      </c>
      <c r="S22" s="116" t="s">
        <v>254</v>
      </c>
      <c r="T22" s="116" t="s">
        <v>257</v>
      </c>
      <c r="U22" s="116" t="s">
        <v>257</v>
      </c>
      <c r="V22" s="116" t="s">
        <v>230</v>
      </c>
      <c r="W22" s="116" t="s">
        <v>254</v>
      </c>
      <c r="X22" s="116" t="s">
        <v>254</v>
      </c>
      <c r="Y22" s="116" t="s">
        <v>254</v>
      </c>
      <c r="Z22" s="116" t="s">
        <v>257</v>
      </c>
      <c r="AA22" s="116" t="s">
        <v>257</v>
      </c>
      <c r="AB22" s="116" t="s">
        <v>257</v>
      </c>
      <c r="AC22" s="116" t="s">
        <v>229</v>
      </c>
      <c r="AD22" s="116" t="s">
        <v>229</v>
      </c>
      <c r="AE22" s="116" t="s">
        <v>230</v>
      </c>
      <c r="AF22" s="116" t="s">
        <v>254</v>
      </c>
      <c r="AG22" s="116" t="s">
        <v>254</v>
      </c>
      <c r="AH22" s="116" t="s">
        <v>257</v>
      </c>
      <c r="AI22" s="116" t="s">
        <v>257</v>
      </c>
      <c r="AJ22" s="116" t="s">
        <v>257</v>
      </c>
      <c r="AK22" s="116" t="s">
        <v>257</v>
      </c>
      <c r="AL22" s="116" t="s">
        <v>239</v>
      </c>
    </row>
    <row r="23" spans="2:38" ht="15.75" x14ac:dyDescent="0.25">
      <c r="B23" s="117">
        <v>46012</v>
      </c>
      <c r="C23" s="116" t="s">
        <v>254</v>
      </c>
      <c r="D23" s="116" t="s">
        <v>257</v>
      </c>
      <c r="E23" s="116" t="s">
        <v>257</v>
      </c>
      <c r="F23" s="116" t="s">
        <v>229</v>
      </c>
      <c r="G23" s="116" t="s">
        <v>230</v>
      </c>
      <c r="H23" s="116" t="s">
        <v>230</v>
      </c>
      <c r="I23" s="116" t="s">
        <v>254</v>
      </c>
      <c r="J23" s="116" t="s">
        <v>254</v>
      </c>
      <c r="K23" s="116" t="s">
        <v>257</v>
      </c>
      <c r="L23" s="116" t="s">
        <v>257</v>
      </c>
      <c r="M23" s="116" t="s">
        <v>257</v>
      </c>
      <c r="N23" s="116" t="s">
        <v>229</v>
      </c>
      <c r="O23" s="116" t="s">
        <v>229</v>
      </c>
      <c r="P23" s="116" t="s">
        <v>230</v>
      </c>
      <c r="Q23" s="116" t="s">
        <v>254</v>
      </c>
      <c r="R23" s="116" t="s">
        <v>254</v>
      </c>
      <c r="S23" s="116" t="s">
        <v>257</v>
      </c>
      <c r="T23" s="116" t="s">
        <v>257</v>
      </c>
      <c r="U23" s="116" t="s">
        <v>229</v>
      </c>
      <c r="V23" s="116" t="s">
        <v>230</v>
      </c>
      <c r="W23" s="116" t="s">
        <v>254</v>
      </c>
      <c r="X23" s="116" t="s">
        <v>254</v>
      </c>
      <c r="Y23" s="116" t="s">
        <v>257</v>
      </c>
      <c r="Z23" s="116" t="s">
        <v>257</v>
      </c>
      <c r="AA23" s="116" t="s">
        <v>257</v>
      </c>
      <c r="AB23" s="116" t="s">
        <v>229</v>
      </c>
      <c r="AC23" s="116" t="s">
        <v>230</v>
      </c>
      <c r="AD23" s="116" t="s">
        <v>230</v>
      </c>
      <c r="AE23" s="116" t="s">
        <v>254</v>
      </c>
      <c r="AF23" s="116" t="s">
        <v>254</v>
      </c>
      <c r="AG23" s="116" t="s">
        <v>257</v>
      </c>
      <c r="AH23" s="116" t="s">
        <v>257</v>
      </c>
      <c r="AI23" s="116" t="s">
        <v>257</v>
      </c>
      <c r="AJ23" s="116" t="s">
        <v>229</v>
      </c>
      <c r="AK23" s="116" t="s">
        <v>230</v>
      </c>
      <c r="AL23" s="116" t="s">
        <v>239</v>
      </c>
    </row>
    <row r="24" spans="2:38" ht="15.75" x14ac:dyDescent="0.25">
      <c r="B24" s="117">
        <v>46013</v>
      </c>
      <c r="C24" s="116" t="s">
        <v>254</v>
      </c>
      <c r="D24" s="116" t="s">
        <v>257</v>
      </c>
      <c r="E24" s="116" t="s">
        <v>229</v>
      </c>
      <c r="F24" s="116" t="s">
        <v>229</v>
      </c>
      <c r="G24" s="116" t="s">
        <v>230</v>
      </c>
      <c r="H24" s="116" t="s">
        <v>254</v>
      </c>
      <c r="I24" s="116" t="s">
        <v>254</v>
      </c>
      <c r="J24" s="116" t="s">
        <v>257</v>
      </c>
      <c r="K24" s="116" t="s">
        <v>257</v>
      </c>
      <c r="L24" s="116" t="s">
        <v>257</v>
      </c>
      <c r="M24" s="116" t="s">
        <v>229</v>
      </c>
      <c r="N24" s="116" t="s">
        <v>230</v>
      </c>
      <c r="O24" s="116" t="s">
        <v>230</v>
      </c>
      <c r="P24" s="116" t="s">
        <v>254</v>
      </c>
      <c r="Q24" s="116" t="s">
        <v>254</v>
      </c>
      <c r="R24" s="116" t="s">
        <v>257</v>
      </c>
      <c r="S24" s="116" t="s">
        <v>257</v>
      </c>
      <c r="T24" s="116" t="s">
        <v>229</v>
      </c>
      <c r="U24" s="116" t="s">
        <v>229</v>
      </c>
      <c r="V24" s="116" t="s">
        <v>254</v>
      </c>
      <c r="W24" s="116" t="s">
        <v>254</v>
      </c>
      <c r="X24" s="116" t="s">
        <v>257</v>
      </c>
      <c r="Y24" s="116" t="s">
        <v>257</v>
      </c>
      <c r="Z24" s="116" t="s">
        <v>257</v>
      </c>
      <c r="AA24" s="116" t="s">
        <v>229</v>
      </c>
      <c r="AB24" s="116" t="s">
        <v>230</v>
      </c>
      <c r="AC24" s="116" t="s">
        <v>230</v>
      </c>
      <c r="AD24" s="116" t="s">
        <v>254</v>
      </c>
      <c r="AE24" s="116" t="s">
        <v>254</v>
      </c>
      <c r="AF24" s="116" t="s">
        <v>257</v>
      </c>
      <c r="AG24" s="116" t="s">
        <v>257</v>
      </c>
      <c r="AH24" s="116" t="s">
        <v>257</v>
      </c>
      <c r="AI24" s="116" t="s">
        <v>229</v>
      </c>
      <c r="AJ24" s="116" t="s">
        <v>229</v>
      </c>
      <c r="AK24" s="116" t="s">
        <v>230</v>
      </c>
      <c r="AL24" s="116" t="s">
        <v>239</v>
      </c>
    </row>
    <row r="25" spans="2:38" ht="15.75" x14ac:dyDescent="0.25">
      <c r="B25" s="117">
        <v>46014</v>
      </c>
      <c r="C25" s="116" t="s">
        <v>257</v>
      </c>
      <c r="D25" s="116" t="s">
        <v>229</v>
      </c>
      <c r="E25" s="116" t="s">
        <v>229</v>
      </c>
      <c r="F25" s="116" t="s">
        <v>230</v>
      </c>
      <c r="G25" s="116" t="s">
        <v>254</v>
      </c>
      <c r="H25" s="116" t="s">
        <v>254</v>
      </c>
      <c r="I25" s="116" t="s">
        <v>257</v>
      </c>
      <c r="J25" s="116" t="s">
        <v>257</v>
      </c>
      <c r="K25" s="116" t="s">
        <v>257</v>
      </c>
      <c r="L25" s="116" t="s">
        <v>229</v>
      </c>
      <c r="M25" s="116" t="s">
        <v>230</v>
      </c>
      <c r="N25" s="116" t="s">
        <v>254</v>
      </c>
      <c r="O25" s="116" t="s">
        <v>254</v>
      </c>
      <c r="P25" s="116" t="s">
        <v>254</v>
      </c>
      <c r="Q25" s="116" t="s">
        <v>257</v>
      </c>
      <c r="R25" s="116" t="s">
        <v>257</v>
      </c>
      <c r="S25" s="116" t="s">
        <v>257</v>
      </c>
      <c r="T25" s="116" t="s">
        <v>230</v>
      </c>
      <c r="U25" s="116" t="s">
        <v>230</v>
      </c>
      <c r="V25" s="116" t="s">
        <v>254</v>
      </c>
      <c r="W25" s="116" t="s">
        <v>257</v>
      </c>
      <c r="X25" s="116" t="s">
        <v>257</v>
      </c>
      <c r="Y25" s="116" t="s">
        <v>257</v>
      </c>
      <c r="Z25" s="116" t="s">
        <v>229</v>
      </c>
      <c r="AA25" s="116" t="s">
        <v>230</v>
      </c>
      <c r="AB25" s="116" t="s">
        <v>254</v>
      </c>
      <c r="AC25" s="116" t="s">
        <v>254</v>
      </c>
      <c r="AD25" s="116" t="s">
        <v>254</v>
      </c>
      <c r="AE25" s="116" t="s">
        <v>257</v>
      </c>
      <c r="AF25" s="116" t="s">
        <v>257</v>
      </c>
      <c r="AG25" s="116" t="s">
        <v>257</v>
      </c>
      <c r="AH25" s="116" t="s">
        <v>229</v>
      </c>
      <c r="AI25" s="116" t="s">
        <v>230</v>
      </c>
      <c r="AJ25" s="116" t="s">
        <v>229</v>
      </c>
      <c r="AK25" s="116" t="s">
        <v>230</v>
      </c>
      <c r="AL25" s="116" t="s">
        <v>229</v>
      </c>
    </row>
    <row r="26" spans="2:38" ht="15.75" x14ac:dyDescent="0.25">
      <c r="B26" s="117">
        <v>46015</v>
      </c>
      <c r="C26" s="116" t="s">
        <v>257</v>
      </c>
      <c r="D26" s="116" t="s">
        <v>229</v>
      </c>
      <c r="E26" s="116" t="s">
        <v>230</v>
      </c>
      <c r="F26" s="116" t="s">
        <v>230</v>
      </c>
      <c r="G26" s="116" t="s">
        <v>254</v>
      </c>
      <c r="H26" s="116" t="s">
        <v>257</v>
      </c>
      <c r="I26" s="116" t="s">
        <v>257</v>
      </c>
      <c r="J26" s="116" t="s">
        <v>257</v>
      </c>
      <c r="K26" s="116" t="s">
        <v>229</v>
      </c>
      <c r="L26" s="116" t="s">
        <v>230</v>
      </c>
      <c r="M26" s="116" t="s">
        <v>230</v>
      </c>
      <c r="N26" s="116" t="s">
        <v>254</v>
      </c>
      <c r="O26" s="116" t="s">
        <v>254</v>
      </c>
      <c r="P26" s="116" t="s">
        <v>257</v>
      </c>
      <c r="Q26" s="116" t="s">
        <v>257</v>
      </c>
      <c r="R26" s="116" t="s">
        <v>257</v>
      </c>
      <c r="S26" s="116" t="s">
        <v>229</v>
      </c>
      <c r="T26" s="116" t="s">
        <v>254</v>
      </c>
      <c r="U26" s="116" t="s">
        <v>254</v>
      </c>
      <c r="V26" s="116" t="s">
        <v>257</v>
      </c>
      <c r="W26" s="116" t="s">
        <v>257</v>
      </c>
      <c r="X26" s="116" t="s">
        <v>257</v>
      </c>
      <c r="Y26" s="116" t="s">
        <v>229</v>
      </c>
      <c r="Z26" s="116" t="s">
        <v>230</v>
      </c>
      <c r="AA26" s="116" t="s">
        <v>230</v>
      </c>
      <c r="AB26" s="116" t="s">
        <v>254</v>
      </c>
      <c r="AC26" s="116" t="s">
        <v>254</v>
      </c>
      <c r="AD26" s="116" t="s">
        <v>257</v>
      </c>
      <c r="AE26" s="116" t="s">
        <v>257</v>
      </c>
      <c r="AF26" s="116" t="s">
        <v>257</v>
      </c>
      <c r="AG26" s="116" t="s">
        <v>229</v>
      </c>
      <c r="AH26" s="116" t="s">
        <v>229</v>
      </c>
      <c r="AI26" s="116" t="s">
        <v>230</v>
      </c>
      <c r="AJ26" s="116" t="s">
        <v>230</v>
      </c>
      <c r="AK26" s="116" t="s">
        <v>229</v>
      </c>
      <c r="AL26" s="116" t="s">
        <v>229</v>
      </c>
    </row>
    <row r="27" spans="2:38" ht="15.75" x14ac:dyDescent="0.25">
      <c r="B27" s="117">
        <v>46016</v>
      </c>
      <c r="C27" s="116" t="s">
        <v>257</v>
      </c>
      <c r="D27" s="116" t="s">
        <v>230</v>
      </c>
      <c r="E27" s="116" t="s">
        <v>254</v>
      </c>
      <c r="F27" s="116" t="s">
        <v>254</v>
      </c>
      <c r="G27" s="116" t="s">
        <v>257</v>
      </c>
      <c r="H27" s="116" t="s">
        <v>257</v>
      </c>
      <c r="I27" s="116" t="s">
        <v>257</v>
      </c>
      <c r="J27" s="116" t="s">
        <v>229</v>
      </c>
      <c r="K27" s="116" t="s">
        <v>229</v>
      </c>
      <c r="L27" s="116" t="s">
        <v>230</v>
      </c>
      <c r="M27" s="116" t="s">
        <v>254</v>
      </c>
      <c r="N27" s="116" t="s">
        <v>254</v>
      </c>
      <c r="O27" s="116" t="s">
        <v>257</v>
      </c>
      <c r="P27" s="116" t="s">
        <v>257</v>
      </c>
      <c r="Q27" s="116" t="s">
        <v>257</v>
      </c>
      <c r="R27" s="116" t="s">
        <v>229</v>
      </c>
      <c r="S27" s="116" t="s">
        <v>230</v>
      </c>
      <c r="T27" s="116" t="s">
        <v>254</v>
      </c>
      <c r="U27" s="116" t="s">
        <v>254</v>
      </c>
      <c r="V27" s="116" t="s">
        <v>257</v>
      </c>
      <c r="W27" s="116" t="s">
        <v>257</v>
      </c>
      <c r="X27" s="116" t="s">
        <v>229</v>
      </c>
      <c r="Y27" s="116" t="s">
        <v>230</v>
      </c>
      <c r="Z27" s="116" t="s">
        <v>230</v>
      </c>
      <c r="AA27" s="116" t="s">
        <v>254</v>
      </c>
      <c r="AB27" s="116" t="s">
        <v>254</v>
      </c>
      <c r="AC27" s="116" t="s">
        <v>257</v>
      </c>
      <c r="AD27" s="116" t="s">
        <v>257</v>
      </c>
      <c r="AE27" s="116" t="s">
        <v>257</v>
      </c>
      <c r="AF27" s="116" t="s">
        <v>229</v>
      </c>
      <c r="AG27" s="116" t="s">
        <v>229</v>
      </c>
      <c r="AH27" s="116" t="s">
        <v>230</v>
      </c>
      <c r="AI27" s="116" t="s">
        <v>254</v>
      </c>
      <c r="AJ27" s="116" t="s">
        <v>230</v>
      </c>
      <c r="AK27" s="116" t="s">
        <v>229</v>
      </c>
      <c r="AL27" s="116" t="s">
        <v>257</v>
      </c>
    </row>
    <row r="28" spans="2:38" ht="15.75" x14ac:dyDescent="0.25">
      <c r="B28" s="117">
        <v>46017</v>
      </c>
      <c r="C28" s="116" t="s">
        <v>229</v>
      </c>
      <c r="D28" s="116" t="s">
        <v>254</v>
      </c>
      <c r="E28" s="116" t="s">
        <v>254</v>
      </c>
      <c r="F28" s="116" t="s">
        <v>257</v>
      </c>
      <c r="G28" s="116" t="s">
        <v>257</v>
      </c>
      <c r="H28" s="116" t="s">
        <v>257</v>
      </c>
      <c r="I28" s="116" t="s">
        <v>229</v>
      </c>
      <c r="J28" s="116" t="s">
        <v>230</v>
      </c>
      <c r="K28" s="116" t="s">
        <v>230</v>
      </c>
      <c r="L28" s="116" t="s">
        <v>254</v>
      </c>
      <c r="M28" s="116" t="s">
        <v>254</v>
      </c>
      <c r="N28" s="116" t="s">
        <v>257</v>
      </c>
      <c r="O28" s="116" t="s">
        <v>257</v>
      </c>
      <c r="P28" s="116" t="s">
        <v>257</v>
      </c>
      <c r="Q28" s="116" t="s">
        <v>229</v>
      </c>
      <c r="R28" s="116" t="s">
        <v>230</v>
      </c>
      <c r="S28" s="116" t="s">
        <v>230</v>
      </c>
      <c r="T28" s="116" t="s">
        <v>254</v>
      </c>
      <c r="U28" s="116" t="s">
        <v>257</v>
      </c>
      <c r="V28" s="116" t="s">
        <v>257</v>
      </c>
      <c r="W28" s="116" t="s">
        <v>229</v>
      </c>
      <c r="X28" s="116" t="s">
        <v>230</v>
      </c>
      <c r="Y28" s="116" t="s">
        <v>230</v>
      </c>
      <c r="Z28" s="116" t="s">
        <v>256</v>
      </c>
      <c r="AA28" s="116" t="s">
        <v>254</v>
      </c>
      <c r="AB28" s="116" t="s">
        <v>257</v>
      </c>
      <c r="AC28" s="116" t="s">
        <v>257</v>
      </c>
      <c r="AD28" s="116" t="s">
        <v>257</v>
      </c>
      <c r="AE28" s="116" t="s">
        <v>229</v>
      </c>
      <c r="AF28" s="116" t="s">
        <v>229</v>
      </c>
      <c r="AG28" s="116" t="s">
        <v>230</v>
      </c>
      <c r="AH28" s="116" t="s">
        <v>254</v>
      </c>
      <c r="AI28" s="116" t="s">
        <v>254</v>
      </c>
      <c r="AJ28" s="116" t="s">
        <v>257</v>
      </c>
      <c r="AK28" s="116" t="s">
        <v>257</v>
      </c>
      <c r="AL28" s="116" t="s">
        <v>257</v>
      </c>
    </row>
    <row r="29" spans="2:38" ht="15.75" x14ac:dyDescent="0.25">
      <c r="B29" s="117">
        <v>46018</v>
      </c>
      <c r="C29" s="116" t="s">
        <v>230</v>
      </c>
      <c r="D29" s="116" t="s">
        <v>254</v>
      </c>
      <c r="E29" s="116" t="s">
        <v>257</v>
      </c>
      <c r="F29" s="116" t="s">
        <v>257</v>
      </c>
      <c r="G29" s="116" t="s">
        <v>257</v>
      </c>
      <c r="H29" s="116" t="s">
        <v>229</v>
      </c>
      <c r="I29" s="116" t="s">
        <v>230</v>
      </c>
      <c r="J29" s="116" t="s">
        <v>230</v>
      </c>
      <c r="K29" s="116" t="s">
        <v>254</v>
      </c>
      <c r="L29" s="116" t="s">
        <v>254</v>
      </c>
      <c r="M29" s="116" t="s">
        <v>257</v>
      </c>
      <c r="N29" s="116" t="s">
        <v>257</v>
      </c>
      <c r="O29" s="116" t="s">
        <v>257</v>
      </c>
      <c r="P29" s="116" t="s">
        <v>229</v>
      </c>
      <c r="Q29" s="116" t="s">
        <v>229</v>
      </c>
      <c r="R29" s="116" t="s">
        <v>230</v>
      </c>
      <c r="S29" s="116" t="s">
        <v>254</v>
      </c>
      <c r="T29" s="116" t="s">
        <v>257</v>
      </c>
      <c r="U29" s="116" t="s">
        <v>257</v>
      </c>
      <c r="V29" s="116" t="s">
        <v>229</v>
      </c>
      <c r="W29" s="116" t="s">
        <v>230</v>
      </c>
      <c r="X29" s="116" t="s">
        <v>230</v>
      </c>
      <c r="Y29" s="116" t="s">
        <v>254</v>
      </c>
      <c r="Z29" s="116" t="s">
        <v>254</v>
      </c>
      <c r="AA29" s="116" t="s">
        <v>257</v>
      </c>
      <c r="AB29" s="116" t="s">
        <v>257</v>
      </c>
      <c r="AC29" s="116" t="s">
        <v>257</v>
      </c>
      <c r="AD29" s="116" t="s">
        <v>229</v>
      </c>
      <c r="AE29" s="116" t="s">
        <v>229</v>
      </c>
      <c r="AF29" s="116" t="s">
        <v>230</v>
      </c>
      <c r="AG29" s="116" t="s">
        <v>254</v>
      </c>
      <c r="AH29" s="116" t="s">
        <v>254</v>
      </c>
      <c r="AI29" s="116" t="s">
        <v>257</v>
      </c>
      <c r="AJ29" s="116" t="s">
        <v>257</v>
      </c>
      <c r="AK29" s="116" t="s">
        <v>257</v>
      </c>
      <c r="AL29" s="116" t="s">
        <v>239</v>
      </c>
    </row>
    <row r="30" spans="2:38" ht="15.75" x14ac:dyDescent="0.25">
      <c r="B30" s="117">
        <v>46019</v>
      </c>
      <c r="C30" s="116" t="s">
        <v>230</v>
      </c>
      <c r="D30" s="116" t="s">
        <v>257</v>
      </c>
      <c r="E30" s="116" t="s">
        <v>257</v>
      </c>
      <c r="F30" s="116" t="s">
        <v>257</v>
      </c>
      <c r="G30" s="116" t="s">
        <v>229</v>
      </c>
      <c r="H30" s="116" t="s">
        <v>230</v>
      </c>
      <c r="I30" s="116" t="s">
        <v>230</v>
      </c>
      <c r="J30" s="116" t="s">
        <v>254</v>
      </c>
      <c r="K30" s="116" t="s">
        <v>254</v>
      </c>
      <c r="L30" s="116" t="s">
        <v>257</v>
      </c>
      <c r="M30" s="116" t="s">
        <v>257</v>
      </c>
      <c r="N30" s="116" t="s">
        <v>257</v>
      </c>
      <c r="O30" s="116" t="s">
        <v>229</v>
      </c>
      <c r="P30" s="116" t="s">
        <v>229</v>
      </c>
      <c r="Q30" s="116" t="s">
        <v>230</v>
      </c>
      <c r="R30" s="116" t="s">
        <v>254</v>
      </c>
      <c r="S30" s="116" t="s">
        <v>254</v>
      </c>
      <c r="T30" s="116" t="s">
        <v>257</v>
      </c>
      <c r="U30" s="116" t="s">
        <v>257</v>
      </c>
      <c r="V30" s="116" t="s">
        <v>230</v>
      </c>
      <c r="W30" s="116" t="s">
        <v>230</v>
      </c>
      <c r="X30" s="116" t="s">
        <v>254</v>
      </c>
      <c r="Y30" s="116" t="s">
        <v>254</v>
      </c>
      <c r="Z30" s="116" t="s">
        <v>257</v>
      </c>
      <c r="AA30" s="116" t="s">
        <v>257</v>
      </c>
      <c r="AB30" s="116" t="s">
        <v>257</v>
      </c>
      <c r="AC30" s="116" t="s">
        <v>229</v>
      </c>
      <c r="AD30" s="116" t="s">
        <v>229</v>
      </c>
      <c r="AE30" s="116" t="s">
        <v>230</v>
      </c>
      <c r="AF30" s="116" t="s">
        <v>254</v>
      </c>
      <c r="AG30" s="116" t="s">
        <v>254</v>
      </c>
      <c r="AH30" s="116" t="s">
        <v>257</v>
      </c>
      <c r="AI30" s="116" t="s">
        <v>257</v>
      </c>
      <c r="AJ30" s="116" t="s">
        <v>229</v>
      </c>
      <c r="AK30" s="116" t="s">
        <v>230</v>
      </c>
      <c r="AL30" s="116" t="s">
        <v>239</v>
      </c>
    </row>
    <row r="31" spans="2:38" ht="15.75" x14ac:dyDescent="0.25">
      <c r="B31" s="117">
        <v>46020</v>
      </c>
      <c r="C31" s="116" t="s">
        <v>254</v>
      </c>
      <c r="D31" s="116" t="s">
        <v>257</v>
      </c>
      <c r="E31" s="116" t="s">
        <v>257</v>
      </c>
      <c r="F31" s="116" t="s">
        <v>229</v>
      </c>
      <c r="G31" s="116" t="s">
        <v>230</v>
      </c>
      <c r="H31" s="116" t="s">
        <v>230</v>
      </c>
      <c r="I31" s="116" t="s">
        <v>254</v>
      </c>
      <c r="J31" s="116" t="s">
        <v>254</v>
      </c>
      <c r="K31" s="116" t="s">
        <v>257</v>
      </c>
      <c r="L31" s="116" t="s">
        <v>257</v>
      </c>
      <c r="M31" s="116" t="s">
        <v>257</v>
      </c>
      <c r="N31" s="116" t="s">
        <v>229</v>
      </c>
      <c r="O31" s="116" t="s">
        <v>229</v>
      </c>
      <c r="P31" s="116" t="s">
        <v>230</v>
      </c>
      <c r="Q31" s="116" t="s">
        <v>254</v>
      </c>
      <c r="R31" s="116" t="s">
        <v>254</v>
      </c>
      <c r="S31" s="116" t="s">
        <v>257</v>
      </c>
      <c r="T31" s="116" t="s">
        <v>257</v>
      </c>
      <c r="U31" s="116" t="s">
        <v>229</v>
      </c>
      <c r="V31" s="116" t="s">
        <v>230</v>
      </c>
      <c r="W31" s="116" t="s">
        <v>254</v>
      </c>
      <c r="X31" s="116" t="s">
        <v>254</v>
      </c>
      <c r="Y31" s="116" t="s">
        <v>257</v>
      </c>
      <c r="Z31" s="116" t="s">
        <v>257</v>
      </c>
      <c r="AA31" s="116" t="s">
        <v>257</v>
      </c>
      <c r="AB31" s="116" t="s">
        <v>229</v>
      </c>
      <c r="AC31" s="116" t="s">
        <v>229</v>
      </c>
      <c r="AD31" s="116" t="s">
        <v>230</v>
      </c>
      <c r="AE31" s="116" t="s">
        <v>254</v>
      </c>
      <c r="AF31" s="116" t="s">
        <v>254</v>
      </c>
      <c r="AG31" s="116" t="s">
        <v>257</v>
      </c>
      <c r="AH31" s="116" t="s">
        <v>257</v>
      </c>
      <c r="AI31" s="116" t="s">
        <v>257</v>
      </c>
      <c r="AJ31" s="116" t="s">
        <v>229</v>
      </c>
      <c r="AK31" s="116" t="s">
        <v>230</v>
      </c>
      <c r="AL31" s="116" t="s">
        <v>239</v>
      </c>
    </row>
    <row r="32" spans="2:38" ht="15.75" x14ac:dyDescent="0.25">
      <c r="B32" s="117">
        <v>46021</v>
      </c>
      <c r="C32" s="116" t="s">
        <v>254</v>
      </c>
      <c r="D32" s="116" t="s">
        <v>257</v>
      </c>
      <c r="E32" s="116" t="s">
        <v>229</v>
      </c>
      <c r="F32" s="116" t="s">
        <v>229</v>
      </c>
      <c r="G32" s="116" t="s">
        <v>254</v>
      </c>
      <c r="H32" s="116" t="s">
        <v>254</v>
      </c>
      <c r="I32" s="116" t="s">
        <v>254</v>
      </c>
      <c r="J32" s="116" t="s">
        <v>257</v>
      </c>
      <c r="K32" s="116" t="s">
        <v>257</v>
      </c>
      <c r="L32" s="116" t="s">
        <v>257</v>
      </c>
      <c r="M32" s="116" t="s">
        <v>229</v>
      </c>
      <c r="N32" s="116" t="s">
        <v>230</v>
      </c>
      <c r="O32" s="116" t="s">
        <v>230</v>
      </c>
      <c r="P32" s="116" t="s">
        <v>254</v>
      </c>
      <c r="Q32" s="116" t="s">
        <v>254</v>
      </c>
      <c r="R32" s="116" t="s">
        <v>257</v>
      </c>
      <c r="S32" s="116" t="s">
        <v>257</v>
      </c>
      <c r="T32" s="116" t="s">
        <v>229</v>
      </c>
      <c r="U32" s="116" t="s">
        <v>230</v>
      </c>
      <c r="V32" s="116" t="s">
        <v>254</v>
      </c>
      <c r="W32" s="116" t="s">
        <v>254</v>
      </c>
      <c r="X32" s="116" t="s">
        <v>257</v>
      </c>
      <c r="Y32" s="116" t="s">
        <v>257</v>
      </c>
      <c r="Z32" s="116" t="s">
        <v>257</v>
      </c>
      <c r="AA32" s="116" t="s">
        <v>229</v>
      </c>
      <c r="AB32" s="116" t="s">
        <v>230</v>
      </c>
      <c r="AC32" s="116" t="s">
        <v>230</v>
      </c>
      <c r="AD32" s="116" t="s">
        <v>254</v>
      </c>
      <c r="AE32" s="116" t="s">
        <v>254</v>
      </c>
      <c r="AF32" s="116" t="s">
        <v>257</v>
      </c>
      <c r="AG32" s="116" t="s">
        <v>257</v>
      </c>
      <c r="AH32" s="116" t="s">
        <v>257</v>
      </c>
      <c r="AI32" s="116" t="s">
        <v>229</v>
      </c>
      <c r="AJ32" s="116" t="s">
        <v>229</v>
      </c>
      <c r="AK32" s="116" t="s">
        <v>230</v>
      </c>
      <c r="AL32" s="116" t="s">
        <v>229</v>
      </c>
    </row>
    <row r="33" spans="2:38" ht="15.75" x14ac:dyDescent="0.25">
      <c r="B33" s="117">
        <v>46022</v>
      </c>
      <c r="C33" s="116" t="s">
        <v>257</v>
      </c>
      <c r="D33" s="116" t="s">
        <v>229</v>
      </c>
      <c r="E33" s="116" t="s">
        <v>229</v>
      </c>
      <c r="F33" s="116" t="s">
        <v>230</v>
      </c>
      <c r="G33" s="116" t="s">
        <v>254</v>
      </c>
      <c r="H33" s="116" t="s">
        <v>254</v>
      </c>
      <c r="I33" s="116" t="s">
        <v>257</v>
      </c>
      <c r="J33" s="116" t="s">
        <v>257</v>
      </c>
      <c r="K33" s="116" t="s">
        <v>257</v>
      </c>
      <c r="L33" s="116" t="s">
        <v>229</v>
      </c>
      <c r="M33" s="116" t="s">
        <v>230</v>
      </c>
      <c r="N33" s="116" t="s">
        <v>230</v>
      </c>
      <c r="O33" s="116" t="s">
        <v>254</v>
      </c>
      <c r="P33" s="116" t="s">
        <v>254</v>
      </c>
      <c r="Q33" s="116" t="s">
        <v>257</v>
      </c>
      <c r="R33" s="116" t="s">
        <v>257</v>
      </c>
      <c r="S33" s="116" t="s">
        <v>257</v>
      </c>
      <c r="T33" s="116" t="s">
        <v>229</v>
      </c>
      <c r="U33" s="116" t="s">
        <v>230</v>
      </c>
      <c r="V33" s="116" t="s">
        <v>254</v>
      </c>
      <c r="W33" s="116" t="s">
        <v>257</v>
      </c>
      <c r="X33" s="116" t="s">
        <v>257</v>
      </c>
      <c r="Y33" s="116" t="s">
        <v>257</v>
      </c>
      <c r="Z33" s="116" t="s">
        <v>229</v>
      </c>
      <c r="AA33" s="116" t="s">
        <v>230</v>
      </c>
      <c r="AB33" s="116" t="s">
        <v>254</v>
      </c>
      <c r="AC33" s="116" t="s">
        <v>254</v>
      </c>
      <c r="AD33" s="116" t="s">
        <v>254</v>
      </c>
      <c r="AE33" s="116" t="s">
        <v>257</v>
      </c>
      <c r="AF33" s="116" t="s">
        <v>257</v>
      </c>
      <c r="AG33" s="116" t="s">
        <v>257</v>
      </c>
      <c r="AH33" s="116" t="s">
        <v>229</v>
      </c>
      <c r="AI33" s="116" t="s">
        <v>229</v>
      </c>
      <c r="AJ33" s="116" t="s">
        <v>230</v>
      </c>
      <c r="AK33" s="116" t="s">
        <v>229</v>
      </c>
      <c r="AL33" s="116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X18" sqref="X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2" t="s">
        <v>266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" x14ac:dyDescent="0.25">
      <c r="B3" s="150" t="s">
        <v>105</v>
      </c>
      <c r="C3" s="150"/>
      <c r="D3" s="150"/>
      <c r="F3" s="123" t="s">
        <v>98</v>
      </c>
      <c r="G3" s="124" t="s">
        <v>99</v>
      </c>
      <c r="H3" s="124" t="s">
        <v>100</v>
      </c>
      <c r="I3" s="123" t="s">
        <v>101</v>
      </c>
      <c r="J3" s="124" t="s">
        <v>95</v>
      </c>
      <c r="K3" s="124" t="s">
        <v>96</v>
      </c>
      <c r="L3" s="123" t="s">
        <v>97</v>
      </c>
      <c r="M3" s="124" t="s">
        <v>98</v>
      </c>
      <c r="N3" s="124" t="s">
        <v>99</v>
      </c>
      <c r="O3" s="123" t="s">
        <v>100</v>
      </c>
      <c r="P3" s="124" t="s">
        <v>101</v>
      </c>
      <c r="Q3" s="124" t="s">
        <v>95</v>
      </c>
      <c r="R3" s="123" t="s">
        <v>96</v>
      </c>
      <c r="S3" s="124" t="s">
        <v>97</v>
      </c>
      <c r="T3" s="124" t="s">
        <v>98</v>
      </c>
      <c r="U3" s="123" t="s">
        <v>99</v>
      </c>
      <c r="V3" s="124" t="s">
        <v>100</v>
      </c>
      <c r="W3" s="124" t="s">
        <v>101</v>
      </c>
      <c r="X3" s="123" t="s">
        <v>95</v>
      </c>
      <c r="Y3" s="124" t="s">
        <v>96</v>
      </c>
      <c r="Z3" s="124" t="s">
        <v>97</v>
      </c>
      <c r="AA3" s="123" t="s">
        <v>98</v>
      </c>
      <c r="AB3" s="124" t="s">
        <v>99</v>
      </c>
      <c r="AC3" s="124" t="s">
        <v>100</v>
      </c>
      <c r="AD3" s="123" t="s">
        <v>101</v>
      </c>
      <c r="AE3" s="124" t="s">
        <v>95</v>
      </c>
      <c r="AF3" s="124" t="s">
        <v>96</v>
      </c>
      <c r="AG3" s="123" t="s">
        <v>97</v>
      </c>
      <c r="AH3" s="124" t="s">
        <v>98</v>
      </c>
      <c r="AI3" s="124" t="s">
        <v>99</v>
      </c>
      <c r="AJ3" s="123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5">
        <v>6</v>
      </c>
      <c r="L4" s="125">
        <v>7</v>
      </c>
      <c r="M4" s="125">
        <v>8</v>
      </c>
      <c r="N4" s="125">
        <v>9</v>
      </c>
      <c r="O4" s="125">
        <v>10</v>
      </c>
      <c r="P4" s="125">
        <v>11</v>
      </c>
      <c r="Q4" s="125">
        <v>12</v>
      </c>
      <c r="R4" s="125">
        <v>13</v>
      </c>
      <c r="S4" s="125">
        <v>14</v>
      </c>
      <c r="T4" s="125">
        <v>15</v>
      </c>
      <c r="U4" s="125">
        <v>16</v>
      </c>
      <c r="V4" s="125">
        <v>17</v>
      </c>
      <c r="W4" s="125">
        <v>18</v>
      </c>
      <c r="X4" s="125">
        <v>19</v>
      </c>
      <c r="Y4" s="125">
        <v>20</v>
      </c>
      <c r="Z4" s="125">
        <v>21</v>
      </c>
      <c r="AA4" s="125">
        <v>22</v>
      </c>
      <c r="AB4" s="125">
        <v>23</v>
      </c>
      <c r="AC4" s="125">
        <v>24</v>
      </c>
      <c r="AD4" s="125">
        <v>25</v>
      </c>
      <c r="AE4" s="125">
        <v>26</v>
      </c>
      <c r="AF4" s="125">
        <v>27</v>
      </c>
      <c r="AG4" s="125">
        <v>28</v>
      </c>
      <c r="AH4" s="125">
        <v>29</v>
      </c>
      <c r="AI4" s="125">
        <v>30</v>
      </c>
      <c r="AJ4" s="126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84" t="s">
        <v>193</v>
      </c>
      <c r="D5" s="185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255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229</v>
      </c>
      <c r="AH5" s="27" t="s">
        <v>253</v>
      </c>
      <c r="AI5" s="23" t="s">
        <v>230</v>
      </c>
      <c r="AJ5" s="23" t="s">
        <v>230</v>
      </c>
      <c r="AL5" s="22">
        <f>COUNTIF($F5:$AJ5,"ST*")</f>
        <v>2</v>
      </c>
      <c r="AM5" s="22">
        <f>COUNTIF($F5:$AJ5,"M*")</f>
        <v>5</v>
      </c>
      <c r="AN5" s="22">
        <f>COUNTIF($F5:$AJ5,"A*")</f>
        <v>6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8" t="s">
        <v>194</v>
      </c>
      <c r="D6" s="153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229</v>
      </c>
      <c r="Y6" s="56" t="s">
        <v>253</v>
      </c>
      <c r="Z6" s="56" t="s">
        <v>230</v>
      </c>
      <c r="AA6" s="56" t="s">
        <v>230</v>
      </c>
      <c r="AB6" s="56" t="s">
        <v>254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1</v>
      </c>
      <c r="AM6" s="22">
        <f t="shared" ref="AM6:AM23" si="1">COUNTIF($F6:$AJ6,"M*")</f>
        <v>3</v>
      </c>
      <c r="AN6" s="22">
        <f t="shared" ref="AN6:AN23" si="2">COUNTIF($F6:$AJ6,"A*")</f>
        <v>8</v>
      </c>
      <c r="AO6" s="22">
        <f t="shared" ref="AO6:AO23" si="3">COUNTIF($F6:$AJ6,"N*")</f>
        <v>7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8" t="s">
        <v>270</v>
      </c>
      <c r="D7" s="153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229</v>
      </c>
      <c r="X7" s="56" t="s">
        <v>229</v>
      </c>
      <c r="Y7" s="56" t="s">
        <v>230</v>
      </c>
      <c r="Z7" s="56" t="s">
        <v>254</v>
      </c>
      <c r="AA7" s="56" t="s">
        <v>254</v>
      </c>
      <c r="AB7" s="23" t="s">
        <v>257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8" t="s">
        <v>195</v>
      </c>
      <c r="D8" s="153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230</v>
      </c>
      <c r="Y8" s="23" t="s">
        <v>254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5</v>
      </c>
      <c r="AN8" s="22">
        <f t="shared" si="2"/>
        <v>4</v>
      </c>
      <c r="AO8" s="22">
        <f t="shared" si="3"/>
        <v>6</v>
      </c>
      <c r="AP8" s="22">
        <f t="shared" si="4"/>
        <v>10</v>
      </c>
    </row>
    <row r="9" spans="2:42" ht="18.75" x14ac:dyDescent="0.25">
      <c r="B9" s="37">
        <v>5</v>
      </c>
      <c r="C9" s="148" t="s">
        <v>196</v>
      </c>
      <c r="D9" s="153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230</v>
      </c>
      <c r="X9" s="23" t="s">
        <v>254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7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8" t="s">
        <v>197</v>
      </c>
      <c r="D10" s="153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3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8" t="s">
        <v>198</v>
      </c>
      <c r="D11" s="153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255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229</v>
      </c>
      <c r="AB11" s="51" t="s">
        <v>255</v>
      </c>
      <c r="AC11" s="23" t="s">
        <v>230</v>
      </c>
      <c r="AD11" s="23" t="s">
        <v>144</v>
      </c>
      <c r="AE11" s="23" t="s">
        <v>254</v>
      </c>
      <c r="AF11" s="23" t="s">
        <v>257</v>
      </c>
      <c r="AG11" s="23" t="s">
        <v>257</v>
      </c>
      <c r="AH11" s="23" t="s">
        <v>257</v>
      </c>
      <c r="AI11" s="27" t="s">
        <v>229</v>
      </c>
      <c r="AJ11" s="51" t="s">
        <v>255</v>
      </c>
      <c r="AL11" s="22">
        <f t="shared" si="0"/>
        <v>3</v>
      </c>
      <c r="AM11" s="22">
        <f t="shared" si="1"/>
        <v>4</v>
      </c>
      <c r="AN11" s="22">
        <f t="shared" si="2"/>
        <v>5</v>
      </c>
      <c r="AO11" s="22">
        <f t="shared" si="3"/>
        <v>6</v>
      </c>
      <c r="AP11" s="22">
        <f t="shared" si="4"/>
        <v>12</v>
      </c>
    </row>
    <row r="12" spans="2:42" ht="18.75" x14ac:dyDescent="0.25">
      <c r="B12" s="37">
        <v>8</v>
      </c>
      <c r="C12" s="148" t="s">
        <v>199</v>
      </c>
      <c r="D12" s="153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255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253</v>
      </c>
      <c r="AJ12" s="56" t="s">
        <v>230</v>
      </c>
      <c r="AL12" s="22">
        <f t="shared" si="0"/>
        <v>3</v>
      </c>
      <c r="AM12" s="22">
        <f t="shared" si="1"/>
        <v>5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8" t="s">
        <v>200</v>
      </c>
      <c r="D13" s="153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3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256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2</v>
      </c>
      <c r="AM13" s="22">
        <f t="shared" si="1"/>
        <v>2</v>
      </c>
      <c r="AN13" s="22">
        <f t="shared" si="2"/>
        <v>3</v>
      </c>
      <c r="AO13" s="22">
        <f t="shared" si="3"/>
        <v>2</v>
      </c>
      <c r="AP13" s="22">
        <f t="shared" si="4"/>
        <v>6</v>
      </c>
    </row>
    <row r="14" spans="2:42" ht="18.75" x14ac:dyDescent="0.25">
      <c r="B14" s="37">
        <v>10</v>
      </c>
      <c r="C14" s="148" t="s">
        <v>201</v>
      </c>
      <c r="D14" s="153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8" t="s">
        <v>202</v>
      </c>
      <c r="D15" s="153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229</v>
      </c>
      <c r="X15" s="27" t="s">
        <v>230</v>
      </c>
      <c r="Y15" s="51" t="s">
        <v>230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7</v>
      </c>
      <c r="AN15" s="22">
        <f t="shared" si="2"/>
        <v>4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8" t="s">
        <v>203</v>
      </c>
      <c r="D16" s="153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8" t="s">
        <v>204</v>
      </c>
      <c r="D17" s="153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8" t="s">
        <v>205</v>
      </c>
      <c r="D18" s="153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8" t="s">
        <v>206</v>
      </c>
      <c r="D19" s="153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229</v>
      </c>
      <c r="AJ19" s="27" t="s">
        <v>229</v>
      </c>
      <c r="AL19" s="43">
        <f t="shared" si="0"/>
        <v>0</v>
      </c>
      <c r="AM19" s="43">
        <f t="shared" si="1"/>
        <v>8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8" t="s">
        <v>207</v>
      </c>
      <c r="D20" s="153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229</v>
      </c>
      <c r="T20" s="51" t="s">
        <v>230</v>
      </c>
      <c r="U20" s="51" t="s">
        <v>256</v>
      </c>
      <c r="V20" s="23" t="s">
        <v>254</v>
      </c>
      <c r="W20" s="23" t="s">
        <v>257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255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8" t="s">
        <v>208</v>
      </c>
      <c r="D21" s="153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8" t="s">
        <v>192</v>
      </c>
      <c r="D23" s="153"/>
      <c r="F23" s="108" t="s">
        <v>229</v>
      </c>
      <c r="G23" s="109" t="s">
        <v>257</v>
      </c>
      <c r="H23" s="109" t="s">
        <v>257</v>
      </c>
      <c r="I23" s="64" t="s">
        <v>230</v>
      </c>
      <c r="J23" s="64" t="s">
        <v>230</v>
      </c>
      <c r="K23" s="108" t="s">
        <v>229</v>
      </c>
      <c r="L23" s="108" t="s">
        <v>229</v>
      </c>
      <c r="M23" s="108" t="s">
        <v>229</v>
      </c>
      <c r="N23" s="109" t="s">
        <v>257</v>
      </c>
      <c r="O23" s="109" t="s">
        <v>257</v>
      </c>
      <c r="P23" s="64" t="s">
        <v>230</v>
      </c>
      <c r="Q23" s="64" t="s">
        <v>230</v>
      </c>
      <c r="R23" s="108" t="s">
        <v>229</v>
      </c>
      <c r="S23" s="108" t="s">
        <v>229</v>
      </c>
      <c r="T23" s="108" t="s">
        <v>229</v>
      </c>
      <c r="U23" s="109" t="s">
        <v>257</v>
      </c>
      <c r="V23" s="109" t="s">
        <v>257</v>
      </c>
      <c r="W23" s="64" t="s">
        <v>230</v>
      </c>
      <c r="X23" s="64" t="s">
        <v>230</v>
      </c>
      <c r="Y23" s="108" t="s">
        <v>229</v>
      </c>
      <c r="Z23" s="108" t="s">
        <v>144</v>
      </c>
      <c r="AA23" s="64" t="s">
        <v>230</v>
      </c>
      <c r="AB23" s="109" t="s">
        <v>257</v>
      </c>
      <c r="AC23" s="109" t="s">
        <v>257</v>
      </c>
      <c r="AD23" s="64" t="s">
        <v>230</v>
      </c>
      <c r="AE23" s="64" t="s">
        <v>230</v>
      </c>
      <c r="AF23" s="108" t="s">
        <v>229</v>
      </c>
      <c r="AG23" s="108" t="s">
        <v>229</v>
      </c>
      <c r="AH23" s="64" t="s">
        <v>230</v>
      </c>
      <c r="AI23" s="109" t="s">
        <v>257</v>
      </c>
      <c r="AJ23" s="109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9" t="s">
        <v>91</v>
      </c>
      <c r="D25" s="180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9" t="s">
        <v>92</v>
      </c>
      <c r="D26" s="180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79" t="s">
        <v>72</v>
      </c>
      <c r="D27" s="180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9" t="s">
        <v>73</v>
      </c>
      <c r="D28" s="180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7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7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7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9" t="s">
        <v>143</v>
      </c>
      <c r="D29" s="180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3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9" t="s">
        <v>106</v>
      </c>
      <c r="D30" s="180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1</v>
      </c>
      <c r="T30" s="37">
        <f t="shared" si="11"/>
        <v>1</v>
      </c>
      <c r="U30" s="37">
        <f t="shared" si="11"/>
        <v>1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1</v>
      </c>
      <c r="Z30" s="37">
        <f t="shared" si="11"/>
        <v>0</v>
      </c>
      <c r="AA30" s="37">
        <f t="shared" si="11"/>
        <v>2</v>
      </c>
      <c r="AB30" s="37">
        <f t="shared" si="11"/>
        <v>2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1</v>
      </c>
      <c r="AI30" s="37">
        <f t="shared" si="11"/>
        <v>2</v>
      </c>
      <c r="AJ30" s="37">
        <f t="shared" si="11"/>
        <v>2</v>
      </c>
    </row>
    <row r="31" spans="2:42" ht="18.75" x14ac:dyDescent="0.3">
      <c r="C31" s="250" t="s">
        <v>104</v>
      </c>
      <c r="D31" s="251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-3</v>
      </c>
      <c r="AE31" s="39">
        <f t="shared" si="12"/>
        <v>-1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0</v>
      </c>
    </row>
    <row r="32" spans="2:42" ht="9.75" customHeight="1" x14ac:dyDescent="0.3">
      <c r="C32" s="40"/>
      <c r="D32" s="40"/>
      <c r="E32" s="36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</row>
    <row r="33" spans="3:36" ht="18.75" x14ac:dyDescent="0.3">
      <c r="C33" s="179" t="s">
        <v>102</v>
      </c>
      <c r="D33" s="180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6</v>
      </c>
      <c r="AE33" s="41">
        <f t="shared" si="13"/>
        <v>8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9</v>
      </c>
    </row>
    <row r="34" spans="3:36" ht="18.75" x14ac:dyDescent="0.3">
      <c r="C34" s="179" t="s">
        <v>90</v>
      </c>
      <c r="D34" s="180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9" t="s">
        <v>103</v>
      </c>
      <c r="D35" s="180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16</v>
      </c>
      <c r="T35" s="37">
        <f t="shared" si="14"/>
        <v>16</v>
      </c>
      <c r="U35" s="37">
        <f t="shared" si="14"/>
        <v>18</v>
      </c>
      <c r="V35" s="37">
        <f t="shared" si="14"/>
        <v>18</v>
      </c>
      <c r="W35" s="37">
        <f t="shared" si="14"/>
        <v>16</v>
      </c>
      <c r="X35" s="37">
        <f t="shared" si="14"/>
        <v>16</v>
      </c>
      <c r="Y35" s="37">
        <f t="shared" si="14"/>
        <v>16</v>
      </c>
      <c r="Z35" s="37">
        <f t="shared" si="14"/>
        <v>15</v>
      </c>
      <c r="AA35" s="37">
        <f t="shared" si="14"/>
        <v>16</v>
      </c>
      <c r="AB35" s="37">
        <f t="shared" si="14"/>
        <v>18</v>
      </c>
      <c r="AC35" s="37">
        <f t="shared" si="14"/>
        <v>18</v>
      </c>
      <c r="AD35" s="37">
        <f t="shared" si="14"/>
        <v>13</v>
      </c>
      <c r="AE35" s="37">
        <f t="shared" si="14"/>
        <v>15</v>
      </c>
      <c r="AF35" s="37">
        <f t="shared" si="14"/>
        <v>15</v>
      </c>
      <c r="AG35" s="37">
        <f t="shared" si="14"/>
        <v>16</v>
      </c>
      <c r="AH35" s="37">
        <f t="shared" si="14"/>
        <v>16</v>
      </c>
      <c r="AI35" s="37">
        <f t="shared" si="14"/>
        <v>18</v>
      </c>
      <c r="AJ35" s="37">
        <f t="shared" si="14"/>
        <v>19</v>
      </c>
    </row>
    <row r="36" spans="3:36" ht="16.5" thickBot="1" x14ac:dyDescent="0.3"/>
    <row r="37" spans="3:36" ht="16.5" thickBot="1" x14ac:dyDescent="0.3">
      <c r="F37" s="199" t="s">
        <v>232</v>
      </c>
      <c r="G37" s="200"/>
      <c r="H37" s="201"/>
    </row>
    <row r="38" spans="3:36" x14ac:dyDescent="0.25">
      <c r="F38" s="70" t="s">
        <v>142</v>
      </c>
      <c r="G38" s="202" t="s">
        <v>228</v>
      </c>
      <c r="H38" s="203"/>
    </row>
    <row r="39" spans="3:36" x14ac:dyDescent="0.25">
      <c r="F39" s="71" t="s">
        <v>119</v>
      </c>
      <c r="G39" s="220" t="s">
        <v>229</v>
      </c>
      <c r="H39" s="233"/>
    </row>
    <row r="40" spans="3:36" x14ac:dyDescent="0.25">
      <c r="F40" s="72" t="s">
        <v>226</v>
      </c>
      <c r="G40" s="205" t="s">
        <v>230</v>
      </c>
      <c r="H40" s="206"/>
    </row>
    <row r="41" spans="3:36" x14ac:dyDescent="0.25">
      <c r="F41" s="73" t="s">
        <v>227</v>
      </c>
      <c r="G41" s="207" t="s">
        <v>231</v>
      </c>
      <c r="H41" s="208"/>
    </row>
    <row r="42" spans="3:36" x14ac:dyDescent="0.25">
      <c r="F42" s="74" t="s">
        <v>144</v>
      </c>
      <c r="G42" s="191" t="s">
        <v>234</v>
      </c>
      <c r="H42" s="192"/>
    </row>
    <row r="43" spans="3:36" x14ac:dyDescent="0.25">
      <c r="F43" s="75"/>
      <c r="G43" s="193" t="s">
        <v>233</v>
      </c>
      <c r="H43" s="194"/>
    </row>
    <row r="44" spans="3:36" ht="16.5" thickBot="1" x14ac:dyDescent="0.3">
      <c r="F44" s="76" t="s">
        <v>235</v>
      </c>
      <c r="G44" s="231" t="s">
        <v>236</v>
      </c>
      <c r="H44" s="232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60" priority="1" operator="containsText" text="STMN06">
      <formula>NOT(ISERROR(SEARCH("STMN06",F5)))</formula>
    </cfRule>
    <cfRule type="containsText" dxfId="59" priority="2" operator="containsText" text="STAN13">
      <formula>NOT(ISERROR(SEARCH("STAN13",F5)))</formula>
    </cfRule>
    <cfRule type="containsText" dxfId="58" priority="3" operator="containsText" text="STNN21">
      <formula>NOT(ISERROR(SEARCH("STNN21",F5)))</formula>
    </cfRule>
    <cfRule type="containsText" dxfId="57" priority="4" operator="containsText" text="LV">
      <formula>NOT(ISERROR(SEARCH("LV",F5)))</formula>
    </cfRule>
    <cfRule type="containsText" dxfId="56" priority="5" operator="containsText" text="TR">
      <formula>NOT(ISERROR(SEARCH("TR",F5)))</formula>
    </cfRule>
    <cfRule type="containsText" dxfId="55" priority="6" operator="containsText" text="NN21">
      <formula>NOT(ISERROR(SEARCH("NN21",F5)))</formula>
    </cfRule>
    <cfRule type="containsText" dxfId="54" priority="7" operator="containsText" text="NN13">
      <formula>NOT(ISERROR(SEARCH("NN13",F5)))</formula>
    </cfRule>
    <cfRule type="containsText" dxfId="53" priority="8" operator="containsText" text="AN13">
      <formula>NOT(ISERROR(SEARCH("AN13",F5)))</formula>
    </cfRule>
    <cfRule type="containsText" dxfId="52" priority="9" operator="containsText" text="MN06">
      <formula>NOT(ISERROR(SEARCH("MN06",F5)))</formula>
    </cfRule>
    <cfRule type="containsText" dxfId="51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5" t="s">
        <v>125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7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" x14ac:dyDescent="0.3">
      <c r="B3" s="150" t="s">
        <v>105</v>
      </c>
      <c r="C3" s="150"/>
      <c r="D3" s="150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45"/>
      <c r="AM3" s="145"/>
      <c r="AN3" s="145"/>
      <c r="AO3" s="145"/>
      <c r="AP3" s="145"/>
    </row>
    <row r="4" spans="2:42" ht="19.5" customHeight="1" thickBot="1" x14ac:dyDescent="0.35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258" t="s">
        <v>209</v>
      </c>
      <c r="D5" s="259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8" t="s">
        <v>210</v>
      </c>
      <c r="D6" s="259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8" t="s">
        <v>133</v>
      </c>
      <c r="D7" s="259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8" t="s">
        <v>128</v>
      </c>
      <c r="D8" s="259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8" t="s">
        <v>140</v>
      </c>
      <c r="D9" s="259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8" t="s">
        <v>131</v>
      </c>
      <c r="D10" s="259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8" t="s">
        <v>129</v>
      </c>
      <c r="D11" s="259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8" t="s">
        <v>137</v>
      </c>
      <c r="D12" s="259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8" t="s">
        <v>127</v>
      </c>
      <c r="D13" s="259"/>
      <c r="F13" s="107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8" t="s">
        <v>139</v>
      </c>
      <c r="D14" s="259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8" t="s">
        <v>134</v>
      </c>
      <c r="D15" s="259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8" t="s">
        <v>136</v>
      </c>
      <c r="D16" s="259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8" t="s">
        <v>141</v>
      </c>
      <c r="D17" s="259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8" t="s">
        <v>132</v>
      </c>
      <c r="D18" s="259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8" t="s">
        <v>130</v>
      </c>
      <c r="D19" s="259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8" t="s">
        <v>138</v>
      </c>
      <c r="D20" s="259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8" t="s">
        <v>135</v>
      </c>
      <c r="D21" s="259"/>
      <c r="F21" s="112" t="s">
        <v>229</v>
      </c>
      <c r="G21" s="109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8" t="s">
        <v>229</v>
      </c>
      <c r="O21" s="109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8" t="s">
        <v>229</v>
      </c>
      <c r="W21" s="109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8" t="s">
        <v>229</v>
      </c>
      <c r="AE21" s="109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9" t="s">
        <v>91</v>
      </c>
      <c r="D23" s="180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9" t="s">
        <v>92</v>
      </c>
      <c r="D24" s="180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9" t="s">
        <v>72</v>
      </c>
      <c r="D25" s="180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9" t="s">
        <v>73</v>
      </c>
      <c r="D26" s="180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9" t="s">
        <v>106</v>
      </c>
      <c r="D27" s="180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0" t="s">
        <v>104</v>
      </c>
      <c r="D28" s="251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</row>
    <row r="30" spans="2:42" ht="18.75" x14ac:dyDescent="0.3">
      <c r="C30" s="179" t="s">
        <v>102</v>
      </c>
      <c r="D30" s="180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9" t="s">
        <v>90</v>
      </c>
      <c r="D31" s="180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9" t="s">
        <v>103</v>
      </c>
      <c r="D32" s="180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30:D30"/>
    <mergeCell ref="C31:D31"/>
    <mergeCell ref="C32:D32"/>
    <mergeCell ref="C24:D24"/>
    <mergeCell ref="C25:D25"/>
    <mergeCell ref="C26:D26"/>
    <mergeCell ref="C27:D27"/>
    <mergeCell ref="C28:D28"/>
    <mergeCell ref="F29:AJ29"/>
    <mergeCell ref="C16:D16"/>
    <mergeCell ref="C17:D17"/>
    <mergeCell ref="C18:D18"/>
    <mergeCell ref="C23:D23"/>
    <mergeCell ref="C19:D19"/>
    <mergeCell ref="C20:D20"/>
    <mergeCell ref="C21:D21"/>
    <mergeCell ref="B3:D4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I21">
    <cfRule type="containsText" dxfId="50" priority="2" operator="containsText" text="STN">
      <formula>NOT(ISERROR(SEARCH("STN",F5)))</formula>
    </cfRule>
    <cfRule type="containsText" dxfId="49" priority="3" operator="containsText" text="STN">
      <formula>NOT(ISERROR(SEARCH("STN",F5)))</formula>
    </cfRule>
    <cfRule type="containsText" dxfId="48" priority="4" operator="containsText" text="STM">
      <formula>NOT(ISERROR(SEARCH("STM",F5)))</formula>
    </cfRule>
    <cfRule type="containsText" dxfId="47" priority="5" operator="containsText" text="M">
      <formula>NOT(ISERROR(SEARCH("M",F5)))</formula>
    </cfRule>
    <cfRule type="containsText" dxfId="46" priority="6" operator="containsText" text="STM1">
      <formula>NOT(ISERROR(SEARCH("STM1",F5)))</formula>
    </cfRule>
    <cfRule type="containsText" dxfId="45" priority="7" operator="containsText" text="M">
      <formula>NOT(ISERROR(SEARCH("M",F5)))</formula>
    </cfRule>
    <cfRule type="containsText" dxfId="44" priority="8" operator="containsText" text="STM">
      <formula>NOT(ISERROR(SEARCH("STM",F5)))</formula>
    </cfRule>
    <cfRule type="containsText" dxfId="43" priority="9" operator="containsText" text="STM">
      <formula>NOT(ISERROR(SEARCH("STM",F5)))</formula>
    </cfRule>
  </conditionalFormatting>
  <conditionalFormatting sqref="F5:AJ21">
    <cfRule type="containsText" dxfId="42" priority="1" operator="containsText" text="AN13">
      <formula>NOT(ISERROR(SEARCH("AN13",F5)))</formula>
    </cfRule>
  </conditionalFormatting>
  <conditionalFormatting sqref="G5:AI5 F6:AI21">
    <cfRule type="containsText" dxfId="41" priority="10" operator="containsText" text="STM1">
      <formula>NOT(ISERROR(SEARCH("STM1",F5)))</formula>
    </cfRule>
    <cfRule type="containsText" dxfId="40" priority="11" operator="containsText" text="STA">
      <formula>NOT(ISERROR(SEARCH("STA",F5)))</formula>
    </cfRule>
    <cfRule type="containsText" dxfId="39" priority="12" operator="containsText" text="STM1">
      <formula>NOT(ISERROR(SEARCH("STM1",F5)))</formula>
    </cfRule>
    <cfRule type="containsText" dxfId="38" priority="13" operator="containsText" text="O">
      <formula>NOT(ISERROR(SEARCH("O",F5)))</formula>
    </cfRule>
    <cfRule type="containsText" dxfId="37" priority="14" operator="containsText" text="N">
      <formula>NOT(ISERROR(SEARCH("N",F5)))</formula>
    </cfRule>
    <cfRule type="containsText" dxfId="36" priority="15" operator="containsText" text="A">
      <formula>NOT(ISERROR(SEARCH("A",F5)))</formula>
    </cfRule>
    <cfRule type="containsText" dxfId="35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117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44" t="s">
        <v>112</v>
      </c>
      <c r="AL2" s="144" t="s">
        <v>113</v>
      </c>
      <c r="AM2" s="144" t="s">
        <v>116</v>
      </c>
      <c r="AN2" s="144" t="s">
        <v>114</v>
      </c>
      <c r="AO2" s="144" t="s">
        <v>115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5"/>
      <c r="AL3" s="145"/>
      <c r="AM3" s="145"/>
      <c r="AN3" s="145"/>
      <c r="AO3" s="145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6"/>
      <c r="AL4" s="146"/>
      <c r="AM4" s="146"/>
      <c r="AN4" s="146"/>
      <c r="AO4" s="146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3" t="s">
        <v>91</v>
      </c>
      <c r="C17" s="18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3" t="s">
        <v>92</v>
      </c>
      <c r="C18" s="18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3" t="s">
        <v>72</v>
      </c>
      <c r="C19" s="18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3" t="s">
        <v>73</v>
      </c>
      <c r="C20" s="18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9" t="s">
        <v>106</v>
      </c>
      <c r="C21" s="18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1" t="s">
        <v>104</v>
      </c>
      <c r="C22" s="18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</row>
    <row r="24" spans="2:35" ht="18.75" x14ac:dyDescent="0.3">
      <c r="B24" s="183" t="s">
        <v>102</v>
      </c>
      <c r="C24" s="18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3" t="s">
        <v>90</v>
      </c>
      <c r="C25" s="18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3" t="s">
        <v>103</v>
      </c>
      <c r="C26" s="18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2026-01-01T06:20:00Z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