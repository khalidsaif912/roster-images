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0" documentId="8_{463F940E-3E30-40E9-A1DB-2EBF070F24A6}" xr6:coauthVersionLast="47" xr6:coauthVersionMax="47" xr10:uidLastSave="{00000000-0000-0000-0000-000000000000}"/>
  <bookViews>
    <workbookView xWindow="-120" yWindow="-120" windowWidth="29040" windowHeight="15720" xr2:uid="{37530AA2-A6B9-4944-A23D-52B28F708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1" l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<sst xmlns="http://schemas.openxmlformats.org/spreadsheetml/2006/main" count="2612" uniqueCount="108">
  <si>
    <t>IMPORT OPERATIONS</t>
  </si>
  <si>
    <t>DECEMBER 2025</t>
  </si>
  <si>
    <t>MON</t>
  </si>
  <si>
    <t>TUE</t>
  </si>
  <si>
    <t>WED</t>
  </si>
  <si>
    <t>THU</t>
  </si>
  <si>
    <t>FRI</t>
  </si>
  <si>
    <t>SAT</t>
  </si>
  <si>
    <t>SUN</t>
  </si>
  <si>
    <t>JD</t>
  </si>
  <si>
    <t>Employee Name</t>
  </si>
  <si>
    <t>SN</t>
  </si>
  <si>
    <t>SUPV</t>
  </si>
  <si>
    <t>SAMEER MAHMOOD</t>
  </si>
  <si>
    <t>MN06</t>
  </si>
  <si>
    <t>AN13</t>
  </si>
  <si>
    <t>NN21</t>
  </si>
  <si>
    <t>O</t>
  </si>
  <si>
    <t>FRITZ</t>
  </si>
  <si>
    <t>UDUGAMA</t>
  </si>
  <si>
    <t>TR</t>
  </si>
  <si>
    <t>FROILAN</t>
  </si>
  <si>
    <t>MOHAMMED SAID</t>
  </si>
  <si>
    <t>LV</t>
  </si>
  <si>
    <t>FLTI</t>
  </si>
  <si>
    <t>ABDULLAH AL MAHARBI</t>
  </si>
  <si>
    <t>YAARAB AL RAQADI</t>
  </si>
  <si>
    <t>FLTE</t>
  </si>
  <si>
    <t>AHMED AL ORAIMI</t>
  </si>
  <si>
    <t>YOUNIS AL SIYABI</t>
  </si>
  <si>
    <t>ANWAR AL AMRI</t>
  </si>
  <si>
    <t>HAITHAM AL BALUSHI</t>
  </si>
  <si>
    <t>ALI AL SHAMSI</t>
  </si>
  <si>
    <t>SAID AL SADI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</si>
  <si>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</si>
  <si>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</si>
  <si>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</si>
  <si>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</si>
  <si>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</si>
  <si>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</si>
  <si>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</si>
  <si>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</si>
  <si>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AHMED AL BALUSHI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</si>
  <si>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</si>
  <si>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</si>
  <si>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</si>
  <si>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</si>
  <si>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</si>
  <si>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</si>
  <si>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</si>
  <si>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</si>
  <si>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IBRAHIM AL QUTAITI</t>
  </si>
  <si>
    <t>MOHAMMED AL WAHAIBI</t>
  </si>
  <si>
    <t>GLENDO</t>
  </si>
  <si>
    <t>HAIFA AL BALUSHI</t>
  </si>
  <si>
    <t>MAHMOOD AL HADIDI</t>
  </si>
  <si>
    <t>MOHAMMED AL YAARUBI</t>
  </si>
  <si>
    <t>AHMED AL RUJAIBI</t>
  </si>
  <si>
    <t>MAHAMAD AL MAHARBI</t>
  </si>
  <si>
    <t>MAHANAD AL HADI</t>
  </si>
  <si>
    <t>YOUSUF AL WAHEEDI</t>
  </si>
  <si>
    <t>NASSER AL MAAMARI</t>
  </si>
  <si>
    <t>.</t>
  </si>
  <si>
    <t>CHKR</t>
  </si>
  <si>
    <t>BADAR AL SHEHHI</t>
  </si>
  <si>
    <t>SALIM AL MAAWALI</t>
  </si>
  <si>
    <t>JAMAL AL SINANI</t>
  </si>
  <si>
    <t>SULEIMAN AL MAHARBI</t>
  </si>
  <si>
    <t>ANWAR AL HABSI</t>
  </si>
  <si>
    <t>MAHMOOD AL SHAMSI</t>
  </si>
  <si>
    <t>BADAR AL BUSAIDI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</si>
  <si>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</si>
  <si>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</si>
  <si>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</si>
  <si>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</si>
  <si>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</si>
  <si>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</si>
  <si>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</si>
  <si>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</si>
  <si>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</si>
  <si>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</si>
  <si>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</si>
  <si>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OMAR AL FUTAISI</t>
  </si>
  <si>
    <t>SANAD AL HARTHI</t>
  </si>
  <si>
    <t>MAJID AL GHAFRI</t>
  </si>
  <si>
    <t>HILAL AL SHAMAKHI</t>
  </si>
  <si>
    <t>OPTR</t>
  </si>
  <si>
    <t>ALI AL RIYAMI</t>
  </si>
  <si>
    <t>KHALID AL ZADJALI</t>
  </si>
  <si>
    <t>BADAR AL REZAIQI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</si>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</sst>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 shrinkToFit="1"/>
    </xf>
    <xf numFmtId="0" fontId="5" fillId="7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shrinkToFit="1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4" borderId="10" xfId="0" applyFont="1" applyFill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 shrinkToFit="1"/>
    </xf>
    <xf numFmtId="0" fontId="1" fillId="4" borderId="12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shrinkToFit="1"/>
    </xf>
    <xf numFmtId="0" fontId="1" fillId="4" borderId="2" xfId="0" applyFont="1" applyFill="1" applyBorder="1" applyAlignment="1">
      <alignment horizontal="center" vertical="center" shrinkToFit="1"/>
    </xf>
    <xf numFmtId="0" fontId="9" fillId="5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551"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194853</xdr:colOff>
      <xdr:row>0</xdr:row>
      <xdr:rowOff>0</xdr:rowOff>
    </xdr:from>
    <xdr:to>
      <xdr:col>2</xdr:col>
      <xdr:colOff>248442</xdr:colOff>
      <xdr:row>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35B08-0B61-42A6-AA9A-F6183DD55D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94853" y="0"/>
          <a:ext cx="2291964" cy="1171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3482-FA14-4481-B7B0-1246A4F372FB}">
  <dimension ref="A1:AH107"/>
  <sheetViews>
    <sheetView tabSelected="1" workbookViewId="0">
      <selection activeCell="AF101" sqref="AF101:AH101"/>
    </sheetView>
  </sheetViews>
  <sheetFormatPr defaultRowHeight="15" x14ac:dyDescent="0.25"/>
  <cols>
    <col min="2" max="2" width="24.42578125" customWidth="1"/>
    <col min="3" max="3" width="8.85546875" customWidth="1"/>
  </cols>
  <sheetData>
    <row r="1" spans="1:34" ht="31.5" x14ac:dyDescent="0.25">
      <c r="A1" s="1"/>
      <c r="B1" s="2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</row>
    <row r="2" spans="1:34" ht="31.5" x14ac:dyDescent="0.25">
      <c r="A2" s="7"/>
      <c r="B2" s="8"/>
      <c r="C2" s="9"/>
      <c r="D2" s="10" t="s">
        <v>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spans="1:34" ht="15.75" x14ac:dyDescent="0.25">
      <c r="A3" s="13"/>
      <c r="B3" s="14"/>
      <c r="C3" s="15"/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2</v>
      </c>
      <c r="L3" s="16" t="s">
        <v>3</v>
      </c>
      <c r="M3" s="16" t="s">
        <v>4</v>
      </c>
      <c r="N3" s="16" t="s">
        <v>5</v>
      </c>
      <c r="O3" s="16" t="s">
        <v>6</v>
      </c>
      <c r="P3" s="16" t="s">
        <v>7</v>
      </c>
      <c r="Q3" s="16" t="s">
        <v>8</v>
      </c>
      <c r="R3" s="16" t="s">
        <v>2</v>
      </c>
      <c r="S3" s="16" t="s">
        <v>3</v>
      </c>
      <c r="T3" s="16" t="s">
        <v>4</v>
      </c>
      <c r="U3" s="16" t="s">
        <v>5</v>
      </c>
      <c r="V3" s="16" t="s">
        <v>6</v>
      </c>
      <c r="W3" s="16" t="s">
        <v>7</v>
      </c>
      <c r="X3" s="16" t="s">
        <v>8</v>
      </c>
      <c r="Y3" s="16" t="s">
        <v>2</v>
      </c>
      <c r="Z3" s="16" t="s">
        <v>3</v>
      </c>
      <c r="AA3" s="16" t="s">
        <v>4</v>
      </c>
      <c r="AB3" s="16" t="s">
        <v>5</v>
      </c>
      <c r="AC3" s="16" t="s">
        <v>6</v>
      </c>
      <c r="AD3" s="16" t="s">
        <v>7</v>
      </c>
      <c r="AE3" s="16" t="s">
        <v>8</v>
      </c>
      <c r="AF3" s="16" t="s">
        <v>2</v>
      </c>
      <c r="AG3" s="16" t="s">
        <v>3</v>
      </c>
      <c r="AH3" s="16" t="s">
        <v>4</v>
      </c>
    </row>
    <row r="4" spans="1:34" ht="21" x14ac:dyDescent="0.25">
      <c r="A4" s="17" t="s">
        <v>9</v>
      </c>
      <c r="B4" s="17" t="s">
        <v>10</v>
      </c>
      <c r="C4" s="17" t="s">
        <v>11</v>
      </c>
      <c r="D4" s="16">
        <v>1</v>
      </c>
      <c r="E4" s="16">
        <v>2</v>
      </c>
      <c r="F4" s="16">
        <v>3</v>
      </c>
      <c r="G4" s="16">
        <v>4</v>
      </c>
      <c r="H4" s="16">
        <v>5</v>
      </c>
      <c r="I4" s="16">
        <v>6</v>
      </c>
      <c r="J4" s="16">
        <v>7</v>
      </c>
      <c r="K4" s="16">
        <v>8</v>
      </c>
      <c r="L4" s="16">
        <v>9</v>
      </c>
      <c r="M4" s="16">
        <v>10</v>
      </c>
      <c r="N4" s="16">
        <v>11</v>
      </c>
      <c r="O4" s="16">
        <v>12</v>
      </c>
      <c r="P4" s="16">
        <v>13</v>
      </c>
      <c r="Q4" s="16">
        <v>14</v>
      </c>
      <c r="R4" s="16">
        <v>15</v>
      </c>
      <c r="S4" s="16">
        <v>16</v>
      </c>
      <c r="T4" s="16">
        <v>17</v>
      </c>
      <c r="U4" s="16">
        <v>18</v>
      </c>
      <c r="V4" s="16">
        <v>19</v>
      </c>
      <c r="W4" s="16">
        <v>20</v>
      </c>
      <c r="X4" s="16">
        <v>21</v>
      </c>
      <c r="Y4" s="16">
        <v>22</v>
      </c>
      <c r="Z4" s="16">
        <v>23</v>
      </c>
      <c r="AA4" s="16">
        <v>24</v>
      </c>
      <c r="AB4" s="16">
        <v>25</v>
      </c>
      <c r="AC4" s="16">
        <v>26</v>
      </c>
      <c r="AD4" s="16">
        <v>27</v>
      </c>
      <c r="AE4" s="16">
        <v>28</v>
      </c>
      <c r="AF4" s="16">
        <v>29</v>
      </c>
      <c r="AG4" s="16">
        <v>30</v>
      </c>
      <c r="AH4" s="16">
        <v>31</v>
      </c>
    </row>
    <row r="5" spans="1:34" ht="15.75" x14ac:dyDescent="0.25">
      <c r="A5" s="18" t="s">
        <v>12</v>
      </c>
      <c r="B5" s="19" t="s">
        <v>13</v>
      </c>
      <c r="C5" s="19">
        <v>990896</v>
      </c>
      <c r="D5" s="20" t="s">
        <v>14</v>
      </c>
      <c r="E5" s="20" t="s">
        <v>14</v>
      </c>
      <c r="F5" s="20" t="s">
        <v>15</v>
      </c>
      <c r="G5" s="20" t="s">
        <v>15</v>
      </c>
      <c r="H5" s="20" t="s">
        <v>16</v>
      </c>
      <c r="I5" s="20" t="s">
        <v>17</v>
      </c>
      <c r="J5" s="20" t="s">
        <v>17</v>
      </c>
      <c r="K5" s="20" t="s">
        <v>17</v>
      </c>
      <c r="L5" s="20" t="s">
        <v>14</v>
      </c>
      <c r="M5" s="20" t="s">
        <v>14</v>
      </c>
      <c r="N5" s="20" t="s">
        <v>15</v>
      </c>
      <c r="O5" s="20" t="s">
        <v>15</v>
      </c>
      <c r="P5" s="20" t="s">
        <v>16</v>
      </c>
      <c r="Q5" s="20" t="s">
        <v>17</v>
      </c>
      <c r="R5" s="20" t="s">
        <v>17</v>
      </c>
      <c r="S5" s="20" t="s">
        <v>17</v>
      </c>
      <c r="T5" s="20" t="s">
        <v>14</v>
      </c>
      <c r="U5" s="20" t="s">
        <v>14</v>
      </c>
      <c r="V5" s="20" t="s">
        <v>15</v>
      </c>
      <c r="W5" s="20" t="s">
        <v>15</v>
      </c>
      <c r="X5" s="20" t="s">
        <v>16</v>
      </c>
      <c r="Y5" s="20" t="s">
        <v>17</v>
      </c>
      <c r="Z5" s="20" t="s">
        <v>17</v>
      </c>
      <c r="AA5" s="20" t="s">
        <v>17</v>
      </c>
      <c r="AB5" s="20" t="s">
        <v>14</v>
      </c>
      <c r="AC5" s="20" t="s">
        <v>14</v>
      </c>
      <c r="AD5" s="20" t="s">
        <v>15</v>
      </c>
      <c r="AE5" s="20" t="s">
        <v>15</v>
      </c>
      <c r="AF5" s="20" t="s">
        <v>16</v>
      </c>
      <c r="AG5" s="20" t="s">
        <v>17</v>
      </c>
      <c r="AH5" s="20" t="s">
        <v>17</v>
      </c>
    </row>
    <row r="6" spans="1:34" ht="15.75" x14ac:dyDescent="0.25">
      <c r="A6" s="21" t="s">
        <v>12</v>
      </c>
      <c r="B6" s="22" t="s">
        <v>18</v>
      </c>
      <c r="C6" s="22">
        <v>80269</v>
      </c>
      <c r="D6" s="20" t="s">
        <v>15</v>
      </c>
      <c r="E6" s="20" t="s">
        <v>16</v>
      </c>
      <c r="F6" s="20" t="s">
        <v>17</v>
      </c>
      <c r="G6" s="20" t="s">
        <v>17</v>
      </c>
      <c r="H6" s="20" t="s">
        <v>17</v>
      </c>
      <c r="I6" s="20" t="s">
        <v>14</v>
      </c>
      <c r="J6" s="20" t="s">
        <v>14</v>
      </c>
      <c r="K6" s="20" t="s">
        <v>15</v>
      </c>
      <c r="L6" s="20" t="s">
        <v>15</v>
      </c>
      <c r="M6" s="20" t="s">
        <v>16</v>
      </c>
      <c r="N6" s="20" t="s">
        <v>17</v>
      </c>
      <c r="O6" s="20" t="s">
        <v>17</v>
      </c>
      <c r="P6" s="20" t="s">
        <v>17</v>
      </c>
      <c r="Q6" s="20" t="s">
        <v>14</v>
      </c>
      <c r="R6" s="20" t="s">
        <v>14</v>
      </c>
      <c r="S6" s="20" t="s">
        <v>15</v>
      </c>
      <c r="T6" s="20" t="s">
        <v>15</v>
      </c>
      <c r="U6" s="20" t="s">
        <v>16</v>
      </c>
      <c r="V6" s="20" t="s">
        <v>17</v>
      </c>
      <c r="W6" s="20" t="s">
        <v>17</v>
      </c>
      <c r="X6" s="20" t="s">
        <v>17</v>
      </c>
      <c r="Y6" s="20" t="s">
        <v>14</v>
      </c>
      <c r="Z6" s="20" t="s">
        <v>14</v>
      </c>
      <c r="AA6" s="20" t="s">
        <v>15</v>
      </c>
      <c r="AB6" s="20" t="s">
        <v>15</v>
      </c>
      <c r="AC6" s="20" t="s">
        <v>16</v>
      </c>
      <c r="AD6" s="20" t="s">
        <v>17</v>
      </c>
      <c r="AE6" s="20" t="s">
        <v>17</v>
      </c>
      <c r="AF6" s="20" t="s">
        <v>17</v>
      </c>
      <c r="AG6" s="20" t="s">
        <v>14</v>
      </c>
      <c r="AH6" s="20" t="s">
        <v>14</v>
      </c>
    </row>
    <row r="7" spans="1:34" ht="15.75" x14ac:dyDescent="0.25">
      <c r="A7" s="18" t="s">
        <v>12</v>
      </c>
      <c r="B7" s="19" t="s">
        <v>19</v>
      </c>
      <c r="C7" s="19">
        <v>8901</v>
      </c>
      <c r="D7" s="20" t="s">
        <v>16</v>
      </c>
      <c r="E7" s="20" t="s">
        <v>17</v>
      </c>
      <c r="F7" s="20" t="s">
        <v>17</v>
      </c>
      <c r="G7" s="20" t="s">
        <v>17</v>
      </c>
      <c r="H7" s="20" t="s">
        <v>14</v>
      </c>
      <c r="I7" s="20" t="s">
        <v>15</v>
      </c>
      <c r="J7" s="20" t="s">
        <v>15</v>
      </c>
      <c r="K7" s="20" t="s">
        <v>16</v>
      </c>
      <c r="L7" s="20" t="s">
        <v>16</v>
      </c>
      <c r="M7" s="20" t="s">
        <v>17</v>
      </c>
      <c r="N7" s="20" t="s">
        <v>17</v>
      </c>
      <c r="O7" s="20" t="s">
        <v>17</v>
      </c>
      <c r="P7" s="20" t="s">
        <v>14</v>
      </c>
      <c r="Q7" s="20" t="s">
        <v>15</v>
      </c>
      <c r="R7" s="20" t="s">
        <v>15</v>
      </c>
      <c r="S7" s="20" t="s">
        <v>16</v>
      </c>
      <c r="T7" s="20" t="s">
        <v>16</v>
      </c>
      <c r="U7" s="20" t="s">
        <v>17</v>
      </c>
      <c r="V7" s="20" t="s">
        <v>17</v>
      </c>
      <c r="W7" s="20" t="s">
        <v>17</v>
      </c>
      <c r="X7" s="20" t="s">
        <v>14</v>
      </c>
      <c r="Y7" s="20" t="s">
        <v>15</v>
      </c>
      <c r="Z7" s="20" t="s">
        <v>15</v>
      </c>
      <c r="AA7" s="20" t="s">
        <v>16</v>
      </c>
      <c r="AB7" s="20" t="s">
        <v>16</v>
      </c>
      <c r="AC7" s="20" t="s">
        <v>17</v>
      </c>
      <c r="AD7" s="20" t="s">
        <v>17</v>
      </c>
      <c r="AE7" s="20" t="s">
        <v>17</v>
      </c>
      <c r="AF7" s="23" t="s">
        <v>20</v>
      </c>
      <c r="AG7" s="20" t="s">
        <v>15</v>
      </c>
      <c r="AH7" s="23" t="s">
        <v>20</v>
      </c>
    </row>
    <row r="8" spans="1:34" ht="15.75" x14ac:dyDescent="0.25">
      <c r="A8" s="21" t="s">
        <v>12</v>
      </c>
      <c r="B8" s="22" t="s">
        <v>21</v>
      </c>
      <c r="C8" s="22">
        <v>80535</v>
      </c>
      <c r="D8" s="20" t="s">
        <v>14</v>
      </c>
      <c r="E8" s="20" t="s">
        <v>15</v>
      </c>
      <c r="F8" s="20" t="s">
        <v>16</v>
      </c>
      <c r="G8" s="20" t="s">
        <v>16</v>
      </c>
      <c r="H8" s="20" t="s">
        <v>17</v>
      </c>
      <c r="I8" s="20" t="s">
        <v>17</v>
      </c>
      <c r="J8" s="20" t="s">
        <v>17</v>
      </c>
      <c r="K8" s="20" t="s">
        <v>14</v>
      </c>
      <c r="L8" s="20" t="s">
        <v>14</v>
      </c>
      <c r="M8" s="20" t="s">
        <v>15</v>
      </c>
      <c r="N8" s="20" t="s">
        <v>16</v>
      </c>
      <c r="O8" s="20" t="s">
        <v>16</v>
      </c>
      <c r="P8" s="20" t="s">
        <v>17</v>
      </c>
      <c r="Q8" s="20" t="s">
        <v>17</v>
      </c>
      <c r="R8" s="20" t="s">
        <v>17</v>
      </c>
      <c r="S8" s="20" t="s">
        <v>14</v>
      </c>
      <c r="T8" s="20" t="s">
        <v>14</v>
      </c>
      <c r="U8" s="20" t="s">
        <v>15</v>
      </c>
      <c r="V8" s="20" t="s">
        <v>16</v>
      </c>
      <c r="W8" s="20" t="s">
        <v>16</v>
      </c>
      <c r="X8" s="20" t="s">
        <v>17</v>
      </c>
      <c r="Y8" s="20" t="s">
        <v>17</v>
      </c>
      <c r="Z8" s="20" t="s">
        <v>17</v>
      </c>
      <c r="AA8" s="20" t="s">
        <v>14</v>
      </c>
      <c r="AB8" s="20" t="s">
        <v>14</v>
      </c>
      <c r="AC8" s="20" t="s">
        <v>15</v>
      </c>
      <c r="AD8" s="20" t="s">
        <v>16</v>
      </c>
      <c r="AE8" s="20" t="s">
        <v>16</v>
      </c>
      <c r="AF8" s="20" t="s">
        <v>17</v>
      </c>
      <c r="AG8" s="20" t="s">
        <v>17</v>
      </c>
      <c r="AH8" s="20" t="s">
        <v>17</v>
      </c>
    </row>
    <row r="9" spans="1:34" ht="15.75" x14ac:dyDescent="0.25">
      <c r="A9" s="18" t="s">
        <v>12</v>
      </c>
      <c r="B9" s="19" t="s">
        <v>22</v>
      </c>
      <c r="C9" s="19">
        <v>81032</v>
      </c>
      <c r="D9" s="20" t="s">
        <v>17</v>
      </c>
      <c r="E9" s="20" t="s">
        <v>17</v>
      </c>
      <c r="F9" s="20" t="s">
        <v>14</v>
      </c>
      <c r="G9" s="20" t="s">
        <v>14</v>
      </c>
      <c r="H9" s="20" t="s">
        <v>15</v>
      </c>
      <c r="I9" s="20" t="s">
        <v>16</v>
      </c>
      <c r="J9" s="20" t="s">
        <v>16</v>
      </c>
      <c r="K9" s="20" t="s">
        <v>17</v>
      </c>
      <c r="L9" s="20" t="s">
        <v>17</v>
      </c>
      <c r="M9" s="20" t="s">
        <v>17</v>
      </c>
      <c r="N9" s="20" t="s">
        <v>14</v>
      </c>
      <c r="O9" s="20" t="s">
        <v>14</v>
      </c>
      <c r="P9" s="20" t="s">
        <v>15</v>
      </c>
      <c r="Q9" s="20" t="s">
        <v>16</v>
      </c>
      <c r="R9" s="20" t="s">
        <v>16</v>
      </c>
      <c r="S9" s="20" t="s">
        <v>17</v>
      </c>
      <c r="T9" s="20" t="s">
        <v>17</v>
      </c>
      <c r="U9" s="20" t="s">
        <v>17</v>
      </c>
      <c r="V9" s="24" t="s">
        <v>23</v>
      </c>
      <c r="W9" s="24" t="s">
        <v>23</v>
      </c>
      <c r="X9" s="24" t="s">
        <v>23</v>
      </c>
      <c r="Y9" s="24" t="s">
        <v>23</v>
      </c>
      <c r="Z9" s="24" t="s">
        <v>23</v>
      </c>
      <c r="AA9" s="24" t="s">
        <v>23</v>
      </c>
      <c r="AB9" s="24" t="s">
        <v>23</v>
      </c>
      <c r="AC9" s="24" t="s">
        <v>23</v>
      </c>
      <c r="AD9" s="24" t="s">
        <v>23</v>
      </c>
      <c r="AE9" s="24" t="s">
        <v>23</v>
      </c>
      <c r="AF9" s="24" t="s">
        <v>23</v>
      </c>
      <c r="AG9" s="24" t="s">
        <v>23</v>
      </c>
      <c r="AH9" s="24" t="s">
        <v>23</v>
      </c>
    </row>
    <row r="10" spans="1:34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7"/>
    </row>
    <row r="11" spans="1:34" ht="15.75" x14ac:dyDescent="0.25">
      <c r="A11" s="18" t="s">
        <v>24</v>
      </c>
      <c r="B11" s="19" t="s">
        <v>25</v>
      </c>
      <c r="C11" s="19">
        <v>82428</v>
      </c>
      <c r="D11" s="20" t="s">
        <v>14</v>
      </c>
      <c r="E11" s="20" t="s">
        <v>15</v>
      </c>
      <c r="F11" s="20" t="s">
        <v>16</v>
      </c>
      <c r="G11" s="20" t="s">
        <v>16</v>
      </c>
      <c r="H11" s="20" t="s">
        <v>16</v>
      </c>
      <c r="I11" s="20" t="s">
        <v>17</v>
      </c>
      <c r="J11" s="20" t="s">
        <v>17</v>
      </c>
      <c r="K11" s="20" t="s">
        <v>17</v>
      </c>
      <c r="L11" s="20" t="s">
        <v>14</v>
      </c>
      <c r="M11" s="20" t="s">
        <v>15</v>
      </c>
      <c r="N11" s="20" t="s">
        <v>15</v>
      </c>
      <c r="O11" s="20" t="s">
        <v>15</v>
      </c>
      <c r="P11" s="20" t="s">
        <v>16</v>
      </c>
      <c r="Q11" s="20" t="s">
        <v>17</v>
      </c>
      <c r="R11" s="20" t="s">
        <v>17</v>
      </c>
      <c r="S11" s="20" t="s">
        <v>17</v>
      </c>
      <c r="T11" s="20" t="s">
        <v>14</v>
      </c>
      <c r="U11" s="20" t="s">
        <v>14</v>
      </c>
      <c r="V11" s="20" t="s">
        <v>16</v>
      </c>
      <c r="W11" s="20" t="s">
        <v>16</v>
      </c>
      <c r="X11" s="20" t="s">
        <v>16</v>
      </c>
      <c r="Y11" s="20" t="s">
        <v>17</v>
      </c>
      <c r="Z11" s="20" t="s">
        <v>17</v>
      </c>
      <c r="AA11" s="20" t="s">
        <v>17</v>
      </c>
      <c r="AB11" s="20" t="s">
        <v>14</v>
      </c>
      <c r="AC11" s="20" t="s">
        <v>14</v>
      </c>
      <c r="AD11" s="20" t="s">
        <v>15</v>
      </c>
      <c r="AE11" s="20" t="s">
        <v>16</v>
      </c>
      <c r="AF11" s="20" t="s">
        <v>16</v>
      </c>
      <c r="AG11" s="20" t="s">
        <v>17</v>
      </c>
      <c r="AH11" s="20" t="s">
        <v>17</v>
      </c>
    </row>
    <row r="12" spans="1:34" ht="15.75" x14ac:dyDescent="0.25">
      <c r="A12" s="18" t="s">
        <v>24</v>
      </c>
      <c r="B12" s="19" t="s">
        <v>26</v>
      </c>
      <c r="C12" s="19">
        <v>82571</v>
      </c>
      <c r="D12" s="20" t="s">
        <v>17</v>
      </c>
      <c r="E12" s="20" t="s">
        <v>14</v>
      </c>
      <c r="F12" s="20" t="s">
        <v>15</v>
      </c>
      <c r="G12" s="20" t="s">
        <v>15</v>
      </c>
      <c r="H12" s="20" t="s">
        <v>15</v>
      </c>
      <c r="I12" s="20" t="s">
        <v>16</v>
      </c>
      <c r="J12" s="20" t="s">
        <v>17</v>
      </c>
      <c r="K12" s="20" t="s">
        <v>17</v>
      </c>
      <c r="L12" s="20" t="s">
        <v>17</v>
      </c>
      <c r="M12" s="23" t="s">
        <v>20</v>
      </c>
      <c r="N12" s="20" t="s">
        <v>14</v>
      </c>
      <c r="O12" s="20" t="s">
        <v>14</v>
      </c>
      <c r="P12" s="20" t="s">
        <v>15</v>
      </c>
      <c r="Q12" s="20" t="s">
        <v>16</v>
      </c>
      <c r="R12" s="20" t="s">
        <v>17</v>
      </c>
      <c r="S12" s="20" t="s">
        <v>17</v>
      </c>
      <c r="T12" s="20" t="s">
        <v>17</v>
      </c>
      <c r="U12" s="20" t="s">
        <v>14</v>
      </c>
      <c r="V12" s="20" t="s">
        <v>14</v>
      </c>
      <c r="W12" s="20" t="s">
        <v>15</v>
      </c>
      <c r="X12" s="20" t="s">
        <v>15</v>
      </c>
      <c r="Y12" s="20" t="s">
        <v>16</v>
      </c>
      <c r="Z12" s="20" t="s">
        <v>17</v>
      </c>
      <c r="AA12" s="20" t="s">
        <v>17</v>
      </c>
      <c r="AB12" s="20" t="s">
        <v>17</v>
      </c>
      <c r="AC12" s="20" t="s">
        <v>14</v>
      </c>
      <c r="AD12" s="20" t="s">
        <v>14</v>
      </c>
      <c r="AE12" s="20" t="s">
        <v>15</v>
      </c>
      <c r="AF12" s="20" t="s">
        <v>15</v>
      </c>
      <c r="AG12" s="20" t="s">
        <v>16</v>
      </c>
      <c r="AH12" s="20" t="s">
        <v>17</v>
      </c>
    </row>
    <row r="13" spans="1:34" ht="15.75" x14ac:dyDescent="0.25">
      <c r="A13" s="28" t="s">
        <v>27</v>
      </c>
      <c r="B13" s="29" t="s">
        <v>28</v>
      </c>
      <c r="C13" s="19">
        <v>82427</v>
      </c>
      <c r="D13" s="20" t="s">
        <v>14</v>
      </c>
      <c r="E13" s="20" t="s">
        <v>14</v>
      </c>
      <c r="F13" s="20" t="s">
        <v>15</v>
      </c>
      <c r="G13" s="20" t="s">
        <v>15</v>
      </c>
      <c r="H13" s="20" t="s">
        <v>16</v>
      </c>
      <c r="I13" s="20" t="s">
        <v>17</v>
      </c>
      <c r="J13" s="20" t="s">
        <v>17</v>
      </c>
      <c r="K13" s="20" t="s">
        <v>17</v>
      </c>
      <c r="L13" s="23" t="s">
        <v>20</v>
      </c>
      <c r="M13" s="20" t="s">
        <v>14</v>
      </c>
      <c r="N13" s="20" t="s">
        <v>16</v>
      </c>
      <c r="O13" s="20" t="s">
        <v>16</v>
      </c>
      <c r="P13" s="20" t="s">
        <v>16</v>
      </c>
      <c r="Q13" s="20" t="s">
        <v>17</v>
      </c>
      <c r="R13" s="20" t="s">
        <v>17</v>
      </c>
      <c r="S13" s="20" t="s">
        <v>17</v>
      </c>
      <c r="T13" s="20" t="s">
        <v>14</v>
      </c>
      <c r="U13" s="20" t="s">
        <v>15</v>
      </c>
      <c r="V13" s="24" t="s">
        <v>23</v>
      </c>
      <c r="W13" s="24" t="s">
        <v>23</v>
      </c>
      <c r="X13" s="24" t="s">
        <v>23</v>
      </c>
      <c r="Y13" s="20" t="s">
        <v>17</v>
      </c>
      <c r="Z13" s="20" t="s">
        <v>17</v>
      </c>
      <c r="AA13" s="20" t="s">
        <v>17</v>
      </c>
      <c r="AB13" s="20" t="s">
        <v>14</v>
      </c>
      <c r="AC13" s="20" t="s">
        <v>15</v>
      </c>
      <c r="AD13" s="20" t="s">
        <v>16</v>
      </c>
      <c r="AE13" s="20" t="s">
        <v>16</v>
      </c>
      <c r="AF13" s="20" t="s">
        <v>16</v>
      </c>
      <c r="AG13" s="20" t="s">
        <v>17</v>
      </c>
      <c r="AH13" s="20" t="s">
        <v>17</v>
      </c>
    </row>
    <row r="14" spans="1:34" ht="15.75" x14ac:dyDescent="0.25">
      <c r="A14" s="21" t="s">
        <v>24</v>
      </c>
      <c r="B14" s="22" t="s">
        <v>29</v>
      </c>
      <c r="C14" s="22">
        <v>80480</v>
      </c>
      <c r="D14" s="20" t="s">
        <v>15</v>
      </c>
      <c r="E14" s="20" t="s">
        <v>16</v>
      </c>
      <c r="F14" s="20" t="s">
        <v>17</v>
      </c>
      <c r="G14" s="20" t="s">
        <v>17</v>
      </c>
      <c r="H14" s="20" t="s">
        <v>17</v>
      </c>
      <c r="I14" s="20" t="s">
        <v>14</v>
      </c>
      <c r="J14" s="20" t="s">
        <v>15</v>
      </c>
      <c r="K14" s="20" t="s">
        <v>15</v>
      </c>
      <c r="L14" s="20" t="s">
        <v>15</v>
      </c>
      <c r="M14" s="20" t="s">
        <v>16</v>
      </c>
      <c r="N14" s="20" t="s">
        <v>17</v>
      </c>
      <c r="O14" s="20" t="s">
        <v>17</v>
      </c>
      <c r="P14" s="20" t="s">
        <v>17</v>
      </c>
      <c r="Q14" s="20" t="s">
        <v>14</v>
      </c>
      <c r="R14" s="20" t="s">
        <v>14</v>
      </c>
      <c r="S14" s="20" t="s">
        <v>15</v>
      </c>
      <c r="T14" s="20" t="s">
        <v>15</v>
      </c>
      <c r="U14" s="20" t="s">
        <v>16</v>
      </c>
      <c r="V14" s="20" t="s">
        <v>17</v>
      </c>
      <c r="W14" s="20" t="s">
        <v>17</v>
      </c>
      <c r="X14" s="20" t="s">
        <v>17</v>
      </c>
      <c r="Y14" s="20" t="s">
        <v>14</v>
      </c>
      <c r="Z14" s="20" t="s">
        <v>14</v>
      </c>
      <c r="AA14" s="20" t="s">
        <v>14</v>
      </c>
      <c r="AB14" s="20" t="s">
        <v>15</v>
      </c>
      <c r="AC14" s="20" t="s">
        <v>16</v>
      </c>
      <c r="AD14" s="20" t="s">
        <v>17</v>
      </c>
      <c r="AE14" s="20" t="s">
        <v>17</v>
      </c>
      <c r="AF14" s="20" t="s">
        <v>17</v>
      </c>
      <c r="AG14" s="20" t="s">
        <v>14</v>
      </c>
      <c r="AH14" s="20" t="s">
        <v>14</v>
      </c>
    </row>
    <row r="15" spans="1:34" ht="15.75" x14ac:dyDescent="0.25">
      <c r="A15" s="21" t="s">
        <v>24</v>
      </c>
      <c r="B15" s="22" t="s">
        <v>30</v>
      </c>
      <c r="C15" s="22">
        <v>82566</v>
      </c>
      <c r="D15" s="24" t="s">
        <v>23</v>
      </c>
      <c r="E15" s="24" t="s">
        <v>23</v>
      </c>
      <c r="F15" s="20" t="s">
        <v>17</v>
      </c>
      <c r="G15" s="20" t="s">
        <v>17</v>
      </c>
      <c r="H15" s="20" t="s">
        <v>17</v>
      </c>
      <c r="I15" s="20" t="s">
        <v>14</v>
      </c>
      <c r="J15" s="20" t="s">
        <v>14</v>
      </c>
      <c r="K15" s="20" t="s">
        <v>15</v>
      </c>
      <c r="L15" s="20" t="s">
        <v>15</v>
      </c>
      <c r="M15" s="20" t="s">
        <v>16</v>
      </c>
      <c r="N15" s="20" t="s">
        <v>17</v>
      </c>
      <c r="O15" s="20" t="s">
        <v>17</v>
      </c>
      <c r="P15" s="20" t="s">
        <v>17</v>
      </c>
      <c r="Q15" s="20" t="s">
        <v>14</v>
      </c>
      <c r="R15" s="23" t="s">
        <v>20</v>
      </c>
      <c r="S15" s="20" t="s">
        <v>15</v>
      </c>
      <c r="T15" s="20" t="s">
        <v>15</v>
      </c>
      <c r="U15" s="20" t="s">
        <v>16</v>
      </c>
      <c r="V15" s="20" t="s">
        <v>17</v>
      </c>
      <c r="W15" s="20" t="s">
        <v>17</v>
      </c>
      <c r="X15" s="20" t="s">
        <v>17</v>
      </c>
      <c r="Y15" s="20" t="s">
        <v>14</v>
      </c>
      <c r="Z15" s="20" t="s">
        <v>14</v>
      </c>
      <c r="AA15" s="20" t="s">
        <v>15</v>
      </c>
      <c r="AB15" s="20" t="s">
        <v>16</v>
      </c>
      <c r="AC15" s="20" t="s">
        <v>16</v>
      </c>
      <c r="AD15" s="20" t="s">
        <v>17</v>
      </c>
      <c r="AE15" s="20" t="s">
        <v>17</v>
      </c>
      <c r="AF15" s="20" t="s">
        <v>17</v>
      </c>
      <c r="AG15" s="20" t="s">
        <v>14</v>
      </c>
      <c r="AH15" s="20" t="s">
        <v>14</v>
      </c>
    </row>
    <row r="16" spans="1:34" ht="15.75" x14ac:dyDescent="0.25">
      <c r="A16" s="21" t="s">
        <v>27</v>
      </c>
      <c r="B16" s="30" t="s">
        <v>31</v>
      </c>
      <c r="C16" s="22">
        <v>82419</v>
      </c>
      <c r="D16" s="24" t="s">
        <v>23</v>
      </c>
      <c r="E16" s="24" t="s">
        <v>23</v>
      </c>
      <c r="F16" s="20" t="s">
        <v>17</v>
      </c>
      <c r="G16" s="20" t="s">
        <v>17</v>
      </c>
      <c r="H16" s="20" t="s">
        <v>17</v>
      </c>
      <c r="I16" s="20" t="s">
        <v>14</v>
      </c>
      <c r="J16" s="20" t="s">
        <v>14</v>
      </c>
      <c r="K16" s="20" t="s">
        <v>14</v>
      </c>
      <c r="L16" s="20" t="s">
        <v>15</v>
      </c>
      <c r="M16" s="20" t="s">
        <v>16</v>
      </c>
      <c r="N16" s="20" t="s">
        <v>17</v>
      </c>
      <c r="O16" s="20" t="s">
        <v>17</v>
      </c>
      <c r="P16" s="20" t="s">
        <v>17</v>
      </c>
      <c r="Q16" s="20" t="s">
        <v>14</v>
      </c>
      <c r="R16" s="20" t="s">
        <v>14</v>
      </c>
      <c r="S16" s="20" t="s">
        <v>15</v>
      </c>
      <c r="T16" s="20" t="s">
        <v>16</v>
      </c>
      <c r="U16" s="20" t="s">
        <v>16</v>
      </c>
      <c r="V16" s="20" t="s">
        <v>17</v>
      </c>
      <c r="W16" s="20" t="s">
        <v>17</v>
      </c>
      <c r="X16" s="20" t="s">
        <v>17</v>
      </c>
      <c r="Y16" s="20" t="s">
        <v>14</v>
      </c>
      <c r="Z16" s="20" t="s">
        <v>14</v>
      </c>
      <c r="AA16" s="20" t="s">
        <v>15</v>
      </c>
      <c r="AB16" s="20" t="s">
        <v>15</v>
      </c>
      <c r="AC16" s="20" t="s">
        <v>16</v>
      </c>
      <c r="AD16" s="20" t="s">
        <v>17</v>
      </c>
      <c r="AE16" s="20" t="s">
        <v>17</v>
      </c>
      <c r="AF16" s="20" t="s">
        <v>17</v>
      </c>
      <c r="AG16" s="20" t="s">
        <v>14</v>
      </c>
      <c r="AH16" s="20" t="s">
        <v>14</v>
      </c>
    </row>
    <row r="17" spans="1:34" ht="15.75" x14ac:dyDescent="0.25">
      <c r="A17" s="21" t="s">
        <v>27</v>
      </c>
      <c r="B17" s="30" t="s">
        <v>32</v>
      </c>
      <c r="C17" s="22">
        <v>82425</v>
      </c>
      <c r="D17" s="20" t="s">
        <v>16</v>
      </c>
      <c r="E17" s="20" t="s">
        <v>16</v>
      </c>
      <c r="F17" s="20" t="s">
        <v>17</v>
      </c>
      <c r="G17" s="20" t="s">
        <v>17</v>
      </c>
      <c r="H17" s="20" t="s">
        <v>17</v>
      </c>
      <c r="I17" s="20" t="s">
        <v>14</v>
      </c>
      <c r="J17" s="20" t="s">
        <v>14</v>
      </c>
      <c r="K17" s="20" t="s">
        <v>15</v>
      </c>
      <c r="L17" s="23" t="s">
        <v>20</v>
      </c>
      <c r="M17" s="20" t="s">
        <v>16</v>
      </c>
      <c r="N17" s="20" t="s">
        <v>17</v>
      </c>
      <c r="O17" s="20" t="s">
        <v>17</v>
      </c>
      <c r="P17" s="20" t="s">
        <v>17</v>
      </c>
      <c r="Q17" s="20" t="s">
        <v>14</v>
      </c>
      <c r="R17" s="20" t="s">
        <v>14</v>
      </c>
      <c r="S17" s="20" t="s">
        <v>14</v>
      </c>
      <c r="T17" s="20" t="s">
        <v>15</v>
      </c>
      <c r="U17" s="20" t="s">
        <v>16</v>
      </c>
      <c r="V17" s="20" t="s">
        <v>17</v>
      </c>
      <c r="W17" s="20" t="s">
        <v>17</v>
      </c>
      <c r="X17" s="20" t="s">
        <v>17</v>
      </c>
      <c r="Y17" s="20" t="s">
        <v>14</v>
      </c>
      <c r="Z17" s="20" t="s">
        <v>14</v>
      </c>
      <c r="AA17" s="20" t="s">
        <v>15</v>
      </c>
      <c r="AB17" s="20" t="s">
        <v>15</v>
      </c>
      <c r="AC17" s="20" t="s">
        <v>16</v>
      </c>
      <c r="AD17" s="20" t="s">
        <v>17</v>
      </c>
      <c r="AE17" s="20" t="s">
        <v>17</v>
      </c>
      <c r="AF17" s="20" t="s">
        <v>17</v>
      </c>
      <c r="AG17" s="24" t="s">
        <v>23</v>
      </c>
      <c r="AH17" s="24" t="s">
        <v>23</v>
      </c>
    </row>
    <row r="18" spans="1:34" ht="15.75" x14ac:dyDescent="0.25">
      <c r="A18" s="18" t="s">
        <v>24</v>
      </c>
      <c r="B18" s="19" t="s">
        <v>33</v>
      </c>
      <c r="C18" s="19">
        <v>82410</v>
      </c>
      <c r="D18" s="20" t="s">
        <v>17</v>
      </c>
      <c r="E18" s="20" t="s">
        <v>17</v>
      </c>
      <c r="F18" s="20" t="s">
        <v>17</v>
      </c>
      <c r="G18" s="20" t="s">
        <v>14</v>
      </c>
      <c r="H18" s="20" t="s">
        <v>15</v>
      </c>
      <c r="I18" s="20" t="s">
        <v>15</v>
      </c>
      <c r="J18" s="20" t="s">
        <v>16</v>
      </c>
      <c r="K18" s="20" t="s">
        <v>16</v>
      </c>
      <c r="L18" s="20" t="s">
        <v>17</v>
      </c>
      <c r="M18" s="20" t="s">
        <v>17</v>
      </c>
      <c r="N18" s="20" t="s">
        <v>17</v>
      </c>
      <c r="O18" s="20" t="s">
        <v>14</v>
      </c>
      <c r="P18" s="20" t="s">
        <v>15</v>
      </c>
      <c r="Q18" s="20" t="s">
        <v>15</v>
      </c>
      <c r="R18" s="20" t="s">
        <v>16</v>
      </c>
      <c r="S18" s="20" t="s">
        <v>16</v>
      </c>
      <c r="T18" s="20" t="s">
        <v>17</v>
      </c>
      <c r="U18" s="20" t="s">
        <v>17</v>
      </c>
      <c r="V18" s="20" t="s">
        <v>17</v>
      </c>
      <c r="W18" s="20" t="s">
        <v>14</v>
      </c>
      <c r="X18" s="20" t="s">
        <v>14</v>
      </c>
      <c r="Y18" s="20" t="s">
        <v>15</v>
      </c>
      <c r="Z18" s="20" t="s">
        <v>16</v>
      </c>
      <c r="AA18" s="20" t="s">
        <v>16</v>
      </c>
      <c r="AB18" s="20" t="s">
        <v>17</v>
      </c>
      <c r="AC18" s="20" t="s">
        <v>17</v>
      </c>
      <c r="AD18" s="20" t="s">
        <v>17</v>
      </c>
      <c r="AE18" s="20" t="s">
        <v>14</v>
      </c>
      <c r="AF18" s="20" t="s">
        <v>14</v>
      </c>
      <c r="AG18" s="20" t="s">
        <v>15</v>
      </c>
      <c r="AH18" s="20" t="s">
        <v>16</v>
      </c>
    </row>
    <row r="19" spans="1:34" ht="15.75" x14ac:dyDescent="0.25">
      <c r="A19" s="18" t="s">
        <v>24</v>
      </c>
      <c r="B19" s="31" t="s">
        <v>34</v>
      </c>
      <c r="C19" s="19">
        <v>82416</v>
      </c>
      <c r="D19" s="20" t="s">
        <v>17</v>
      </c>
      <c r="E19" s="20" t="s">
        <v>17</v>
      </c>
      <c r="F19" s="20" t="s">
        <v>17</v>
      </c>
      <c r="G19" s="20" t="s">
        <v>14</v>
      </c>
      <c r="H19" s="20" t="s">
        <v>14</v>
      </c>
      <c r="I19" s="20" t="s">
        <v>15</v>
      </c>
      <c r="J19" s="20" t="s">
        <v>16</v>
      </c>
      <c r="K19" s="20" t="s">
        <v>16</v>
      </c>
      <c r="L19" s="20" t="s">
        <v>17</v>
      </c>
      <c r="M19" s="20" t="s">
        <v>17</v>
      </c>
      <c r="N19" s="20" t="s">
        <v>17</v>
      </c>
      <c r="O19" s="20" t="s">
        <v>14</v>
      </c>
      <c r="P19" s="20" t="s">
        <v>15</v>
      </c>
      <c r="Q19" s="20" t="s">
        <v>15</v>
      </c>
      <c r="R19" s="20" t="s">
        <v>15</v>
      </c>
      <c r="S19" s="20" t="s">
        <v>16</v>
      </c>
      <c r="T19" s="20" t="s">
        <v>17</v>
      </c>
      <c r="U19" s="20" t="s">
        <v>17</v>
      </c>
      <c r="V19" s="20" t="s">
        <v>17</v>
      </c>
      <c r="W19" s="20" t="s">
        <v>14</v>
      </c>
      <c r="X19" s="20" t="s">
        <v>14</v>
      </c>
      <c r="Y19" s="20" t="s">
        <v>15</v>
      </c>
      <c r="Z19" s="20" t="s">
        <v>15</v>
      </c>
      <c r="AA19" s="20" t="s">
        <v>16</v>
      </c>
      <c r="AB19" s="20" t="s">
        <v>17</v>
      </c>
      <c r="AC19" s="20" t="s">
        <v>17</v>
      </c>
      <c r="AD19" s="20" t="s">
        <v>17</v>
      </c>
      <c r="AE19" s="20" t="s">
        <v>14</v>
      </c>
      <c r="AF19" s="20" t="s">
        <v>15</v>
      </c>
      <c r="AG19" s="20" t="s">
        <v>15</v>
      </c>
      <c r="AH19" s="20" t="s">
        <v>16</v>
      </c>
    </row>
    <row r="20" spans="1:34" ht="15.75" x14ac:dyDescent="0.25">
      <c r="A20" s="21" t="s">
        <v>27</v>
      </c>
      <c r="B20" s="30" t="s">
        <v>35</v>
      </c>
      <c r="C20" s="22">
        <v>82431</v>
      </c>
      <c r="D20" s="20" t="s">
        <v>16</v>
      </c>
      <c r="E20" s="20" t="s">
        <v>17</v>
      </c>
      <c r="F20" s="20" t="s">
        <v>17</v>
      </c>
      <c r="G20" s="20" t="s">
        <v>17</v>
      </c>
      <c r="H20" s="20" t="s">
        <v>14</v>
      </c>
      <c r="I20" s="20" t="s">
        <v>14</v>
      </c>
      <c r="J20" s="20" t="s">
        <v>15</v>
      </c>
      <c r="K20" s="20" t="s">
        <v>16</v>
      </c>
      <c r="L20" s="20" t="s">
        <v>16</v>
      </c>
      <c r="M20" s="20" t="s">
        <v>17</v>
      </c>
      <c r="N20" s="20" t="s">
        <v>17</v>
      </c>
      <c r="O20" s="20" t="s">
        <v>17</v>
      </c>
      <c r="P20" s="20" t="s">
        <v>14</v>
      </c>
      <c r="Q20" s="20" t="s">
        <v>14</v>
      </c>
      <c r="R20" s="20" t="s">
        <v>15</v>
      </c>
      <c r="S20" s="20" t="s">
        <v>16</v>
      </c>
      <c r="T20" s="20" t="s">
        <v>16</v>
      </c>
      <c r="U20" s="20" t="s">
        <v>17</v>
      </c>
      <c r="V20" s="20" t="s">
        <v>17</v>
      </c>
      <c r="W20" s="20" t="s">
        <v>17</v>
      </c>
      <c r="X20" s="20" t="s">
        <v>14</v>
      </c>
      <c r="Y20" s="20" t="s">
        <v>15</v>
      </c>
      <c r="Z20" s="20" t="s">
        <v>15</v>
      </c>
      <c r="AA20" s="20" t="s">
        <v>16</v>
      </c>
      <c r="AB20" s="20" t="s">
        <v>16</v>
      </c>
      <c r="AC20" s="20" t="s">
        <v>17</v>
      </c>
      <c r="AD20" s="20" t="s">
        <v>17</v>
      </c>
      <c r="AE20" s="20" t="s">
        <v>17</v>
      </c>
      <c r="AF20" s="20" t="s">
        <v>14</v>
      </c>
      <c r="AG20" s="20" t="s">
        <v>14</v>
      </c>
      <c r="AH20" s="20" t="s">
        <v>15</v>
      </c>
    </row>
    <row r="21" spans="1:34" ht="15.75" x14ac:dyDescent="0.25">
      <c r="A21" s="21" t="s">
        <v>27</v>
      </c>
      <c r="B21" s="30" t="s">
        <v>36</v>
      </c>
      <c r="C21" s="22">
        <v>82331</v>
      </c>
      <c r="D21" s="20" t="s">
        <v>16</v>
      </c>
      <c r="E21" s="20" t="s">
        <v>17</v>
      </c>
      <c r="F21" s="20" t="s">
        <v>17</v>
      </c>
      <c r="G21" s="20" t="s">
        <v>17</v>
      </c>
      <c r="H21" s="20" t="s">
        <v>14</v>
      </c>
      <c r="I21" s="20" t="s">
        <v>15</v>
      </c>
      <c r="J21" s="20" t="s">
        <v>15</v>
      </c>
      <c r="K21" s="20" t="s">
        <v>16</v>
      </c>
      <c r="L21" s="20" t="s">
        <v>16</v>
      </c>
      <c r="M21" s="20" t="s">
        <v>17</v>
      </c>
      <c r="N21" s="20" t="s">
        <v>17</v>
      </c>
      <c r="O21" s="20" t="s">
        <v>17</v>
      </c>
      <c r="P21" s="24" t="s">
        <v>23</v>
      </c>
      <c r="Q21" s="24" t="s">
        <v>23</v>
      </c>
      <c r="R21" s="24" t="s">
        <v>23</v>
      </c>
      <c r="S21" s="20" t="s">
        <v>16</v>
      </c>
      <c r="T21" s="20" t="s">
        <v>16</v>
      </c>
      <c r="U21" s="20" t="s">
        <v>17</v>
      </c>
      <c r="V21" s="20" t="s">
        <v>17</v>
      </c>
      <c r="W21" s="20" t="s">
        <v>17</v>
      </c>
      <c r="X21" s="24" t="s">
        <v>23</v>
      </c>
      <c r="Y21" s="24" t="s">
        <v>23</v>
      </c>
      <c r="Z21" s="24" t="s">
        <v>23</v>
      </c>
      <c r="AA21" s="24" t="s">
        <v>23</v>
      </c>
      <c r="AB21" s="24" t="s">
        <v>23</v>
      </c>
      <c r="AC21" s="20" t="s">
        <v>17</v>
      </c>
      <c r="AD21" s="20" t="s">
        <v>17</v>
      </c>
      <c r="AE21" s="20" t="s">
        <v>17</v>
      </c>
      <c r="AF21" s="20" t="s">
        <v>14</v>
      </c>
      <c r="AG21" s="20" t="s">
        <v>15</v>
      </c>
      <c r="AH21" s="20" t="s">
        <v>15</v>
      </c>
    </row>
    <row r="22" spans="1:34" ht="15.75" x14ac:dyDescent="0.25">
      <c r="A22" s="21" t="s">
        <v>24</v>
      </c>
      <c r="B22" s="22" t="s">
        <v>37</v>
      </c>
      <c r="C22" s="22">
        <v>80479</v>
      </c>
      <c r="D22" s="20" t="s">
        <v>14</v>
      </c>
      <c r="E22" s="20" t="s">
        <v>15</v>
      </c>
      <c r="F22" s="20" t="s">
        <v>16</v>
      </c>
      <c r="G22" s="20" t="s">
        <v>16</v>
      </c>
      <c r="H22" s="20" t="s">
        <v>17</v>
      </c>
      <c r="I22" s="20" t="s">
        <v>17</v>
      </c>
      <c r="J22" s="20" t="s">
        <v>17</v>
      </c>
      <c r="K22" s="20" t="s">
        <v>14</v>
      </c>
      <c r="L22" s="20" t="s">
        <v>14</v>
      </c>
      <c r="M22" s="20" t="s">
        <v>15</v>
      </c>
      <c r="N22" s="20" t="s">
        <v>16</v>
      </c>
      <c r="O22" s="20" t="s">
        <v>16</v>
      </c>
      <c r="P22" s="20" t="s">
        <v>17</v>
      </c>
      <c r="Q22" s="20" t="s">
        <v>17</v>
      </c>
      <c r="R22" s="20" t="s">
        <v>17</v>
      </c>
      <c r="S22" s="20" t="s">
        <v>14</v>
      </c>
      <c r="T22" s="20" t="s">
        <v>14</v>
      </c>
      <c r="U22" s="20" t="s">
        <v>15</v>
      </c>
      <c r="V22" s="20" t="s">
        <v>16</v>
      </c>
      <c r="W22" s="20" t="s">
        <v>16</v>
      </c>
      <c r="X22" s="20" t="s">
        <v>17</v>
      </c>
      <c r="Y22" s="20" t="s">
        <v>17</v>
      </c>
      <c r="Z22" s="20" t="s">
        <v>17</v>
      </c>
      <c r="AA22" s="20" t="s">
        <v>14</v>
      </c>
      <c r="AB22" s="20" t="s">
        <v>14</v>
      </c>
      <c r="AC22" s="20" t="s">
        <v>15</v>
      </c>
      <c r="AD22" s="20" t="s">
        <v>16</v>
      </c>
      <c r="AE22" s="20" t="s">
        <v>16</v>
      </c>
      <c r="AF22" s="20" t="s">
        <v>17</v>
      </c>
      <c r="AG22" s="20" t="s">
        <v>17</v>
      </c>
      <c r="AH22" s="20" t="s">
        <v>17</v>
      </c>
    </row>
    <row r="23" spans="1:34" ht="15.75" x14ac:dyDescent="0.25">
      <c r="A23" s="21" t="s">
        <v>27</v>
      </c>
      <c r="B23" s="30" t="s">
        <v>38</v>
      </c>
      <c r="C23" s="22">
        <v>82420</v>
      </c>
      <c r="D23" s="20" t="s">
        <v>14</v>
      </c>
      <c r="E23" s="20" t="s">
        <v>15</v>
      </c>
      <c r="F23" s="20" t="s">
        <v>16</v>
      </c>
      <c r="G23" s="20" t="s">
        <v>16</v>
      </c>
      <c r="H23" s="20" t="s">
        <v>17</v>
      </c>
      <c r="I23" s="20" t="s">
        <v>17</v>
      </c>
      <c r="J23" s="20" t="s">
        <v>17</v>
      </c>
      <c r="K23" s="24" t="s">
        <v>23</v>
      </c>
      <c r="L23" s="24" t="s">
        <v>23</v>
      </c>
      <c r="M23" s="24" t="s">
        <v>23</v>
      </c>
      <c r="N23" s="24" t="s">
        <v>23</v>
      </c>
      <c r="O23" s="24" t="s">
        <v>23</v>
      </c>
      <c r="P23" s="20" t="s">
        <v>17</v>
      </c>
      <c r="Q23" s="20" t="s">
        <v>17</v>
      </c>
      <c r="R23" s="20" t="s">
        <v>17</v>
      </c>
      <c r="S23" s="20" t="s">
        <v>14</v>
      </c>
      <c r="T23" s="23" t="s">
        <v>20</v>
      </c>
      <c r="U23" s="20" t="s">
        <v>15</v>
      </c>
      <c r="V23" s="20" t="s">
        <v>16</v>
      </c>
      <c r="W23" s="20" t="s">
        <v>16</v>
      </c>
      <c r="X23" s="20" t="s">
        <v>17</v>
      </c>
      <c r="Y23" s="20" t="s">
        <v>17</v>
      </c>
      <c r="Z23" s="20" t="s">
        <v>17</v>
      </c>
      <c r="AA23" s="20" t="s">
        <v>14</v>
      </c>
      <c r="AB23" s="20" t="s">
        <v>14</v>
      </c>
      <c r="AC23" s="20" t="s">
        <v>15</v>
      </c>
      <c r="AD23" s="20" t="s">
        <v>16</v>
      </c>
      <c r="AE23" s="20" t="s">
        <v>16</v>
      </c>
      <c r="AF23" s="20" t="s">
        <v>17</v>
      </c>
      <c r="AG23" s="20" t="s">
        <v>17</v>
      </c>
      <c r="AH23" s="20" t="s">
        <v>17</v>
      </c>
    </row>
    <row r="24" spans="1:34" ht="15.75" x14ac:dyDescent="0.25">
      <c r="A24" s="18" t="s">
        <v>24</v>
      </c>
      <c r="B24" s="19" t="s">
        <v>39</v>
      </c>
      <c r="C24" s="19">
        <v>82417</v>
      </c>
      <c r="D24" s="20" t="s">
        <v>17</v>
      </c>
      <c r="E24" s="20" t="s">
        <v>17</v>
      </c>
      <c r="F24" s="24" t="s">
        <v>23</v>
      </c>
      <c r="G24" s="24" t="s">
        <v>23</v>
      </c>
      <c r="H24" s="24" t="s">
        <v>23</v>
      </c>
      <c r="I24" s="24" t="s">
        <v>23</v>
      </c>
      <c r="J24" s="24" t="s">
        <v>23</v>
      </c>
      <c r="K24" s="20" t="s">
        <v>17</v>
      </c>
      <c r="L24" s="20" t="s">
        <v>17</v>
      </c>
      <c r="M24" s="20" t="s">
        <v>17</v>
      </c>
      <c r="N24" s="20" t="s">
        <v>14</v>
      </c>
      <c r="O24" s="20" t="s">
        <v>14</v>
      </c>
      <c r="P24" s="20" t="s">
        <v>14</v>
      </c>
      <c r="Q24" s="20" t="s">
        <v>16</v>
      </c>
      <c r="R24" s="20" t="s">
        <v>16</v>
      </c>
      <c r="S24" s="20" t="s">
        <v>17</v>
      </c>
      <c r="T24" s="20" t="s">
        <v>17</v>
      </c>
      <c r="U24" s="20" t="s">
        <v>17</v>
      </c>
      <c r="V24" s="20" t="s">
        <v>14</v>
      </c>
      <c r="W24" s="20" t="s">
        <v>14</v>
      </c>
      <c r="X24" s="20" t="s">
        <v>15</v>
      </c>
      <c r="Y24" s="20" t="s">
        <v>16</v>
      </c>
      <c r="Z24" s="20" t="s">
        <v>16</v>
      </c>
      <c r="AA24" s="20" t="s">
        <v>17</v>
      </c>
      <c r="AB24" s="20" t="s">
        <v>17</v>
      </c>
      <c r="AC24" s="20" t="s">
        <v>17</v>
      </c>
      <c r="AD24" s="20" t="s">
        <v>14</v>
      </c>
      <c r="AE24" s="20" t="s">
        <v>14</v>
      </c>
      <c r="AF24" s="20" t="s">
        <v>14</v>
      </c>
      <c r="AG24" s="20" t="s">
        <v>16</v>
      </c>
      <c r="AH24" s="20" t="s">
        <v>16</v>
      </c>
    </row>
    <row r="25" spans="1:34" ht="15.75" x14ac:dyDescent="0.25">
      <c r="A25" s="18" t="s">
        <v>24</v>
      </c>
      <c r="B25" s="19" t="s">
        <v>40</v>
      </c>
      <c r="C25" s="19">
        <v>82423</v>
      </c>
      <c r="D25" s="20" t="s">
        <v>17</v>
      </c>
      <c r="E25" s="20" t="s">
        <v>14</v>
      </c>
      <c r="F25" s="20" t="s">
        <v>14</v>
      </c>
      <c r="G25" s="20" t="s">
        <v>14</v>
      </c>
      <c r="H25" s="20" t="s">
        <v>16</v>
      </c>
      <c r="I25" s="20" t="s">
        <v>16</v>
      </c>
      <c r="J25" s="20" t="s">
        <v>17</v>
      </c>
      <c r="K25" s="20" t="s">
        <v>17</v>
      </c>
      <c r="L25" s="20" t="s">
        <v>17</v>
      </c>
      <c r="M25" s="20" t="s">
        <v>14</v>
      </c>
      <c r="N25" s="20" t="s">
        <v>15</v>
      </c>
      <c r="O25" s="20" t="s">
        <v>15</v>
      </c>
      <c r="P25" s="20" t="s">
        <v>16</v>
      </c>
      <c r="Q25" s="20" t="s">
        <v>16</v>
      </c>
      <c r="R25" s="20" t="s">
        <v>17</v>
      </c>
      <c r="S25" s="20" t="s">
        <v>17</v>
      </c>
      <c r="T25" s="20" t="s">
        <v>17</v>
      </c>
      <c r="U25" s="20" t="s">
        <v>14</v>
      </c>
      <c r="V25" s="20" t="s">
        <v>15</v>
      </c>
      <c r="W25" s="20" t="s">
        <v>15</v>
      </c>
      <c r="X25" s="20" t="s">
        <v>16</v>
      </c>
      <c r="Y25" s="20" t="s">
        <v>16</v>
      </c>
      <c r="Z25" s="20" t="s">
        <v>17</v>
      </c>
      <c r="AA25" s="20" t="s">
        <v>17</v>
      </c>
      <c r="AB25" s="20" t="s">
        <v>17</v>
      </c>
      <c r="AC25" s="20" t="s">
        <v>14</v>
      </c>
      <c r="AD25" s="20" t="s">
        <v>15</v>
      </c>
      <c r="AE25" s="20" t="s">
        <v>15</v>
      </c>
      <c r="AF25" s="20" t="s">
        <v>16</v>
      </c>
      <c r="AG25" s="20" t="s">
        <v>16</v>
      </c>
      <c r="AH25" s="20" t="s">
        <v>17</v>
      </c>
    </row>
    <row r="26" spans="1:34" ht="15.75" x14ac:dyDescent="0.25">
      <c r="A26" s="18" t="s">
        <v>27</v>
      </c>
      <c r="B26" s="29" t="s">
        <v>41</v>
      </c>
      <c r="C26" s="19">
        <v>82654</v>
      </c>
      <c r="D26" s="20" t="s">
        <v>17</v>
      </c>
      <c r="E26" s="20" t="s">
        <v>14</v>
      </c>
      <c r="F26" s="20" t="s">
        <v>14</v>
      </c>
      <c r="G26" s="20" t="s">
        <v>15</v>
      </c>
      <c r="H26" s="20" t="s">
        <v>16</v>
      </c>
      <c r="I26" s="20" t="s">
        <v>16</v>
      </c>
      <c r="J26" s="20" t="s">
        <v>17</v>
      </c>
      <c r="K26" s="20" t="s">
        <v>17</v>
      </c>
      <c r="L26" s="20" t="s">
        <v>17</v>
      </c>
      <c r="M26" s="20" t="s">
        <v>14</v>
      </c>
      <c r="N26" s="23" t="s">
        <v>20</v>
      </c>
      <c r="O26" s="20" t="s">
        <v>15</v>
      </c>
      <c r="P26" s="20" t="s">
        <v>16</v>
      </c>
      <c r="Q26" s="20" t="s">
        <v>16</v>
      </c>
      <c r="R26" s="20" t="s">
        <v>17</v>
      </c>
      <c r="S26" s="20" t="s">
        <v>17</v>
      </c>
      <c r="T26" s="20" t="s">
        <v>17</v>
      </c>
      <c r="U26" s="20" t="s">
        <v>14</v>
      </c>
      <c r="V26" s="20" t="s">
        <v>15</v>
      </c>
      <c r="W26" s="20" t="s">
        <v>15</v>
      </c>
      <c r="X26" s="20" t="s">
        <v>16</v>
      </c>
      <c r="Y26" s="20" t="s">
        <v>16</v>
      </c>
      <c r="Z26" s="20" t="s">
        <v>17</v>
      </c>
      <c r="AA26" s="20" t="s">
        <v>17</v>
      </c>
      <c r="AB26" s="20" t="s">
        <v>17</v>
      </c>
      <c r="AC26" s="20" t="s">
        <v>14</v>
      </c>
      <c r="AD26" s="20" t="s">
        <v>15</v>
      </c>
      <c r="AE26" s="20" t="s">
        <v>15</v>
      </c>
      <c r="AF26" s="20" t="s">
        <v>16</v>
      </c>
      <c r="AG26" s="20" t="s">
        <v>16</v>
      </c>
      <c r="AH26" s="20" t="s">
        <v>17</v>
      </c>
    </row>
    <row r="27" spans="1:34" ht="15.75" x14ac:dyDescent="0.25">
      <c r="A27" s="18" t="s">
        <v>27</v>
      </c>
      <c r="B27" s="29" t="s">
        <v>42</v>
      </c>
      <c r="C27" s="19">
        <v>82415</v>
      </c>
      <c r="D27" s="24" t="s">
        <v>23</v>
      </c>
      <c r="E27" s="24" t="s">
        <v>23</v>
      </c>
      <c r="F27" s="24" t="s">
        <v>23</v>
      </c>
      <c r="G27" s="24" t="s">
        <v>23</v>
      </c>
      <c r="H27" s="24" t="s">
        <v>23</v>
      </c>
      <c r="I27" s="24" t="s">
        <v>23</v>
      </c>
      <c r="J27" s="24" t="s">
        <v>23</v>
      </c>
      <c r="K27" s="20" t="s">
        <v>17</v>
      </c>
      <c r="L27" s="20" t="s">
        <v>17</v>
      </c>
      <c r="M27" s="20" t="s">
        <v>17</v>
      </c>
      <c r="N27" s="23" t="s">
        <v>20</v>
      </c>
      <c r="O27" s="20" t="s">
        <v>14</v>
      </c>
      <c r="P27" s="20" t="s">
        <v>14</v>
      </c>
      <c r="Q27" s="20" t="s">
        <v>15</v>
      </c>
      <c r="R27" s="20" t="s">
        <v>16</v>
      </c>
      <c r="S27" s="20" t="s">
        <v>17</v>
      </c>
      <c r="T27" s="20" t="s">
        <v>17</v>
      </c>
      <c r="U27" s="20" t="s">
        <v>17</v>
      </c>
      <c r="V27" s="20" t="s">
        <v>14</v>
      </c>
      <c r="W27" s="20" t="s">
        <v>14</v>
      </c>
      <c r="X27" s="20" t="s">
        <v>15</v>
      </c>
      <c r="Y27" s="20" t="s">
        <v>16</v>
      </c>
      <c r="Z27" s="20" t="s">
        <v>16</v>
      </c>
      <c r="AA27" s="20" t="s">
        <v>17</v>
      </c>
      <c r="AB27" s="20" t="s">
        <v>17</v>
      </c>
      <c r="AC27" s="20" t="s">
        <v>17</v>
      </c>
      <c r="AD27" s="20" t="s">
        <v>14</v>
      </c>
      <c r="AE27" s="20" t="s">
        <v>14</v>
      </c>
      <c r="AF27" s="20" t="s">
        <v>15</v>
      </c>
      <c r="AG27" s="20" t="s">
        <v>16</v>
      </c>
      <c r="AH27" s="20" t="s">
        <v>16</v>
      </c>
    </row>
    <row r="28" spans="1:34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4"/>
    </row>
    <row r="29" spans="1:34" ht="21" x14ac:dyDescent="0.25">
      <c r="A29" s="35">
        <v>17</v>
      </c>
      <c r="B29" s="36" t="s">
        <v>43</v>
      </c>
      <c r="C29" s="37"/>
      <c r="D29" s="38">
        <f>COUNTIF(D11:D28,"M*")</f>
        <v>4</v>
      </c>
      <c r="E29" s="38">
        <f t="shared" ref="E29:AH29" si="0">COUNTIF(E11:E28,"M*")</f>
        <v>4</v>
      </c>
      <c r="F29" s="38">
        <f t="shared" si="0"/>
        <v>2</v>
      </c>
      <c r="G29" s="38">
        <f t="shared" si="0"/>
        <v>3</v>
      </c>
      <c r="H29" s="38">
        <f t="shared" si="0"/>
        <v>3</v>
      </c>
      <c r="I29" s="38">
        <f t="shared" si="0"/>
        <v>5</v>
      </c>
      <c r="J29" s="38">
        <f t="shared" si="0"/>
        <v>3</v>
      </c>
      <c r="K29" s="38">
        <f t="shared" si="0"/>
        <v>2</v>
      </c>
      <c r="L29" s="38">
        <f t="shared" si="0"/>
        <v>2</v>
      </c>
      <c r="M29" s="38">
        <f t="shared" si="0"/>
        <v>3</v>
      </c>
      <c r="N29" s="38">
        <f t="shared" si="0"/>
        <v>2</v>
      </c>
      <c r="O29" s="38">
        <f t="shared" si="0"/>
        <v>5</v>
      </c>
      <c r="P29" s="38">
        <f t="shared" si="0"/>
        <v>3</v>
      </c>
      <c r="Q29" s="38">
        <f t="shared" si="0"/>
        <v>5</v>
      </c>
      <c r="R29" s="38">
        <f t="shared" si="0"/>
        <v>3</v>
      </c>
      <c r="S29" s="38">
        <f t="shared" si="0"/>
        <v>3</v>
      </c>
      <c r="T29" s="38">
        <f t="shared" si="0"/>
        <v>3</v>
      </c>
      <c r="U29" s="38">
        <f t="shared" si="0"/>
        <v>4</v>
      </c>
      <c r="V29" s="38">
        <f t="shared" si="0"/>
        <v>3</v>
      </c>
      <c r="W29" s="38">
        <f t="shared" si="0"/>
        <v>4</v>
      </c>
      <c r="X29" s="38">
        <f t="shared" si="0"/>
        <v>3</v>
      </c>
      <c r="Y29" s="38">
        <f t="shared" si="0"/>
        <v>4</v>
      </c>
      <c r="Z29" s="38">
        <f t="shared" si="0"/>
        <v>4</v>
      </c>
      <c r="AA29" s="38">
        <f t="shared" si="0"/>
        <v>3</v>
      </c>
      <c r="AB29" s="38">
        <f t="shared" si="0"/>
        <v>4</v>
      </c>
      <c r="AC29" s="38">
        <f t="shared" si="0"/>
        <v>4</v>
      </c>
      <c r="AD29" s="38">
        <f t="shared" si="0"/>
        <v>3</v>
      </c>
      <c r="AE29" s="38">
        <f t="shared" si="0"/>
        <v>4</v>
      </c>
      <c r="AF29" s="38">
        <f t="shared" si="0"/>
        <v>4</v>
      </c>
      <c r="AG29" s="38">
        <f t="shared" si="0"/>
        <v>4</v>
      </c>
      <c r="AH29" s="38">
        <f t="shared" si="0"/>
        <v>3</v>
      </c>
    </row>
    <row r="30" spans="1:34" ht="21" x14ac:dyDescent="0.25">
      <c r="A30" s="39"/>
      <c r="B30" s="40" t="s">
        <v>44</v>
      </c>
      <c r="C30" s="41"/>
      <c r="D30" s="42">
        <f>COUNTIF(D11:D28,"A*")</f>
        <v>1</v>
      </c>
      <c r="E30" s="42">
        <f t="shared" ref="E30:AH30" si="1">COUNTIF(E11:E28,"A*")</f>
        <v>3</v>
      </c>
      <c r="F30" s="42">
        <f t="shared" si="1"/>
        <v>2</v>
      </c>
      <c r="G30" s="42">
        <f t="shared" si="1"/>
        <v>3</v>
      </c>
      <c r="H30" s="42">
        <f t="shared" si="1"/>
        <v>2</v>
      </c>
      <c r="I30" s="42">
        <f t="shared" si="1"/>
        <v>3</v>
      </c>
      <c r="J30" s="42">
        <f t="shared" si="1"/>
        <v>3</v>
      </c>
      <c r="K30" s="42">
        <f t="shared" si="1"/>
        <v>3</v>
      </c>
      <c r="L30" s="42">
        <f t="shared" si="1"/>
        <v>3</v>
      </c>
      <c r="M30" s="42">
        <f t="shared" si="1"/>
        <v>2</v>
      </c>
      <c r="N30" s="42">
        <f t="shared" si="1"/>
        <v>2</v>
      </c>
      <c r="O30" s="42">
        <f t="shared" si="1"/>
        <v>3</v>
      </c>
      <c r="P30" s="42">
        <f t="shared" si="1"/>
        <v>3</v>
      </c>
      <c r="Q30" s="42">
        <f t="shared" si="1"/>
        <v>3</v>
      </c>
      <c r="R30" s="42">
        <f t="shared" si="1"/>
        <v>2</v>
      </c>
      <c r="S30" s="42">
        <f t="shared" si="1"/>
        <v>3</v>
      </c>
      <c r="T30" s="42">
        <f t="shared" si="1"/>
        <v>3</v>
      </c>
      <c r="U30" s="42">
        <f t="shared" si="1"/>
        <v>3</v>
      </c>
      <c r="V30" s="42">
        <f t="shared" si="1"/>
        <v>2</v>
      </c>
      <c r="W30" s="42">
        <f t="shared" si="1"/>
        <v>3</v>
      </c>
      <c r="X30" s="42">
        <f t="shared" si="1"/>
        <v>3</v>
      </c>
      <c r="Y30" s="42">
        <f t="shared" si="1"/>
        <v>3</v>
      </c>
      <c r="Z30" s="42">
        <f t="shared" si="1"/>
        <v>2</v>
      </c>
      <c r="AA30" s="42">
        <f t="shared" si="1"/>
        <v>3</v>
      </c>
      <c r="AB30" s="42">
        <f t="shared" si="1"/>
        <v>3</v>
      </c>
      <c r="AC30" s="42">
        <f t="shared" si="1"/>
        <v>3</v>
      </c>
      <c r="AD30" s="42">
        <f t="shared" si="1"/>
        <v>3</v>
      </c>
      <c r="AE30" s="42">
        <f t="shared" si="1"/>
        <v>3</v>
      </c>
      <c r="AF30" s="42">
        <f t="shared" si="1"/>
        <v>3</v>
      </c>
      <c r="AG30" s="42">
        <f t="shared" si="1"/>
        <v>3</v>
      </c>
      <c r="AH30" s="42">
        <f t="shared" si="1"/>
        <v>2</v>
      </c>
    </row>
    <row r="31" spans="1:34" ht="21" x14ac:dyDescent="0.25">
      <c r="A31" s="43"/>
      <c r="B31" s="44" t="s">
        <v>45</v>
      </c>
      <c r="C31" s="45"/>
      <c r="D31" s="46">
        <f>COUNTIF(D11:D28,"N*")</f>
        <v>3</v>
      </c>
      <c r="E31" s="46">
        <f t="shared" ref="E31:AH31" si="2">COUNTIF(E11:E28,"N*")</f>
        <v>2</v>
      </c>
      <c r="F31" s="46">
        <f t="shared" si="2"/>
        <v>3</v>
      </c>
      <c r="G31" s="46">
        <f t="shared" si="2"/>
        <v>3</v>
      </c>
      <c r="H31" s="46">
        <f t="shared" si="2"/>
        <v>4</v>
      </c>
      <c r="I31" s="46">
        <f t="shared" si="2"/>
        <v>3</v>
      </c>
      <c r="J31" s="46">
        <f t="shared" si="2"/>
        <v>2</v>
      </c>
      <c r="K31" s="46">
        <f t="shared" si="2"/>
        <v>4</v>
      </c>
      <c r="L31" s="46">
        <f t="shared" si="2"/>
        <v>2</v>
      </c>
      <c r="M31" s="46">
        <f t="shared" si="2"/>
        <v>4</v>
      </c>
      <c r="N31" s="46">
        <f t="shared" si="2"/>
        <v>2</v>
      </c>
      <c r="O31" s="46">
        <f t="shared" si="2"/>
        <v>2</v>
      </c>
      <c r="P31" s="46">
        <f t="shared" si="2"/>
        <v>4</v>
      </c>
      <c r="Q31" s="46">
        <f t="shared" si="2"/>
        <v>4</v>
      </c>
      <c r="R31" s="46">
        <f t="shared" si="2"/>
        <v>3</v>
      </c>
      <c r="S31" s="46">
        <f t="shared" si="2"/>
        <v>4</v>
      </c>
      <c r="T31" s="46">
        <f t="shared" si="2"/>
        <v>3</v>
      </c>
      <c r="U31" s="46">
        <f t="shared" si="2"/>
        <v>4</v>
      </c>
      <c r="V31" s="46">
        <f t="shared" si="2"/>
        <v>3</v>
      </c>
      <c r="W31" s="46">
        <f t="shared" si="2"/>
        <v>3</v>
      </c>
      <c r="X31" s="46">
        <f t="shared" si="2"/>
        <v>3</v>
      </c>
      <c r="Y31" s="46">
        <f t="shared" si="2"/>
        <v>5</v>
      </c>
      <c r="Z31" s="46">
        <f t="shared" si="2"/>
        <v>3</v>
      </c>
      <c r="AA31" s="46">
        <f t="shared" si="2"/>
        <v>3</v>
      </c>
      <c r="AB31" s="46">
        <f t="shared" si="2"/>
        <v>2</v>
      </c>
      <c r="AC31" s="46">
        <f t="shared" si="2"/>
        <v>4</v>
      </c>
      <c r="AD31" s="46">
        <f t="shared" si="2"/>
        <v>3</v>
      </c>
      <c r="AE31" s="46">
        <f t="shared" si="2"/>
        <v>4</v>
      </c>
      <c r="AF31" s="46">
        <f t="shared" si="2"/>
        <v>4</v>
      </c>
      <c r="AG31" s="46">
        <f t="shared" si="2"/>
        <v>5</v>
      </c>
      <c r="AH31" s="46">
        <f t="shared" si="2"/>
        <v>4</v>
      </c>
    </row>
    <row r="32" spans="1:34" x14ac:dyDescent="0.25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</row>
    <row r="33" spans="1:34" ht="15.75" x14ac:dyDescent="0.25">
      <c r="A33" s="49" t="s">
        <v>46</v>
      </c>
      <c r="B33" s="19" t="s">
        <v>47</v>
      </c>
      <c r="C33" s="19">
        <v>81021</v>
      </c>
      <c r="D33" s="50" t="s">
        <v>48</v>
      </c>
      <c r="E33" s="23" t="s">
        <v>48</v>
      </c>
      <c r="F33" s="23" t="s">
        <v>48</v>
      </c>
      <c r="G33" s="23" t="s">
        <v>48</v>
      </c>
      <c r="H33" s="20" t="s">
        <v>17</v>
      </c>
      <c r="I33" s="20" t="s">
        <v>17</v>
      </c>
      <c r="J33" s="23" t="s">
        <v>48</v>
      </c>
      <c r="K33" s="23" t="s">
        <v>48</v>
      </c>
      <c r="L33" s="23" t="s">
        <v>48</v>
      </c>
      <c r="M33" s="23" t="s">
        <v>48</v>
      </c>
      <c r="N33" s="23" t="s">
        <v>48</v>
      </c>
      <c r="O33" s="20" t="s">
        <v>17</v>
      </c>
      <c r="P33" s="20" t="s">
        <v>17</v>
      </c>
      <c r="Q33" s="23" t="s">
        <v>48</v>
      </c>
      <c r="R33" s="23" t="s">
        <v>48</v>
      </c>
      <c r="S33" s="23" t="s">
        <v>48</v>
      </c>
      <c r="T33" s="23" t="s">
        <v>48</v>
      </c>
      <c r="U33" s="23" t="s">
        <v>48</v>
      </c>
      <c r="V33" s="20" t="s">
        <v>17</v>
      </c>
      <c r="W33" s="20" t="s">
        <v>17</v>
      </c>
      <c r="X33" s="23" t="s">
        <v>48</v>
      </c>
      <c r="Y33" s="23" t="s">
        <v>48</v>
      </c>
      <c r="Z33" s="23" t="s">
        <v>48</v>
      </c>
      <c r="AA33" s="23" t="s">
        <v>48</v>
      </c>
      <c r="AB33" s="23" t="s">
        <v>48</v>
      </c>
      <c r="AC33" s="20" t="s">
        <v>17</v>
      </c>
      <c r="AD33" s="20" t="s">
        <v>17</v>
      </c>
      <c r="AE33" s="23" t="s">
        <v>48</v>
      </c>
      <c r="AF33" s="23" t="s">
        <v>20</v>
      </c>
      <c r="AG33" s="23" t="s">
        <v>48</v>
      </c>
      <c r="AH33" s="23" t="s">
        <v>20</v>
      </c>
    </row>
    <row r="34" spans="1:34" ht="15.75" x14ac:dyDescent="0.25">
      <c r="A34" s="49" t="s">
        <v>46</v>
      </c>
      <c r="B34" s="19" t="s">
        <v>49</v>
      </c>
      <c r="C34" s="19">
        <v>82473</v>
      </c>
      <c r="D34" s="23" t="s">
        <v>50</v>
      </c>
      <c r="E34" s="23" t="s">
        <v>50</v>
      </c>
      <c r="F34" s="23" t="s">
        <v>50</v>
      </c>
      <c r="G34" s="23" t="s">
        <v>50</v>
      </c>
      <c r="H34" s="20" t="s">
        <v>17</v>
      </c>
      <c r="I34" s="20" t="s">
        <v>17</v>
      </c>
      <c r="J34" s="23" t="s">
        <v>50</v>
      </c>
      <c r="K34" s="23" t="s">
        <v>50</v>
      </c>
      <c r="L34" s="23" t="s">
        <v>50</v>
      </c>
      <c r="M34" s="23" t="s">
        <v>50</v>
      </c>
      <c r="N34" s="23" t="s">
        <v>50</v>
      </c>
      <c r="O34" s="20" t="s">
        <v>17</v>
      </c>
      <c r="P34" s="20" t="s">
        <v>17</v>
      </c>
      <c r="Q34" s="23" t="s">
        <v>50</v>
      </c>
      <c r="R34" s="23" t="s">
        <v>50</v>
      </c>
      <c r="S34" s="23" t="s">
        <v>50</v>
      </c>
      <c r="T34" s="23" t="s">
        <v>50</v>
      </c>
      <c r="U34" s="23" t="s">
        <v>50</v>
      </c>
      <c r="V34" s="20" t="s">
        <v>17</v>
      </c>
      <c r="W34" s="20" t="s">
        <v>17</v>
      </c>
      <c r="X34" s="23" t="s">
        <v>50</v>
      </c>
      <c r="Y34" s="23" t="s">
        <v>50</v>
      </c>
      <c r="Z34" s="23" t="s">
        <v>50</v>
      </c>
      <c r="AA34" s="23" t="s">
        <v>20</v>
      </c>
      <c r="AB34" s="23" t="s">
        <v>50</v>
      </c>
      <c r="AC34" s="20" t="s">
        <v>17</v>
      </c>
      <c r="AD34" s="20" t="s">
        <v>17</v>
      </c>
      <c r="AE34" s="23" t="s">
        <v>50</v>
      </c>
      <c r="AF34" s="23" t="s">
        <v>50</v>
      </c>
      <c r="AG34" s="23" t="s">
        <v>50</v>
      </c>
      <c r="AH34" s="23" t="s">
        <v>50</v>
      </c>
    </row>
    <row r="35" spans="1:34" ht="15.75" x14ac:dyDescent="0.25">
      <c r="A35" s="51" t="s">
        <v>46</v>
      </c>
      <c r="B35" s="22" t="s">
        <v>51</v>
      </c>
      <c r="C35" s="22">
        <v>81351</v>
      </c>
      <c r="D35" s="20" t="s">
        <v>14</v>
      </c>
      <c r="E35" s="20" t="s">
        <v>14</v>
      </c>
      <c r="F35" s="20" t="s">
        <v>15</v>
      </c>
      <c r="G35" s="20" t="s">
        <v>15</v>
      </c>
      <c r="H35" s="20" t="s">
        <v>16</v>
      </c>
      <c r="I35" s="20" t="s">
        <v>17</v>
      </c>
      <c r="J35" s="20" t="s">
        <v>17</v>
      </c>
      <c r="K35" s="20" t="s">
        <v>17</v>
      </c>
      <c r="L35" s="24" t="s">
        <v>23</v>
      </c>
      <c r="M35" s="24" t="s">
        <v>23</v>
      </c>
      <c r="N35" s="20" t="s">
        <v>15</v>
      </c>
      <c r="O35" s="20" t="s">
        <v>15</v>
      </c>
      <c r="P35" s="20" t="s">
        <v>16</v>
      </c>
      <c r="Q35" s="20" t="s">
        <v>17</v>
      </c>
      <c r="R35" s="20" t="s">
        <v>17</v>
      </c>
      <c r="S35" s="20" t="s">
        <v>17</v>
      </c>
      <c r="T35" s="20" t="s">
        <v>14</v>
      </c>
      <c r="U35" s="20" t="s">
        <v>14</v>
      </c>
      <c r="V35" s="20" t="s">
        <v>15</v>
      </c>
      <c r="W35" s="20" t="s">
        <v>15</v>
      </c>
      <c r="X35" s="20" t="s">
        <v>16</v>
      </c>
      <c r="Y35" s="20" t="s">
        <v>17</v>
      </c>
      <c r="Z35" s="20" t="s">
        <v>17</v>
      </c>
      <c r="AA35" s="20" t="s">
        <v>17</v>
      </c>
      <c r="AB35" s="20" t="s">
        <v>14</v>
      </c>
      <c r="AC35" s="20" t="s">
        <v>14</v>
      </c>
      <c r="AD35" s="20" t="s">
        <v>15</v>
      </c>
      <c r="AE35" s="20" t="s">
        <v>15</v>
      </c>
      <c r="AF35" s="20" t="s">
        <v>16</v>
      </c>
      <c r="AG35" s="20" t="s">
        <v>17</v>
      </c>
      <c r="AH35" s="20" t="s">
        <v>17</v>
      </c>
    </row>
    <row r="36" spans="1:34" ht="15.75" x14ac:dyDescent="0.25">
      <c r="A36" s="51" t="s">
        <v>46</v>
      </c>
      <c r="B36" s="22" t="s">
        <v>52</v>
      </c>
      <c r="C36" s="22">
        <v>82541</v>
      </c>
      <c r="D36" s="20" t="s">
        <v>14</v>
      </c>
      <c r="E36" s="20" t="s">
        <v>15</v>
      </c>
      <c r="F36" s="20" t="s">
        <v>15</v>
      </c>
      <c r="G36" s="20" t="s">
        <v>15</v>
      </c>
      <c r="H36" s="20" t="s">
        <v>16</v>
      </c>
      <c r="I36" s="20" t="s">
        <v>17</v>
      </c>
      <c r="J36" s="20" t="s">
        <v>17</v>
      </c>
      <c r="K36" s="20" t="s">
        <v>17</v>
      </c>
      <c r="L36" s="20" t="s">
        <v>14</v>
      </c>
      <c r="M36" s="20" t="s">
        <v>14</v>
      </c>
      <c r="N36" s="20" t="s">
        <v>15</v>
      </c>
      <c r="O36" s="20" t="s">
        <v>15</v>
      </c>
      <c r="P36" s="20" t="s">
        <v>16</v>
      </c>
      <c r="Q36" s="20" t="s">
        <v>17</v>
      </c>
      <c r="R36" s="20" t="s">
        <v>17</v>
      </c>
      <c r="S36" s="20" t="s">
        <v>17</v>
      </c>
      <c r="T36" s="24" t="s">
        <v>23</v>
      </c>
      <c r="U36" s="24" t="s">
        <v>23</v>
      </c>
      <c r="V36" s="24" t="s">
        <v>23</v>
      </c>
      <c r="W36" s="24" t="s">
        <v>23</v>
      </c>
      <c r="X36" s="24" t="s">
        <v>23</v>
      </c>
      <c r="Y36" s="24" t="s">
        <v>23</v>
      </c>
      <c r="Z36" s="24" t="s">
        <v>23</v>
      </c>
      <c r="AA36" s="24" t="s">
        <v>23</v>
      </c>
      <c r="AB36" s="24" t="s">
        <v>23</v>
      </c>
      <c r="AC36" s="24" t="s">
        <v>23</v>
      </c>
      <c r="AD36" s="24" t="s">
        <v>23</v>
      </c>
      <c r="AE36" s="24" t="s">
        <v>23</v>
      </c>
      <c r="AF36" s="24" t="s">
        <v>23</v>
      </c>
      <c r="AG36" s="24" t="s">
        <v>23</v>
      </c>
      <c r="AH36" s="24" t="s">
        <v>23</v>
      </c>
    </row>
    <row r="37" spans="1:34" ht="15.75" x14ac:dyDescent="0.25">
      <c r="A37" s="49" t="s">
        <v>46</v>
      </c>
      <c r="B37" s="19" t="s">
        <v>53</v>
      </c>
      <c r="C37" s="19">
        <v>80215</v>
      </c>
      <c r="D37" s="20" t="s">
        <v>15</v>
      </c>
      <c r="E37" s="20" t="s">
        <v>16</v>
      </c>
      <c r="F37" s="20" t="s">
        <v>17</v>
      </c>
      <c r="G37" s="20" t="s">
        <v>17</v>
      </c>
      <c r="H37" s="20" t="s">
        <v>17</v>
      </c>
      <c r="I37" s="20" t="s">
        <v>14</v>
      </c>
      <c r="J37" s="20" t="s">
        <v>15</v>
      </c>
      <c r="K37" s="20" t="s">
        <v>15</v>
      </c>
      <c r="L37" s="20" t="s">
        <v>15</v>
      </c>
      <c r="M37" s="20" t="s">
        <v>16</v>
      </c>
      <c r="N37" s="20" t="s">
        <v>17</v>
      </c>
      <c r="O37" s="20" t="s">
        <v>17</v>
      </c>
      <c r="P37" s="20" t="s">
        <v>17</v>
      </c>
      <c r="Q37" s="20" t="s">
        <v>14</v>
      </c>
      <c r="R37" s="20" t="s">
        <v>14</v>
      </c>
      <c r="S37" s="20" t="s">
        <v>15</v>
      </c>
      <c r="T37" s="23" t="s">
        <v>20</v>
      </c>
      <c r="U37" s="20" t="s">
        <v>16</v>
      </c>
      <c r="V37" s="20" t="s">
        <v>17</v>
      </c>
      <c r="W37" s="20" t="s">
        <v>17</v>
      </c>
      <c r="X37" s="20" t="s">
        <v>17</v>
      </c>
      <c r="Y37" s="23" t="s">
        <v>20</v>
      </c>
      <c r="Z37" s="20" t="s">
        <v>14</v>
      </c>
      <c r="AA37" s="20" t="s">
        <v>15</v>
      </c>
      <c r="AB37" s="20" t="s">
        <v>15</v>
      </c>
      <c r="AC37" s="20" t="s">
        <v>16</v>
      </c>
      <c r="AD37" s="20" t="s">
        <v>17</v>
      </c>
      <c r="AE37" s="20" t="s">
        <v>17</v>
      </c>
      <c r="AF37" s="20" t="s">
        <v>17</v>
      </c>
      <c r="AG37" s="20" t="s">
        <v>14</v>
      </c>
      <c r="AH37" s="23" t="s">
        <v>20</v>
      </c>
    </row>
    <row r="38" spans="1:34" ht="15.75" x14ac:dyDescent="0.25">
      <c r="A38" s="49" t="s">
        <v>46</v>
      </c>
      <c r="B38" s="19" t="s">
        <v>54</v>
      </c>
      <c r="C38" s="19">
        <v>82664</v>
      </c>
      <c r="D38" s="20" t="s">
        <v>15</v>
      </c>
      <c r="E38" s="20" t="s">
        <v>16</v>
      </c>
      <c r="F38" s="20" t="s">
        <v>17</v>
      </c>
      <c r="G38" s="20" t="s">
        <v>17</v>
      </c>
      <c r="H38" s="20" t="s">
        <v>17</v>
      </c>
      <c r="I38" s="20" t="s">
        <v>14</v>
      </c>
      <c r="J38" s="20" t="s">
        <v>14</v>
      </c>
      <c r="K38" s="20" t="s">
        <v>15</v>
      </c>
      <c r="L38" s="20" t="s">
        <v>15</v>
      </c>
      <c r="M38" s="20" t="s">
        <v>16</v>
      </c>
      <c r="N38" s="20" t="s">
        <v>17</v>
      </c>
      <c r="O38" s="20" t="s">
        <v>17</v>
      </c>
      <c r="P38" s="20" t="s">
        <v>17</v>
      </c>
      <c r="Q38" s="20" t="s">
        <v>14</v>
      </c>
      <c r="R38" s="20" t="s">
        <v>14</v>
      </c>
      <c r="S38" s="20" t="s">
        <v>15</v>
      </c>
      <c r="T38" s="20" t="s">
        <v>15</v>
      </c>
      <c r="U38" s="20" t="s">
        <v>16</v>
      </c>
      <c r="V38" s="20" t="s">
        <v>17</v>
      </c>
      <c r="W38" s="20" t="s">
        <v>17</v>
      </c>
      <c r="X38" s="20" t="s">
        <v>17</v>
      </c>
      <c r="Y38" s="20" t="s">
        <v>14</v>
      </c>
      <c r="Z38" s="20" t="s">
        <v>14</v>
      </c>
      <c r="AA38" s="20" t="s">
        <v>15</v>
      </c>
      <c r="AB38" s="20" t="s">
        <v>15</v>
      </c>
      <c r="AC38" s="20" t="s">
        <v>16</v>
      </c>
      <c r="AD38" s="20" t="s">
        <v>17</v>
      </c>
      <c r="AE38" s="20" t="s">
        <v>17</v>
      </c>
      <c r="AF38" s="20" t="s">
        <v>17</v>
      </c>
      <c r="AG38" s="24" t="s">
        <v>23</v>
      </c>
      <c r="AH38" s="24" t="s">
        <v>23</v>
      </c>
    </row>
    <row r="39" spans="1:34" ht="15.75" x14ac:dyDescent="0.25">
      <c r="A39" s="51" t="s">
        <v>46</v>
      </c>
      <c r="B39" s="22" t="s">
        <v>55</v>
      </c>
      <c r="C39" s="22">
        <v>82452</v>
      </c>
      <c r="D39" s="20" t="s">
        <v>16</v>
      </c>
      <c r="E39" s="20" t="s">
        <v>17</v>
      </c>
      <c r="F39" s="20" t="s">
        <v>17</v>
      </c>
      <c r="G39" s="20" t="s">
        <v>17</v>
      </c>
      <c r="H39" s="20" t="s">
        <v>14</v>
      </c>
      <c r="I39" s="20" t="s">
        <v>14</v>
      </c>
      <c r="J39" s="20" t="s">
        <v>14</v>
      </c>
      <c r="K39" s="23" t="s">
        <v>20</v>
      </c>
      <c r="L39" s="20" t="s">
        <v>16</v>
      </c>
      <c r="M39" s="20" t="s">
        <v>17</v>
      </c>
      <c r="N39" s="20" t="s">
        <v>17</v>
      </c>
      <c r="O39" s="20" t="s">
        <v>17</v>
      </c>
      <c r="P39" s="20" t="s">
        <v>14</v>
      </c>
      <c r="Q39" s="20" t="s">
        <v>15</v>
      </c>
      <c r="R39" s="20" t="s">
        <v>15</v>
      </c>
      <c r="S39" s="20" t="s">
        <v>16</v>
      </c>
      <c r="T39" s="20" t="s">
        <v>16</v>
      </c>
      <c r="U39" s="20" t="s">
        <v>17</v>
      </c>
      <c r="V39" s="20" t="s">
        <v>17</v>
      </c>
      <c r="W39" s="20" t="s">
        <v>17</v>
      </c>
      <c r="X39" s="20" t="s">
        <v>14</v>
      </c>
      <c r="Y39" s="20" t="s">
        <v>15</v>
      </c>
      <c r="Z39" s="20" t="s">
        <v>15</v>
      </c>
      <c r="AA39" s="23" t="s">
        <v>20</v>
      </c>
      <c r="AB39" s="20" t="s">
        <v>16</v>
      </c>
      <c r="AC39" s="20" t="s">
        <v>17</v>
      </c>
      <c r="AD39" s="20" t="s">
        <v>17</v>
      </c>
      <c r="AE39" s="20" t="s">
        <v>17</v>
      </c>
      <c r="AF39" s="24" t="s">
        <v>23</v>
      </c>
      <c r="AG39" s="24" t="s">
        <v>23</v>
      </c>
      <c r="AH39" s="24" t="s">
        <v>23</v>
      </c>
    </row>
    <row r="40" spans="1:34" ht="15.75" x14ac:dyDescent="0.25">
      <c r="A40" s="51" t="s">
        <v>46</v>
      </c>
      <c r="B40" s="22" t="s">
        <v>56</v>
      </c>
      <c r="C40" s="22">
        <v>82444</v>
      </c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4"/>
      <c r="Q40" s="20" t="s">
        <v>15</v>
      </c>
      <c r="R40" s="20" t="s">
        <v>15</v>
      </c>
      <c r="S40" s="20" t="s">
        <v>16</v>
      </c>
      <c r="T40" s="20" t="s">
        <v>16</v>
      </c>
      <c r="U40" s="20" t="s">
        <v>17</v>
      </c>
      <c r="V40" s="20" t="s">
        <v>17</v>
      </c>
      <c r="W40" s="20" t="s">
        <v>17</v>
      </c>
      <c r="X40" s="20" t="s">
        <v>14</v>
      </c>
      <c r="Y40" s="20" t="s">
        <v>15</v>
      </c>
      <c r="Z40" s="20" t="s">
        <v>15</v>
      </c>
      <c r="AA40" s="20" t="s">
        <v>16</v>
      </c>
      <c r="AB40" s="20" t="s">
        <v>16</v>
      </c>
      <c r="AC40" s="20" t="s">
        <v>17</v>
      </c>
      <c r="AD40" s="20" t="s">
        <v>17</v>
      </c>
      <c r="AE40" s="20" t="s">
        <v>17</v>
      </c>
      <c r="AF40" s="20" t="s">
        <v>14</v>
      </c>
      <c r="AG40" s="20" t="s">
        <v>15</v>
      </c>
      <c r="AH40" s="20" t="s">
        <v>15</v>
      </c>
    </row>
    <row r="41" spans="1:34" ht="15.75" x14ac:dyDescent="0.25">
      <c r="A41" s="51" t="s">
        <v>46</v>
      </c>
      <c r="B41" s="22" t="s">
        <v>57</v>
      </c>
      <c r="C41" s="22">
        <v>82476</v>
      </c>
      <c r="D41" s="20" t="s">
        <v>17</v>
      </c>
      <c r="E41" s="20" t="s">
        <v>17</v>
      </c>
      <c r="F41" s="20" t="s">
        <v>17</v>
      </c>
      <c r="G41" s="20" t="s">
        <v>14</v>
      </c>
      <c r="H41" s="20" t="s">
        <v>14</v>
      </c>
      <c r="I41" s="20" t="s">
        <v>15</v>
      </c>
      <c r="J41" s="20" t="s">
        <v>16</v>
      </c>
      <c r="K41" s="20" t="s">
        <v>16</v>
      </c>
      <c r="L41" s="20" t="s">
        <v>17</v>
      </c>
      <c r="M41" s="20" t="s">
        <v>17</v>
      </c>
      <c r="N41" s="20" t="s">
        <v>17</v>
      </c>
      <c r="O41" s="24" t="s">
        <v>23</v>
      </c>
      <c r="P41" s="24" t="s">
        <v>23</v>
      </c>
      <c r="Q41" s="24" t="s">
        <v>23</v>
      </c>
      <c r="R41" s="24" t="s">
        <v>23</v>
      </c>
      <c r="S41" s="24" t="s">
        <v>23</v>
      </c>
      <c r="T41" s="20" t="s">
        <v>17</v>
      </c>
      <c r="U41" s="20" t="s">
        <v>17</v>
      </c>
      <c r="V41" s="20" t="s">
        <v>17</v>
      </c>
      <c r="W41" s="20" t="s">
        <v>14</v>
      </c>
      <c r="X41" s="20" t="s">
        <v>15</v>
      </c>
      <c r="Y41" s="20" t="s">
        <v>15</v>
      </c>
      <c r="Z41" s="20" t="s">
        <v>16</v>
      </c>
      <c r="AA41" s="20" t="s">
        <v>16</v>
      </c>
      <c r="AB41" s="20" t="s">
        <v>17</v>
      </c>
      <c r="AC41" s="20" t="s">
        <v>17</v>
      </c>
      <c r="AD41" s="20" t="s">
        <v>17</v>
      </c>
      <c r="AE41" s="20" t="s">
        <v>14</v>
      </c>
      <c r="AF41" s="20" t="s">
        <v>15</v>
      </c>
      <c r="AG41" s="20" t="s">
        <v>15</v>
      </c>
      <c r="AH41" s="20" t="s">
        <v>16</v>
      </c>
    </row>
    <row r="42" spans="1:34" ht="15.75" x14ac:dyDescent="0.25">
      <c r="A42" s="49" t="s">
        <v>46</v>
      </c>
      <c r="B42" s="19" t="s">
        <v>58</v>
      </c>
      <c r="C42" s="19">
        <v>82460</v>
      </c>
      <c r="D42" s="20" t="s">
        <v>14</v>
      </c>
      <c r="E42" s="20" t="s">
        <v>15</v>
      </c>
      <c r="F42" s="20" t="s">
        <v>16</v>
      </c>
      <c r="G42" s="20" t="s">
        <v>16</v>
      </c>
      <c r="H42" s="20" t="s">
        <v>17</v>
      </c>
      <c r="I42" s="20" t="s">
        <v>17</v>
      </c>
      <c r="J42" s="20" t="s">
        <v>17</v>
      </c>
      <c r="K42" s="23" t="s">
        <v>20</v>
      </c>
      <c r="L42" s="20" t="s">
        <v>16</v>
      </c>
      <c r="M42" s="20" t="s">
        <v>15</v>
      </c>
      <c r="N42" s="20" t="s">
        <v>16</v>
      </c>
      <c r="O42" s="20" t="s">
        <v>16</v>
      </c>
      <c r="P42" s="20" t="s">
        <v>17</v>
      </c>
      <c r="Q42" s="20" t="s">
        <v>17</v>
      </c>
      <c r="R42" s="20" t="s">
        <v>17</v>
      </c>
      <c r="S42" s="24" t="s">
        <v>23</v>
      </c>
      <c r="T42" s="24" t="s">
        <v>23</v>
      </c>
      <c r="U42" s="24" t="s">
        <v>23</v>
      </c>
      <c r="V42" s="24" t="s">
        <v>23</v>
      </c>
      <c r="W42" s="24" t="s">
        <v>23</v>
      </c>
      <c r="X42" s="20" t="s">
        <v>17</v>
      </c>
      <c r="Y42" s="20" t="s">
        <v>17</v>
      </c>
      <c r="Z42" s="20" t="s">
        <v>17</v>
      </c>
      <c r="AA42" s="20" t="s">
        <v>14</v>
      </c>
      <c r="AB42" s="20" t="s">
        <v>15</v>
      </c>
      <c r="AC42" s="20" t="s">
        <v>15</v>
      </c>
      <c r="AD42" s="20" t="s">
        <v>16</v>
      </c>
      <c r="AE42" s="20" t="s">
        <v>16</v>
      </c>
      <c r="AF42" s="20" t="s">
        <v>17</v>
      </c>
      <c r="AG42" s="20" t="s">
        <v>17</v>
      </c>
      <c r="AH42" s="20" t="s">
        <v>17</v>
      </c>
    </row>
    <row r="43" spans="1:34" ht="15.75" x14ac:dyDescent="0.25">
      <c r="A43" s="49" t="s">
        <v>46</v>
      </c>
      <c r="B43" s="19" t="s">
        <v>59</v>
      </c>
      <c r="C43" s="19">
        <v>82665</v>
      </c>
      <c r="D43" s="20" t="s">
        <v>15</v>
      </c>
      <c r="E43" s="20" t="s">
        <v>15</v>
      </c>
      <c r="F43" s="23" t="s">
        <v>20</v>
      </c>
      <c r="G43" s="23" t="s">
        <v>20</v>
      </c>
      <c r="H43" s="20" t="s">
        <v>17</v>
      </c>
      <c r="I43" s="20" t="s">
        <v>17</v>
      </c>
      <c r="J43" s="20" t="s">
        <v>17</v>
      </c>
      <c r="K43" s="24" t="s">
        <v>23</v>
      </c>
      <c r="L43" s="24" t="s">
        <v>23</v>
      </c>
      <c r="M43" s="24" t="s">
        <v>23</v>
      </c>
      <c r="N43" s="24" t="s">
        <v>23</v>
      </c>
      <c r="O43" s="24" t="s">
        <v>23</v>
      </c>
      <c r="P43" s="20" t="s">
        <v>17</v>
      </c>
      <c r="Q43" s="20" t="s">
        <v>17</v>
      </c>
      <c r="R43" s="20" t="s">
        <v>17</v>
      </c>
      <c r="S43" s="20" t="s">
        <v>14</v>
      </c>
      <c r="T43" s="20" t="s">
        <v>15</v>
      </c>
      <c r="U43" s="20" t="s">
        <v>15</v>
      </c>
      <c r="V43" s="20" t="s">
        <v>16</v>
      </c>
      <c r="W43" s="20" t="s">
        <v>16</v>
      </c>
      <c r="X43" s="20" t="s">
        <v>17</v>
      </c>
      <c r="Y43" s="20" t="s">
        <v>17</v>
      </c>
      <c r="Z43" s="20" t="s">
        <v>17</v>
      </c>
      <c r="AA43" s="20" t="s">
        <v>14</v>
      </c>
      <c r="AB43" s="20" t="s">
        <v>14</v>
      </c>
      <c r="AC43" s="20" t="s">
        <v>15</v>
      </c>
      <c r="AD43" s="20" t="s">
        <v>16</v>
      </c>
      <c r="AE43" s="20" t="s">
        <v>16</v>
      </c>
      <c r="AF43" s="20" t="s">
        <v>17</v>
      </c>
      <c r="AG43" s="20" t="s">
        <v>17</v>
      </c>
      <c r="AH43" s="20" t="s">
        <v>17</v>
      </c>
    </row>
    <row r="44" spans="1:34" ht="15.75" x14ac:dyDescent="0.25">
      <c r="A44" s="51" t="s">
        <v>46</v>
      </c>
      <c r="B44" s="22" t="s">
        <v>60</v>
      </c>
      <c r="C44" s="22">
        <v>82100</v>
      </c>
      <c r="D44" s="20" t="s">
        <v>17</v>
      </c>
      <c r="E44" s="20" t="s">
        <v>17</v>
      </c>
      <c r="F44" s="20" t="s">
        <v>14</v>
      </c>
      <c r="G44" s="20" t="s">
        <v>15</v>
      </c>
      <c r="H44" s="20" t="s">
        <v>15</v>
      </c>
      <c r="I44" s="20" t="s">
        <v>16</v>
      </c>
      <c r="J44" s="20" t="s">
        <v>16</v>
      </c>
      <c r="K44" s="20" t="s">
        <v>17</v>
      </c>
      <c r="L44" s="20" t="s">
        <v>17</v>
      </c>
      <c r="M44" s="20" t="s">
        <v>17</v>
      </c>
      <c r="N44" s="20" t="s">
        <v>14</v>
      </c>
      <c r="O44" s="20" t="s">
        <v>14</v>
      </c>
      <c r="P44" s="20" t="s">
        <v>15</v>
      </c>
      <c r="Q44" s="20" t="s">
        <v>16</v>
      </c>
      <c r="R44" s="20" t="s">
        <v>16</v>
      </c>
      <c r="S44" s="20" t="s">
        <v>17</v>
      </c>
      <c r="T44" s="20" t="s">
        <v>17</v>
      </c>
      <c r="U44" s="20" t="s">
        <v>17</v>
      </c>
      <c r="V44" s="20" t="s">
        <v>14</v>
      </c>
      <c r="W44" s="20" t="s">
        <v>14</v>
      </c>
      <c r="X44" s="20" t="s">
        <v>15</v>
      </c>
      <c r="Y44" s="23" t="s">
        <v>20</v>
      </c>
      <c r="Z44" s="20" t="s">
        <v>16</v>
      </c>
      <c r="AA44" s="20" t="s">
        <v>17</v>
      </c>
      <c r="AB44" s="20" t="s">
        <v>17</v>
      </c>
      <c r="AC44" s="20" t="s">
        <v>17</v>
      </c>
      <c r="AD44" s="20" t="s">
        <v>14</v>
      </c>
      <c r="AE44" s="20" t="s">
        <v>14</v>
      </c>
      <c r="AF44" s="20" t="s">
        <v>15</v>
      </c>
      <c r="AG44" s="20" t="s">
        <v>16</v>
      </c>
      <c r="AH44" s="20" t="s">
        <v>16</v>
      </c>
    </row>
    <row r="45" spans="1:34" ht="15.75" x14ac:dyDescent="0.25">
      <c r="A45" s="51" t="s">
        <v>46</v>
      </c>
      <c r="B45" s="22" t="s">
        <v>61</v>
      </c>
      <c r="C45" s="22">
        <v>82590</v>
      </c>
      <c r="D45" s="20" t="s">
        <v>17</v>
      </c>
      <c r="E45" s="20" t="s">
        <v>17</v>
      </c>
      <c r="F45" s="23" t="s">
        <v>20</v>
      </c>
      <c r="G45" s="23" t="s">
        <v>20</v>
      </c>
      <c r="H45" s="20" t="s">
        <v>15</v>
      </c>
      <c r="I45" s="20" t="s">
        <v>16</v>
      </c>
      <c r="J45" s="20" t="s">
        <v>16</v>
      </c>
      <c r="K45" s="20" t="s">
        <v>17</v>
      </c>
      <c r="L45" s="20" t="s">
        <v>17</v>
      </c>
      <c r="M45" s="20" t="s">
        <v>17</v>
      </c>
      <c r="N45" s="20" t="s">
        <v>14</v>
      </c>
      <c r="O45" s="20" t="s">
        <v>14</v>
      </c>
      <c r="P45" s="20" t="s">
        <v>15</v>
      </c>
      <c r="Q45" s="20" t="s">
        <v>16</v>
      </c>
      <c r="R45" s="20" t="s">
        <v>16</v>
      </c>
      <c r="S45" s="20" t="s">
        <v>17</v>
      </c>
      <c r="T45" s="20" t="s">
        <v>17</v>
      </c>
      <c r="U45" s="20" t="s">
        <v>17</v>
      </c>
      <c r="V45" s="20" t="s">
        <v>14</v>
      </c>
      <c r="W45" s="20" t="s">
        <v>14</v>
      </c>
      <c r="X45" s="20" t="s">
        <v>15</v>
      </c>
      <c r="Y45" s="20" t="s">
        <v>16</v>
      </c>
      <c r="Z45" s="20" t="s">
        <v>16</v>
      </c>
      <c r="AA45" s="20" t="s">
        <v>17</v>
      </c>
      <c r="AB45" s="20" t="s">
        <v>17</v>
      </c>
      <c r="AC45" s="20" t="s">
        <v>17</v>
      </c>
      <c r="AD45" s="20" t="s">
        <v>14</v>
      </c>
      <c r="AE45" s="20" t="s">
        <v>15</v>
      </c>
      <c r="AF45" s="20" t="s">
        <v>62</v>
      </c>
      <c r="AG45" s="20" t="s">
        <v>16</v>
      </c>
      <c r="AH45" s="20" t="s">
        <v>16</v>
      </c>
    </row>
    <row r="46" spans="1:34" x14ac:dyDescent="0.25">
      <c r="A46" s="55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7"/>
    </row>
    <row r="47" spans="1:34" ht="21" x14ac:dyDescent="0.25">
      <c r="A47" s="35">
        <v>13</v>
      </c>
      <c r="B47" s="36" t="s">
        <v>43</v>
      </c>
      <c r="C47" s="37"/>
      <c r="D47" s="38">
        <f>COUNTIF(D33:D45,"M*")</f>
        <v>5</v>
      </c>
      <c r="E47" s="38">
        <f t="shared" ref="E47:AH47" si="3">COUNTIF(E33:E45,"M*")</f>
        <v>3</v>
      </c>
      <c r="F47" s="38">
        <f t="shared" si="3"/>
        <v>3</v>
      </c>
      <c r="G47" s="38">
        <f t="shared" si="3"/>
        <v>3</v>
      </c>
      <c r="H47" s="38">
        <f t="shared" si="3"/>
        <v>2</v>
      </c>
      <c r="I47" s="38">
        <f t="shared" si="3"/>
        <v>3</v>
      </c>
      <c r="J47" s="38">
        <f t="shared" si="3"/>
        <v>4</v>
      </c>
      <c r="K47" s="38">
        <f t="shared" si="3"/>
        <v>2</v>
      </c>
      <c r="L47" s="38">
        <f t="shared" si="3"/>
        <v>3</v>
      </c>
      <c r="M47" s="38">
        <f t="shared" si="3"/>
        <v>3</v>
      </c>
      <c r="N47" s="38">
        <f t="shared" si="3"/>
        <v>4</v>
      </c>
      <c r="O47" s="38">
        <f t="shared" si="3"/>
        <v>2</v>
      </c>
      <c r="P47" s="38">
        <f t="shared" si="3"/>
        <v>1</v>
      </c>
      <c r="Q47" s="38">
        <f t="shared" si="3"/>
        <v>4</v>
      </c>
      <c r="R47" s="38">
        <f t="shared" si="3"/>
        <v>4</v>
      </c>
      <c r="S47" s="38">
        <f t="shared" si="3"/>
        <v>3</v>
      </c>
      <c r="T47" s="38">
        <f t="shared" si="3"/>
        <v>3</v>
      </c>
      <c r="U47" s="38">
        <f t="shared" si="3"/>
        <v>3</v>
      </c>
      <c r="V47" s="38">
        <f t="shared" si="3"/>
        <v>2</v>
      </c>
      <c r="W47" s="38">
        <f t="shared" si="3"/>
        <v>3</v>
      </c>
      <c r="X47" s="38">
        <f t="shared" si="3"/>
        <v>4</v>
      </c>
      <c r="Y47" s="38">
        <f t="shared" si="3"/>
        <v>3</v>
      </c>
      <c r="Z47" s="38">
        <f t="shared" si="3"/>
        <v>4</v>
      </c>
      <c r="AA47" s="38">
        <f t="shared" si="3"/>
        <v>3</v>
      </c>
      <c r="AB47" s="38">
        <f t="shared" si="3"/>
        <v>4</v>
      </c>
      <c r="AC47" s="38">
        <f t="shared" si="3"/>
        <v>1</v>
      </c>
      <c r="AD47" s="38">
        <f t="shared" si="3"/>
        <v>2</v>
      </c>
      <c r="AE47" s="38">
        <f t="shared" si="3"/>
        <v>4</v>
      </c>
      <c r="AF47" s="38">
        <f t="shared" si="3"/>
        <v>2</v>
      </c>
      <c r="AG47" s="38">
        <f t="shared" si="3"/>
        <v>3</v>
      </c>
      <c r="AH47" s="38">
        <f t="shared" si="3"/>
        <v>1</v>
      </c>
    </row>
    <row r="48" spans="1:34" ht="21" x14ac:dyDescent="0.25">
      <c r="A48" s="39"/>
      <c r="B48" s="40" t="s">
        <v>44</v>
      </c>
      <c r="C48" s="41"/>
      <c r="D48" s="42">
        <f>COUNTIF(D33:D45,"A*")</f>
        <v>3</v>
      </c>
      <c r="E48" s="42">
        <f t="shared" ref="E48:AH48" si="4">COUNTIF(E33:E45,"A*")</f>
        <v>3</v>
      </c>
      <c r="F48" s="42">
        <f t="shared" si="4"/>
        <v>2</v>
      </c>
      <c r="G48" s="42">
        <f t="shared" si="4"/>
        <v>3</v>
      </c>
      <c r="H48" s="42">
        <f t="shared" si="4"/>
        <v>2</v>
      </c>
      <c r="I48" s="42">
        <f t="shared" si="4"/>
        <v>1</v>
      </c>
      <c r="J48" s="42">
        <f t="shared" si="4"/>
        <v>1</v>
      </c>
      <c r="K48" s="42">
        <f t="shared" si="4"/>
        <v>2</v>
      </c>
      <c r="L48" s="42">
        <f t="shared" si="4"/>
        <v>2</v>
      </c>
      <c r="M48" s="42">
        <f t="shared" si="4"/>
        <v>1</v>
      </c>
      <c r="N48" s="42">
        <f t="shared" si="4"/>
        <v>2</v>
      </c>
      <c r="O48" s="42">
        <f t="shared" si="4"/>
        <v>2</v>
      </c>
      <c r="P48" s="42">
        <f t="shared" si="4"/>
        <v>2</v>
      </c>
      <c r="Q48" s="42">
        <f t="shared" si="4"/>
        <v>2</v>
      </c>
      <c r="R48" s="42">
        <f t="shared" si="4"/>
        <v>2</v>
      </c>
      <c r="S48" s="42">
        <f t="shared" si="4"/>
        <v>2</v>
      </c>
      <c r="T48" s="42">
        <f t="shared" si="4"/>
        <v>2</v>
      </c>
      <c r="U48" s="42">
        <f t="shared" si="4"/>
        <v>1</v>
      </c>
      <c r="V48" s="42">
        <f t="shared" si="4"/>
        <v>1</v>
      </c>
      <c r="W48" s="42">
        <f t="shared" si="4"/>
        <v>1</v>
      </c>
      <c r="X48" s="42">
        <f t="shared" si="4"/>
        <v>3</v>
      </c>
      <c r="Y48" s="42">
        <f t="shared" si="4"/>
        <v>3</v>
      </c>
      <c r="Z48" s="42">
        <f t="shared" si="4"/>
        <v>2</v>
      </c>
      <c r="AA48" s="42">
        <f t="shared" si="4"/>
        <v>2</v>
      </c>
      <c r="AB48" s="42">
        <f t="shared" si="4"/>
        <v>3</v>
      </c>
      <c r="AC48" s="42">
        <f t="shared" si="4"/>
        <v>2</v>
      </c>
      <c r="AD48" s="42">
        <f t="shared" si="4"/>
        <v>1</v>
      </c>
      <c r="AE48" s="42">
        <f t="shared" si="4"/>
        <v>2</v>
      </c>
      <c r="AF48" s="42">
        <f t="shared" si="4"/>
        <v>2</v>
      </c>
      <c r="AG48" s="42">
        <f t="shared" si="4"/>
        <v>2</v>
      </c>
      <c r="AH48" s="42">
        <f t="shared" si="4"/>
        <v>1</v>
      </c>
    </row>
    <row r="49" spans="1:34" ht="21" x14ac:dyDescent="0.25">
      <c r="A49" s="43"/>
      <c r="B49" s="44" t="s">
        <v>45</v>
      </c>
      <c r="C49" s="45"/>
      <c r="D49" s="46">
        <f>COUNTIF(D33:D45,"A*")</f>
        <v>3</v>
      </c>
      <c r="E49" s="46">
        <f>COUNTIF(E33:E45,"A*")</f>
        <v>3</v>
      </c>
      <c r="F49" s="46">
        <f t="shared" ref="F49:AH49" si="5">COUNTIF(F33:F45,"A*")</f>
        <v>2</v>
      </c>
      <c r="G49" s="46">
        <f t="shared" si="5"/>
        <v>3</v>
      </c>
      <c r="H49" s="46">
        <f t="shared" si="5"/>
        <v>2</v>
      </c>
      <c r="I49" s="46">
        <f t="shared" si="5"/>
        <v>1</v>
      </c>
      <c r="J49" s="46">
        <f t="shared" si="5"/>
        <v>1</v>
      </c>
      <c r="K49" s="46">
        <f t="shared" si="5"/>
        <v>2</v>
      </c>
      <c r="L49" s="46">
        <f t="shared" si="5"/>
        <v>2</v>
      </c>
      <c r="M49" s="46">
        <f t="shared" si="5"/>
        <v>1</v>
      </c>
      <c r="N49" s="46">
        <f t="shared" si="5"/>
        <v>2</v>
      </c>
      <c r="O49" s="46">
        <f t="shared" si="5"/>
        <v>2</v>
      </c>
      <c r="P49" s="46">
        <f t="shared" si="5"/>
        <v>2</v>
      </c>
      <c r="Q49" s="46">
        <f t="shared" si="5"/>
        <v>2</v>
      </c>
      <c r="R49" s="46">
        <f t="shared" si="5"/>
        <v>2</v>
      </c>
      <c r="S49" s="46">
        <f t="shared" si="5"/>
        <v>2</v>
      </c>
      <c r="T49" s="46">
        <f t="shared" si="5"/>
        <v>2</v>
      </c>
      <c r="U49" s="46">
        <f t="shared" si="5"/>
        <v>1</v>
      </c>
      <c r="V49" s="46">
        <f t="shared" si="5"/>
        <v>1</v>
      </c>
      <c r="W49" s="46">
        <f t="shared" si="5"/>
        <v>1</v>
      </c>
      <c r="X49" s="46">
        <f t="shared" si="5"/>
        <v>3</v>
      </c>
      <c r="Y49" s="46">
        <f t="shared" si="5"/>
        <v>3</v>
      </c>
      <c r="Z49" s="46">
        <f t="shared" si="5"/>
        <v>2</v>
      </c>
      <c r="AA49" s="46">
        <f t="shared" si="5"/>
        <v>2</v>
      </c>
      <c r="AB49" s="46">
        <f t="shared" si="5"/>
        <v>3</v>
      </c>
      <c r="AC49" s="46">
        <f t="shared" si="5"/>
        <v>2</v>
      </c>
      <c r="AD49" s="46">
        <f t="shared" si="5"/>
        <v>1</v>
      </c>
      <c r="AE49" s="46">
        <f t="shared" si="5"/>
        <v>2</v>
      </c>
      <c r="AF49" s="46">
        <f t="shared" si="5"/>
        <v>2</v>
      </c>
      <c r="AG49" s="46">
        <f t="shared" si="5"/>
        <v>2</v>
      </c>
      <c r="AH49" s="46">
        <f t="shared" si="5"/>
        <v>1</v>
      </c>
    </row>
    <row r="50" spans="1:34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60"/>
    </row>
    <row r="51" spans="1:34" ht="15.75" x14ac:dyDescent="0.25">
      <c r="A51" s="18" t="s">
        <v>63</v>
      </c>
      <c r="B51" s="19" t="s">
        <v>64</v>
      </c>
      <c r="C51" s="19">
        <v>82583</v>
      </c>
      <c r="D51" s="24" t="s">
        <v>23</v>
      </c>
      <c r="E51" s="24" t="s">
        <v>23</v>
      </c>
      <c r="F51" s="20" t="s">
        <v>15</v>
      </c>
      <c r="G51" s="20" t="s">
        <v>15</v>
      </c>
      <c r="H51" s="20" t="s">
        <v>16</v>
      </c>
      <c r="I51" s="20" t="s">
        <v>17</v>
      </c>
      <c r="J51" s="20" t="s">
        <v>17</v>
      </c>
      <c r="K51" s="20" t="s">
        <v>17</v>
      </c>
      <c r="L51" s="20" t="s">
        <v>14</v>
      </c>
      <c r="M51" s="20" t="s">
        <v>14</v>
      </c>
      <c r="N51" s="20" t="s">
        <v>15</v>
      </c>
      <c r="O51" s="20" t="s">
        <v>15</v>
      </c>
      <c r="P51" s="20" t="s">
        <v>16</v>
      </c>
      <c r="Q51" s="20" t="s">
        <v>17</v>
      </c>
      <c r="R51" s="20" t="s">
        <v>17</v>
      </c>
      <c r="S51" s="20" t="s">
        <v>17</v>
      </c>
      <c r="T51" s="20" t="s">
        <v>14</v>
      </c>
      <c r="U51" s="20" t="s">
        <v>14</v>
      </c>
      <c r="V51" s="20" t="s">
        <v>15</v>
      </c>
      <c r="W51" s="20" t="s">
        <v>15</v>
      </c>
      <c r="X51" s="20" t="s">
        <v>16</v>
      </c>
      <c r="Y51" s="20" t="s">
        <v>17</v>
      </c>
      <c r="Z51" s="20" t="s">
        <v>17</v>
      </c>
      <c r="AA51" s="20" t="s">
        <v>17</v>
      </c>
      <c r="AB51" s="20" t="s">
        <v>14</v>
      </c>
      <c r="AC51" s="20" t="s">
        <v>14</v>
      </c>
      <c r="AD51" s="20" t="s">
        <v>15</v>
      </c>
      <c r="AE51" s="20" t="s">
        <v>15</v>
      </c>
      <c r="AF51" s="20" t="s">
        <v>16</v>
      </c>
      <c r="AG51" s="20" t="s">
        <v>17</v>
      </c>
      <c r="AH51" s="20" t="s">
        <v>17</v>
      </c>
    </row>
    <row r="52" spans="1:34" ht="15.75" x14ac:dyDescent="0.25">
      <c r="A52" s="21" t="s">
        <v>63</v>
      </c>
      <c r="B52" s="22" t="s">
        <v>65</v>
      </c>
      <c r="C52" s="22">
        <v>80481</v>
      </c>
      <c r="D52" s="20" t="s">
        <v>15</v>
      </c>
      <c r="E52" s="20" t="s">
        <v>16</v>
      </c>
      <c r="F52" s="20" t="s">
        <v>17</v>
      </c>
      <c r="G52" s="20" t="s">
        <v>17</v>
      </c>
      <c r="H52" s="20" t="s">
        <v>17</v>
      </c>
      <c r="I52" s="20" t="s">
        <v>14</v>
      </c>
      <c r="J52" s="20" t="s">
        <v>14</v>
      </c>
      <c r="K52" s="20" t="s">
        <v>15</v>
      </c>
      <c r="L52" s="20" t="s">
        <v>15</v>
      </c>
      <c r="M52" s="20" t="s">
        <v>16</v>
      </c>
      <c r="N52" s="20" t="s">
        <v>17</v>
      </c>
      <c r="O52" s="20" t="s">
        <v>17</v>
      </c>
      <c r="P52" s="20" t="s">
        <v>17</v>
      </c>
      <c r="Q52" s="20" t="s">
        <v>14</v>
      </c>
      <c r="R52" s="20" t="s">
        <v>14</v>
      </c>
      <c r="S52" s="20" t="s">
        <v>15</v>
      </c>
      <c r="T52" s="20" t="s">
        <v>15</v>
      </c>
      <c r="U52" s="20" t="s">
        <v>16</v>
      </c>
      <c r="V52" s="20" t="s">
        <v>17</v>
      </c>
      <c r="W52" s="20" t="s">
        <v>17</v>
      </c>
      <c r="X52" s="20" t="s">
        <v>17</v>
      </c>
      <c r="Y52" s="20" t="s">
        <v>14</v>
      </c>
      <c r="Z52" s="20" t="s">
        <v>14</v>
      </c>
      <c r="AA52" s="20" t="s">
        <v>15</v>
      </c>
      <c r="AB52" s="20" t="s">
        <v>15</v>
      </c>
      <c r="AC52" s="20" t="s">
        <v>16</v>
      </c>
      <c r="AD52" s="20" t="s">
        <v>17</v>
      </c>
      <c r="AE52" s="20" t="s">
        <v>17</v>
      </c>
      <c r="AF52" s="20" t="s">
        <v>17</v>
      </c>
      <c r="AG52" s="20" t="s">
        <v>14</v>
      </c>
      <c r="AH52" s="20" t="s">
        <v>14</v>
      </c>
    </row>
    <row r="53" spans="1:34" ht="15.75" x14ac:dyDescent="0.25">
      <c r="A53" s="18" t="s">
        <v>63</v>
      </c>
      <c r="B53" s="19" t="s">
        <v>66</v>
      </c>
      <c r="C53" s="19">
        <v>81399</v>
      </c>
      <c r="D53" s="20" t="s">
        <v>16</v>
      </c>
      <c r="E53" s="20" t="s">
        <v>17</v>
      </c>
      <c r="F53" s="20" t="s">
        <v>17</v>
      </c>
      <c r="G53" s="20" t="s">
        <v>17</v>
      </c>
      <c r="H53" s="20" t="s">
        <v>14</v>
      </c>
      <c r="I53" s="20" t="s">
        <v>15</v>
      </c>
      <c r="J53" s="20" t="s">
        <v>15</v>
      </c>
      <c r="K53" s="20" t="s">
        <v>16</v>
      </c>
      <c r="L53" s="20" t="s">
        <v>16</v>
      </c>
      <c r="M53" s="20" t="s">
        <v>17</v>
      </c>
      <c r="N53" s="20" t="s">
        <v>17</v>
      </c>
      <c r="O53" s="20" t="s">
        <v>17</v>
      </c>
      <c r="P53" s="20" t="s">
        <v>14</v>
      </c>
      <c r="Q53" s="20" t="s">
        <v>15</v>
      </c>
      <c r="R53" s="20" t="s">
        <v>15</v>
      </c>
      <c r="S53" s="20" t="s">
        <v>16</v>
      </c>
      <c r="T53" s="20" t="s">
        <v>16</v>
      </c>
      <c r="U53" s="20" t="s">
        <v>17</v>
      </c>
      <c r="V53" s="20" t="s">
        <v>17</v>
      </c>
      <c r="W53" s="20" t="s">
        <v>17</v>
      </c>
      <c r="X53" s="20" t="s">
        <v>14</v>
      </c>
      <c r="Y53" s="23" t="s">
        <v>20</v>
      </c>
      <c r="Z53" s="20" t="s">
        <v>15</v>
      </c>
      <c r="AA53" s="20" t="s">
        <v>16</v>
      </c>
      <c r="AB53" s="20" t="s">
        <v>16</v>
      </c>
      <c r="AC53" s="20" t="s">
        <v>17</v>
      </c>
      <c r="AD53" s="20" t="s">
        <v>17</v>
      </c>
      <c r="AE53" s="20" t="s">
        <v>17</v>
      </c>
      <c r="AF53" s="20" t="s">
        <v>14</v>
      </c>
      <c r="AG53" s="20" t="s">
        <v>15</v>
      </c>
      <c r="AH53" s="20" t="s">
        <v>15</v>
      </c>
    </row>
    <row r="54" spans="1:34" ht="15.75" x14ac:dyDescent="0.25">
      <c r="A54" s="21" t="s">
        <v>63</v>
      </c>
      <c r="B54" s="22" t="s">
        <v>67</v>
      </c>
      <c r="C54" s="22">
        <v>80833</v>
      </c>
      <c r="D54" s="20" t="s">
        <v>14</v>
      </c>
      <c r="E54" s="20" t="s">
        <v>15</v>
      </c>
      <c r="F54" s="20" t="s">
        <v>16</v>
      </c>
      <c r="G54" s="20" t="s">
        <v>16</v>
      </c>
      <c r="H54" s="20" t="s">
        <v>17</v>
      </c>
      <c r="I54" s="20" t="s">
        <v>17</v>
      </c>
      <c r="J54" s="20" t="s">
        <v>17</v>
      </c>
      <c r="K54" s="20" t="s">
        <v>14</v>
      </c>
      <c r="L54" s="20" t="s">
        <v>14</v>
      </c>
      <c r="M54" s="20" t="s">
        <v>15</v>
      </c>
      <c r="N54" s="20" t="s">
        <v>16</v>
      </c>
      <c r="O54" s="20" t="s">
        <v>16</v>
      </c>
      <c r="P54" s="20" t="s">
        <v>17</v>
      </c>
      <c r="Q54" s="20" t="s">
        <v>17</v>
      </c>
      <c r="R54" s="20" t="s">
        <v>17</v>
      </c>
      <c r="S54" s="20" t="s">
        <v>14</v>
      </c>
      <c r="T54" s="20" t="s">
        <v>14</v>
      </c>
      <c r="U54" s="20" t="s">
        <v>15</v>
      </c>
      <c r="V54" s="20" t="s">
        <v>16</v>
      </c>
      <c r="W54" s="20" t="s">
        <v>16</v>
      </c>
      <c r="X54" s="20" t="s">
        <v>17</v>
      </c>
      <c r="Y54" s="20" t="s">
        <v>17</v>
      </c>
      <c r="Z54" s="20" t="s">
        <v>17</v>
      </c>
      <c r="AA54" s="20" t="s">
        <v>14</v>
      </c>
      <c r="AB54" s="20" t="s">
        <v>14</v>
      </c>
      <c r="AC54" s="20" t="s">
        <v>15</v>
      </c>
      <c r="AD54" s="20" t="s">
        <v>16</v>
      </c>
      <c r="AE54" s="20" t="s">
        <v>16</v>
      </c>
      <c r="AF54" s="20" t="s">
        <v>17</v>
      </c>
      <c r="AG54" s="20" t="s">
        <v>17</v>
      </c>
      <c r="AH54" s="20" t="s">
        <v>17</v>
      </c>
    </row>
    <row r="55" spans="1:34" ht="15.75" x14ac:dyDescent="0.25">
      <c r="A55" s="18" t="s">
        <v>63</v>
      </c>
      <c r="B55" s="19" t="s">
        <v>68</v>
      </c>
      <c r="C55" s="19">
        <v>82496</v>
      </c>
      <c r="D55" s="20" t="s">
        <v>17</v>
      </c>
      <c r="E55" s="20" t="s">
        <v>17</v>
      </c>
      <c r="F55" s="20" t="s">
        <v>14</v>
      </c>
      <c r="G55" s="20" t="s">
        <v>14</v>
      </c>
      <c r="H55" s="20" t="s">
        <v>15</v>
      </c>
      <c r="I55" s="20" t="s">
        <v>16</v>
      </c>
      <c r="J55" s="20" t="s">
        <v>16</v>
      </c>
      <c r="K55" s="20" t="s">
        <v>17</v>
      </c>
      <c r="L55" s="20" t="s">
        <v>17</v>
      </c>
      <c r="M55" s="20" t="s">
        <v>17</v>
      </c>
      <c r="N55" s="23" t="s">
        <v>20</v>
      </c>
      <c r="O55" s="20" t="s">
        <v>14</v>
      </c>
      <c r="P55" s="20" t="s">
        <v>15</v>
      </c>
      <c r="Q55" s="20" t="s">
        <v>16</v>
      </c>
      <c r="R55" s="20" t="s">
        <v>16</v>
      </c>
      <c r="S55" s="20" t="s">
        <v>17</v>
      </c>
      <c r="T55" s="20" t="s">
        <v>17</v>
      </c>
      <c r="U55" s="20" t="s">
        <v>17</v>
      </c>
      <c r="V55" s="20" t="s">
        <v>14</v>
      </c>
      <c r="W55" s="20" t="s">
        <v>14</v>
      </c>
      <c r="X55" s="20" t="s">
        <v>15</v>
      </c>
      <c r="Y55" s="20" t="s">
        <v>16</v>
      </c>
      <c r="Z55" s="20" t="s">
        <v>16</v>
      </c>
      <c r="AA55" s="20" t="s">
        <v>17</v>
      </c>
      <c r="AB55" s="20" t="s">
        <v>17</v>
      </c>
      <c r="AC55" s="20" t="s">
        <v>17</v>
      </c>
      <c r="AD55" s="20" t="s">
        <v>14</v>
      </c>
      <c r="AE55" s="20" t="s">
        <v>14</v>
      </c>
      <c r="AF55" s="20" t="s">
        <v>15</v>
      </c>
      <c r="AG55" s="20" t="s">
        <v>16</v>
      </c>
      <c r="AH55" s="20" t="s">
        <v>16</v>
      </c>
    </row>
    <row r="56" spans="1:34" ht="15.75" x14ac:dyDescent="0.25">
      <c r="A56" s="51" t="s">
        <v>63</v>
      </c>
      <c r="B56" s="22" t="s">
        <v>69</v>
      </c>
      <c r="C56" s="22">
        <v>82286</v>
      </c>
      <c r="D56" s="20" t="s">
        <v>14</v>
      </c>
      <c r="E56" s="20" t="s">
        <v>14</v>
      </c>
      <c r="F56" s="20" t="s">
        <v>15</v>
      </c>
      <c r="G56" s="20" t="s">
        <v>16</v>
      </c>
      <c r="H56" s="20" t="s">
        <v>16</v>
      </c>
      <c r="I56" s="20" t="s">
        <v>17</v>
      </c>
      <c r="J56" s="20" t="s">
        <v>17</v>
      </c>
      <c r="K56" s="20" t="s">
        <v>17</v>
      </c>
      <c r="L56" s="20" t="s">
        <v>14</v>
      </c>
      <c r="M56" s="20" t="s">
        <v>14</v>
      </c>
      <c r="N56" s="23" t="s">
        <v>20</v>
      </c>
      <c r="O56" s="20" t="s">
        <v>15</v>
      </c>
      <c r="P56" s="20" t="s">
        <v>16</v>
      </c>
      <c r="Q56" s="20" t="s">
        <v>17</v>
      </c>
      <c r="R56" s="20" t="s">
        <v>17</v>
      </c>
      <c r="S56" s="20" t="s">
        <v>17</v>
      </c>
      <c r="T56" s="20" t="s">
        <v>14</v>
      </c>
      <c r="U56" s="20" t="s">
        <v>14</v>
      </c>
      <c r="V56" s="20" t="s">
        <v>15</v>
      </c>
      <c r="W56" s="20" t="s">
        <v>15</v>
      </c>
      <c r="X56" s="20" t="s">
        <v>16</v>
      </c>
      <c r="Y56" s="20" t="s">
        <v>17</v>
      </c>
      <c r="Z56" s="20" t="s">
        <v>17</v>
      </c>
      <c r="AA56" s="20" t="s">
        <v>17</v>
      </c>
      <c r="AB56" s="20" t="s">
        <v>14</v>
      </c>
      <c r="AC56" s="20" t="s">
        <v>14</v>
      </c>
      <c r="AD56" s="20" t="s">
        <v>15</v>
      </c>
      <c r="AE56" s="20" t="s">
        <v>15</v>
      </c>
      <c r="AF56" s="20" t="s">
        <v>16</v>
      </c>
      <c r="AG56" s="20" t="s">
        <v>17</v>
      </c>
      <c r="AH56" s="20" t="s">
        <v>17</v>
      </c>
    </row>
    <row r="57" spans="1:34" ht="15.75" x14ac:dyDescent="0.25">
      <c r="A57" s="61" t="s">
        <v>63</v>
      </c>
      <c r="B57" s="62" t="s">
        <v>70</v>
      </c>
      <c r="C57" s="62">
        <v>82559</v>
      </c>
      <c r="D57" s="20" t="s">
        <v>15</v>
      </c>
      <c r="E57" s="20" t="s">
        <v>15</v>
      </c>
      <c r="F57" s="20" t="s">
        <v>16</v>
      </c>
      <c r="G57" s="20" t="s">
        <v>16</v>
      </c>
      <c r="H57" s="20" t="s">
        <v>17</v>
      </c>
      <c r="I57" s="20" t="s">
        <v>17</v>
      </c>
      <c r="J57" s="20" t="s">
        <v>17</v>
      </c>
      <c r="K57" s="23" t="s">
        <v>20</v>
      </c>
      <c r="L57" s="20" t="s">
        <v>14</v>
      </c>
      <c r="M57" s="20" t="s">
        <v>15</v>
      </c>
      <c r="N57" s="20" t="s">
        <v>16</v>
      </c>
      <c r="O57" s="20" t="s">
        <v>16</v>
      </c>
      <c r="P57" s="20" t="s">
        <v>17</v>
      </c>
      <c r="Q57" s="20" t="s">
        <v>17</v>
      </c>
      <c r="R57" s="20" t="s">
        <v>17</v>
      </c>
      <c r="S57" s="20" t="s">
        <v>14</v>
      </c>
      <c r="T57" s="20" t="s">
        <v>14</v>
      </c>
      <c r="U57" s="20" t="s">
        <v>14</v>
      </c>
      <c r="V57" s="20" t="s">
        <v>15</v>
      </c>
      <c r="W57" s="20" t="s">
        <v>16</v>
      </c>
      <c r="X57" s="20" t="s">
        <v>17</v>
      </c>
      <c r="Y57" s="20" t="s">
        <v>17</v>
      </c>
      <c r="Z57" s="20" t="s">
        <v>17</v>
      </c>
      <c r="AA57" s="20" t="s">
        <v>14</v>
      </c>
      <c r="AB57" s="20" t="s">
        <v>14</v>
      </c>
      <c r="AC57" s="20" t="s">
        <v>15</v>
      </c>
      <c r="AD57" s="20" t="s">
        <v>16</v>
      </c>
      <c r="AE57" s="20" t="s">
        <v>16</v>
      </c>
      <c r="AF57" s="20" t="s">
        <v>17</v>
      </c>
      <c r="AG57" s="20" t="s">
        <v>17</v>
      </c>
      <c r="AH57" s="20" t="s">
        <v>17</v>
      </c>
    </row>
    <row r="58" spans="1:34" ht="15.75" x14ac:dyDescent="0.25">
      <c r="A58" s="51" t="s">
        <v>63</v>
      </c>
      <c r="B58" s="22" t="s">
        <v>71</v>
      </c>
      <c r="C58" s="22">
        <v>82455</v>
      </c>
      <c r="D58" s="20" t="s">
        <v>14</v>
      </c>
      <c r="E58" s="20" t="s">
        <v>15</v>
      </c>
      <c r="F58" s="20" t="s">
        <v>15</v>
      </c>
      <c r="G58" s="20" t="s">
        <v>16</v>
      </c>
      <c r="H58" s="20" t="s">
        <v>17</v>
      </c>
      <c r="I58" s="20" t="s">
        <v>17</v>
      </c>
      <c r="J58" s="20" t="s">
        <v>17</v>
      </c>
      <c r="K58" s="20" t="s">
        <v>14</v>
      </c>
      <c r="L58" s="20" t="s">
        <v>14</v>
      </c>
      <c r="M58" s="20" t="s">
        <v>14</v>
      </c>
      <c r="N58" s="20" t="s">
        <v>15</v>
      </c>
      <c r="O58" s="20" t="s">
        <v>16</v>
      </c>
      <c r="P58" s="20" t="s">
        <v>17</v>
      </c>
      <c r="Q58" s="20" t="s">
        <v>17</v>
      </c>
      <c r="R58" s="20" t="s">
        <v>17</v>
      </c>
      <c r="S58" s="20" t="s">
        <v>14</v>
      </c>
      <c r="T58" s="20" t="s">
        <v>14</v>
      </c>
      <c r="U58" s="20" t="s">
        <v>15</v>
      </c>
      <c r="V58" s="20" t="s">
        <v>15</v>
      </c>
      <c r="W58" s="20" t="s">
        <v>16</v>
      </c>
      <c r="X58" s="20" t="s">
        <v>17</v>
      </c>
      <c r="Y58" s="20" t="s">
        <v>17</v>
      </c>
      <c r="Z58" s="20" t="s">
        <v>17</v>
      </c>
      <c r="AA58" s="20" t="s">
        <v>14</v>
      </c>
      <c r="AB58" s="20" t="s">
        <v>14</v>
      </c>
      <c r="AC58" s="20" t="s">
        <v>14</v>
      </c>
      <c r="AD58" s="20" t="s">
        <v>15</v>
      </c>
      <c r="AE58" s="20" t="s">
        <v>16</v>
      </c>
      <c r="AF58" s="20" t="s">
        <v>17</v>
      </c>
      <c r="AG58" s="20" t="s">
        <v>17</v>
      </c>
      <c r="AH58" s="20" t="s">
        <v>17</v>
      </c>
    </row>
    <row r="59" spans="1:34" ht="15.75" x14ac:dyDescent="0.25">
      <c r="A59" s="51" t="s">
        <v>63</v>
      </c>
      <c r="B59" s="22" t="s">
        <v>72</v>
      </c>
      <c r="C59" s="22">
        <v>82667</v>
      </c>
      <c r="D59" s="20" t="s">
        <v>17</v>
      </c>
      <c r="E59" s="24" t="s">
        <v>23</v>
      </c>
      <c r="F59" s="24" t="s">
        <v>23</v>
      </c>
      <c r="G59" s="24" t="s">
        <v>23</v>
      </c>
      <c r="H59" s="24" t="s">
        <v>23</v>
      </c>
      <c r="I59" s="24" t="s">
        <v>23</v>
      </c>
      <c r="J59" s="20" t="s">
        <v>17</v>
      </c>
      <c r="K59" s="20" t="s">
        <v>17</v>
      </c>
      <c r="L59" s="20" t="s">
        <v>17</v>
      </c>
      <c r="M59" s="20" t="s">
        <v>14</v>
      </c>
      <c r="N59" s="20" t="s">
        <v>14</v>
      </c>
      <c r="O59" s="20" t="s">
        <v>15</v>
      </c>
      <c r="P59" s="20" t="s">
        <v>16</v>
      </c>
      <c r="Q59" s="20" t="s">
        <v>16</v>
      </c>
      <c r="R59" s="20" t="s">
        <v>17</v>
      </c>
      <c r="S59" s="20" t="s">
        <v>17</v>
      </c>
      <c r="T59" s="20" t="s">
        <v>17</v>
      </c>
      <c r="U59" s="20" t="s">
        <v>14</v>
      </c>
      <c r="V59" s="20" t="s">
        <v>14</v>
      </c>
      <c r="W59" s="20" t="s">
        <v>15</v>
      </c>
      <c r="X59" s="20" t="s">
        <v>15</v>
      </c>
      <c r="Y59" s="20" t="s">
        <v>16</v>
      </c>
      <c r="Z59" s="20" t="s">
        <v>17</v>
      </c>
      <c r="AA59" s="20" t="s">
        <v>17</v>
      </c>
      <c r="AB59" s="20" t="s">
        <v>17</v>
      </c>
      <c r="AC59" s="20" t="s">
        <v>14</v>
      </c>
      <c r="AD59" s="20" t="s">
        <v>15</v>
      </c>
      <c r="AE59" s="20" t="s">
        <v>15</v>
      </c>
      <c r="AF59" s="20" t="s">
        <v>15</v>
      </c>
      <c r="AG59" s="20" t="s">
        <v>16</v>
      </c>
      <c r="AH59" s="20" t="s">
        <v>17</v>
      </c>
    </row>
    <row r="60" spans="1:34" ht="15.75" x14ac:dyDescent="0.25">
      <c r="A60" s="49" t="s">
        <v>63</v>
      </c>
      <c r="B60" s="19" t="s">
        <v>73</v>
      </c>
      <c r="C60" s="19">
        <v>81983</v>
      </c>
      <c r="D60" s="20" t="s">
        <v>16</v>
      </c>
      <c r="E60" s="20" t="s">
        <v>16</v>
      </c>
      <c r="F60" s="20" t="s">
        <v>17</v>
      </c>
      <c r="G60" s="20" t="s">
        <v>17</v>
      </c>
      <c r="H60" s="20" t="s">
        <v>17</v>
      </c>
      <c r="I60" s="20" t="s">
        <v>14</v>
      </c>
      <c r="J60" s="20" t="s">
        <v>14</v>
      </c>
      <c r="K60" s="20" t="s">
        <v>15</v>
      </c>
      <c r="L60" s="20" t="s">
        <v>16</v>
      </c>
      <c r="M60" s="20" t="s">
        <v>16</v>
      </c>
      <c r="N60" s="20" t="s">
        <v>17</v>
      </c>
      <c r="O60" s="20" t="s">
        <v>17</v>
      </c>
      <c r="P60" s="20" t="s">
        <v>17</v>
      </c>
      <c r="Q60" s="20" t="s">
        <v>14</v>
      </c>
      <c r="R60" s="20" t="s">
        <v>15</v>
      </c>
      <c r="S60" s="20" t="s">
        <v>15</v>
      </c>
      <c r="T60" s="20" t="s">
        <v>16</v>
      </c>
      <c r="U60" s="20" t="s">
        <v>16</v>
      </c>
      <c r="V60" s="20" t="s">
        <v>17</v>
      </c>
      <c r="W60" s="20" t="s">
        <v>17</v>
      </c>
      <c r="X60" s="20" t="s">
        <v>17</v>
      </c>
      <c r="Y60" s="20" t="s">
        <v>14</v>
      </c>
      <c r="Z60" s="20" t="s">
        <v>14</v>
      </c>
      <c r="AA60" s="20" t="s">
        <v>15</v>
      </c>
      <c r="AB60" s="20" t="s">
        <v>15</v>
      </c>
      <c r="AC60" s="20" t="s">
        <v>16</v>
      </c>
      <c r="AD60" s="20" t="s">
        <v>17</v>
      </c>
      <c r="AE60" s="20" t="s">
        <v>17</v>
      </c>
      <c r="AF60" s="20" t="s">
        <v>17</v>
      </c>
      <c r="AG60" s="20" t="s">
        <v>14</v>
      </c>
      <c r="AH60" s="20" t="s">
        <v>14</v>
      </c>
    </row>
    <row r="61" spans="1:34" ht="15.75" x14ac:dyDescent="0.25">
      <c r="A61" s="49" t="s">
        <v>63</v>
      </c>
      <c r="B61" s="19" t="s">
        <v>74</v>
      </c>
      <c r="C61" s="19">
        <v>82663</v>
      </c>
      <c r="D61" s="20" t="s">
        <v>16</v>
      </c>
      <c r="E61" s="20" t="s">
        <v>16</v>
      </c>
      <c r="F61" s="20" t="s">
        <v>17</v>
      </c>
      <c r="G61" s="20" t="s">
        <v>17</v>
      </c>
      <c r="H61" s="20" t="s">
        <v>17</v>
      </c>
      <c r="I61" s="20" t="s">
        <v>14</v>
      </c>
      <c r="J61" s="20" t="s">
        <v>15</v>
      </c>
      <c r="K61" s="20" t="s">
        <v>15</v>
      </c>
      <c r="L61" s="20" t="s">
        <v>16</v>
      </c>
      <c r="M61" s="20" t="s">
        <v>16</v>
      </c>
      <c r="N61" s="20" t="s">
        <v>17</v>
      </c>
      <c r="O61" s="20" t="s">
        <v>17</v>
      </c>
      <c r="P61" s="20" t="s">
        <v>17</v>
      </c>
      <c r="Q61" s="20" t="s">
        <v>14</v>
      </c>
      <c r="R61" s="20" t="s">
        <v>14</v>
      </c>
      <c r="S61" s="20" t="s">
        <v>15</v>
      </c>
      <c r="T61" s="20" t="s">
        <v>16</v>
      </c>
      <c r="U61" s="20" t="s">
        <v>16</v>
      </c>
      <c r="V61" s="20" t="s">
        <v>17</v>
      </c>
      <c r="W61" s="20" t="s">
        <v>17</v>
      </c>
      <c r="X61" s="20" t="s">
        <v>17</v>
      </c>
      <c r="Y61" s="20" t="s">
        <v>14</v>
      </c>
      <c r="Z61" s="20" t="s">
        <v>15</v>
      </c>
      <c r="AA61" s="20" t="s">
        <v>15</v>
      </c>
      <c r="AB61" s="20" t="s">
        <v>16</v>
      </c>
      <c r="AC61" s="20" t="s">
        <v>16</v>
      </c>
      <c r="AD61" s="20" t="s">
        <v>17</v>
      </c>
      <c r="AE61" s="20" t="s">
        <v>17</v>
      </c>
      <c r="AF61" s="20" t="s">
        <v>17</v>
      </c>
      <c r="AG61" s="20" t="s">
        <v>14</v>
      </c>
      <c r="AH61" s="20" t="s">
        <v>14</v>
      </c>
    </row>
    <row r="62" spans="1:34" ht="15.75" x14ac:dyDescent="0.25">
      <c r="A62" s="49" t="s">
        <v>63</v>
      </c>
      <c r="B62" s="19" t="s">
        <v>75</v>
      </c>
      <c r="C62" s="19">
        <v>82668</v>
      </c>
      <c r="D62" s="20" t="s">
        <v>16</v>
      </c>
      <c r="E62" s="20" t="s">
        <v>17</v>
      </c>
      <c r="F62" s="20" t="s">
        <v>17</v>
      </c>
      <c r="G62" s="20" t="s">
        <v>17</v>
      </c>
      <c r="H62" s="24" t="s">
        <v>23</v>
      </c>
      <c r="I62" s="24" t="s">
        <v>23</v>
      </c>
      <c r="J62" s="24" t="s">
        <v>23</v>
      </c>
      <c r="K62" s="24" t="s">
        <v>23</v>
      </c>
      <c r="L62" s="24" t="s">
        <v>23</v>
      </c>
      <c r="M62" s="24" t="s">
        <v>23</v>
      </c>
      <c r="N62" s="24" t="s">
        <v>23</v>
      </c>
      <c r="O62" s="24" t="s">
        <v>23</v>
      </c>
      <c r="P62" s="24" t="s">
        <v>23</v>
      </c>
      <c r="Q62" s="24" t="s">
        <v>23</v>
      </c>
      <c r="R62" s="24" t="s">
        <v>23</v>
      </c>
      <c r="S62" s="24" t="s">
        <v>23</v>
      </c>
      <c r="T62" s="24" t="s">
        <v>23</v>
      </c>
      <c r="U62" s="20" t="s">
        <v>17</v>
      </c>
      <c r="V62" s="20" t="s">
        <v>17</v>
      </c>
      <c r="W62" s="20" t="s">
        <v>17</v>
      </c>
      <c r="X62" s="20" t="s">
        <v>14</v>
      </c>
      <c r="Y62" s="20" t="s">
        <v>14</v>
      </c>
      <c r="Z62" s="20" t="s">
        <v>15</v>
      </c>
      <c r="AA62" s="20" t="s">
        <v>16</v>
      </c>
      <c r="AB62" s="20" t="s">
        <v>16</v>
      </c>
      <c r="AC62" s="20" t="s">
        <v>17</v>
      </c>
      <c r="AD62" s="20" t="s">
        <v>17</v>
      </c>
      <c r="AE62" s="20" t="s">
        <v>17</v>
      </c>
      <c r="AF62" s="20" t="s">
        <v>14</v>
      </c>
      <c r="AG62" s="20" t="s">
        <v>14</v>
      </c>
      <c r="AH62" s="20" t="s">
        <v>15</v>
      </c>
    </row>
    <row r="63" spans="1:34" ht="15.75" x14ac:dyDescent="0.25">
      <c r="A63" s="51" t="s">
        <v>63</v>
      </c>
      <c r="B63" s="22" t="s">
        <v>76</v>
      </c>
      <c r="C63" s="22">
        <v>82454</v>
      </c>
      <c r="D63" s="20" t="s">
        <v>17</v>
      </c>
      <c r="E63" s="20" t="s">
        <v>17</v>
      </c>
      <c r="F63" s="23" t="s">
        <v>17</v>
      </c>
      <c r="G63" s="23" t="s">
        <v>20</v>
      </c>
      <c r="H63" s="20" t="s">
        <v>15</v>
      </c>
      <c r="I63" s="20" t="s">
        <v>16</v>
      </c>
      <c r="J63" s="20" t="s">
        <v>16</v>
      </c>
      <c r="K63" s="20" t="s">
        <v>16</v>
      </c>
      <c r="L63" s="20" t="s">
        <v>17</v>
      </c>
      <c r="M63" s="20" t="s">
        <v>17</v>
      </c>
      <c r="N63" s="20" t="s">
        <v>17</v>
      </c>
      <c r="O63" s="20" t="s">
        <v>14</v>
      </c>
      <c r="P63" s="20" t="s">
        <v>15</v>
      </c>
      <c r="Q63" s="20" t="s">
        <v>15</v>
      </c>
      <c r="R63" s="20" t="s">
        <v>16</v>
      </c>
      <c r="S63" s="20" t="s">
        <v>16</v>
      </c>
      <c r="T63" s="20" t="s">
        <v>17</v>
      </c>
      <c r="U63" s="20" t="s">
        <v>17</v>
      </c>
      <c r="V63" s="20" t="s">
        <v>17</v>
      </c>
      <c r="W63" s="20" t="s">
        <v>14</v>
      </c>
      <c r="X63" s="20" t="s">
        <v>15</v>
      </c>
      <c r="Y63" s="20" t="s">
        <v>15</v>
      </c>
      <c r="Z63" s="20" t="s">
        <v>16</v>
      </c>
      <c r="AA63" s="20" t="s">
        <v>16</v>
      </c>
      <c r="AB63" s="20" t="s">
        <v>17</v>
      </c>
      <c r="AC63" s="20" t="s">
        <v>17</v>
      </c>
      <c r="AD63" s="20" t="s">
        <v>17</v>
      </c>
      <c r="AE63" s="20" t="s">
        <v>14</v>
      </c>
      <c r="AF63" s="23" t="s">
        <v>20</v>
      </c>
      <c r="AG63" s="20" t="s">
        <v>16</v>
      </c>
      <c r="AH63" s="20" t="s">
        <v>16</v>
      </c>
    </row>
    <row r="64" spans="1:34" ht="15.75" x14ac:dyDescent="0.25">
      <c r="A64" s="51" t="s">
        <v>63</v>
      </c>
      <c r="B64" s="22" t="s">
        <v>77</v>
      </c>
      <c r="C64" s="22">
        <v>82456</v>
      </c>
      <c r="D64" s="20" t="s">
        <v>17</v>
      </c>
      <c r="E64" s="20" t="s">
        <v>17</v>
      </c>
      <c r="F64" s="20" t="s">
        <v>17</v>
      </c>
      <c r="G64" s="20" t="s">
        <v>14</v>
      </c>
      <c r="H64" s="20" t="s">
        <v>14</v>
      </c>
      <c r="I64" s="20" t="s">
        <v>15</v>
      </c>
      <c r="J64" s="20" t="s">
        <v>15</v>
      </c>
      <c r="K64" s="23" t="s">
        <v>20</v>
      </c>
      <c r="L64" s="20" t="s">
        <v>17</v>
      </c>
      <c r="M64" s="20" t="s">
        <v>17</v>
      </c>
      <c r="N64" s="20" t="s">
        <v>17</v>
      </c>
      <c r="O64" s="20" t="s">
        <v>14</v>
      </c>
      <c r="P64" s="20" t="s">
        <v>14</v>
      </c>
      <c r="Q64" s="20" t="s">
        <v>15</v>
      </c>
      <c r="R64" s="20" t="s">
        <v>16</v>
      </c>
      <c r="S64" s="20" t="s">
        <v>16</v>
      </c>
      <c r="T64" s="20" t="s">
        <v>17</v>
      </c>
      <c r="U64" s="20" t="s">
        <v>17</v>
      </c>
      <c r="V64" s="20" t="s">
        <v>17</v>
      </c>
      <c r="W64" s="20" t="s">
        <v>14</v>
      </c>
      <c r="X64" s="20" t="s">
        <v>14</v>
      </c>
      <c r="Y64" s="20" t="s">
        <v>14</v>
      </c>
      <c r="Z64" s="20" t="s">
        <v>15</v>
      </c>
      <c r="AA64" s="20" t="s">
        <v>16</v>
      </c>
      <c r="AB64" s="20" t="s">
        <v>17</v>
      </c>
      <c r="AC64" s="20" t="s">
        <v>17</v>
      </c>
      <c r="AD64" s="20" t="s">
        <v>17</v>
      </c>
      <c r="AE64" s="20" t="s">
        <v>14</v>
      </c>
      <c r="AF64" s="23" t="s">
        <v>20</v>
      </c>
      <c r="AG64" s="20" t="s">
        <v>15</v>
      </c>
      <c r="AH64" s="20" t="s">
        <v>15</v>
      </c>
    </row>
    <row r="65" spans="1:34" ht="15.75" x14ac:dyDescent="0.25">
      <c r="A65" s="51" t="s">
        <v>63</v>
      </c>
      <c r="B65" s="22" t="s">
        <v>78</v>
      </c>
      <c r="C65" s="22">
        <v>82470</v>
      </c>
      <c r="D65" s="20" t="s">
        <v>17</v>
      </c>
      <c r="E65" s="20" t="s">
        <v>17</v>
      </c>
      <c r="F65" s="20" t="s">
        <v>17</v>
      </c>
      <c r="G65" s="20" t="s">
        <v>14</v>
      </c>
      <c r="H65" s="20" t="s">
        <v>15</v>
      </c>
      <c r="I65" s="20" t="s">
        <v>15</v>
      </c>
      <c r="J65" s="20" t="s">
        <v>16</v>
      </c>
      <c r="K65" s="20" t="s">
        <v>16</v>
      </c>
      <c r="L65" s="20" t="s">
        <v>17</v>
      </c>
      <c r="M65" s="20" t="s">
        <v>17</v>
      </c>
      <c r="N65" s="20" t="s">
        <v>17</v>
      </c>
      <c r="O65" s="20" t="s">
        <v>14</v>
      </c>
      <c r="P65" s="20" t="s">
        <v>14</v>
      </c>
      <c r="Q65" s="20" t="s">
        <v>14</v>
      </c>
      <c r="R65" s="20" t="s">
        <v>15</v>
      </c>
      <c r="S65" s="20" t="s">
        <v>16</v>
      </c>
      <c r="T65" s="20" t="s">
        <v>17</v>
      </c>
      <c r="U65" s="20" t="s">
        <v>17</v>
      </c>
      <c r="V65" s="20" t="s">
        <v>17</v>
      </c>
      <c r="W65" s="20" t="s">
        <v>14</v>
      </c>
      <c r="X65" s="20" t="s">
        <v>14</v>
      </c>
      <c r="Y65" s="20" t="s">
        <v>15</v>
      </c>
      <c r="Z65" s="20" t="s">
        <v>15</v>
      </c>
      <c r="AA65" s="20" t="s">
        <v>16</v>
      </c>
      <c r="AB65" s="20" t="s">
        <v>17</v>
      </c>
      <c r="AC65" s="20" t="s">
        <v>17</v>
      </c>
      <c r="AD65" s="20" t="s">
        <v>17</v>
      </c>
      <c r="AE65" s="20" t="s">
        <v>14</v>
      </c>
      <c r="AF65" s="20" t="s">
        <v>15</v>
      </c>
      <c r="AG65" s="20" t="s">
        <v>15</v>
      </c>
      <c r="AH65" s="20" t="s">
        <v>15</v>
      </c>
    </row>
    <row r="66" spans="1:34" ht="15.75" x14ac:dyDescent="0.25">
      <c r="A66" s="49" t="s">
        <v>63</v>
      </c>
      <c r="B66" s="19" t="s">
        <v>79</v>
      </c>
      <c r="C66" s="19">
        <v>8336</v>
      </c>
      <c r="D66" s="20" t="s">
        <v>15</v>
      </c>
      <c r="E66" s="20" t="s">
        <v>16</v>
      </c>
      <c r="F66" s="20" t="s">
        <v>16</v>
      </c>
      <c r="G66" s="20" t="s">
        <v>17</v>
      </c>
      <c r="H66" s="20" t="s">
        <v>17</v>
      </c>
      <c r="I66" s="20" t="s">
        <v>17</v>
      </c>
      <c r="J66" s="20" t="s">
        <v>14</v>
      </c>
      <c r="K66" s="20" t="s">
        <v>14</v>
      </c>
      <c r="L66" s="20" t="s">
        <v>15</v>
      </c>
      <c r="M66" s="20" t="s">
        <v>15</v>
      </c>
      <c r="N66" s="20" t="s">
        <v>16</v>
      </c>
      <c r="O66" s="20" t="s">
        <v>17</v>
      </c>
      <c r="P66" s="20" t="s">
        <v>17</v>
      </c>
      <c r="Q66" s="20" t="s">
        <v>17</v>
      </c>
      <c r="R66" s="23" t="s">
        <v>20</v>
      </c>
      <c r="S66" s="20" t="s">
        <v>14</v>
      </c>
      <c r="T66" s="20" t="s">
        <v>15</v>
      </c>
      <c r="U66" s="20" t="s">
        <v>16</v>
      </c>
      <c r="V66" s="20" t="s">
        <v>16</v>
      </c>
      <c r="W66" s="20" t="s">
        <v>17</v>
      </c>
      <c r="X66" s="20" t="s">
        <v>17</v>
      </c>
      <c r="Y66" s="20" t="s">
        <v>17</v>
      </c>
      <c r="Z66" s="20" t="s">
        <v>14</v>
      </c>
      <c r="AA66" s="23" t="s">
        <v>20</v>
      </c>
      <c r="AB66" s="20" t="s">
        <v>15</v>
      </c>
      <c r="AC66" s="20" t="s">
        <v>15</v>
      </c>
      <c r="AD66" s="20" t="s">
        <v>16</v>
      </c>
      <c r="AE66" s="20" t="s">
        <v>17</v>
      </c>
      <c r="AF66" s="20" t="s">
        <v>17</v>
      </c>
      <c r="AG66" s="20" t="s">
        <v>17</v>
      </c>
      <c r="AH66" s="20" t="s">
        <v>14</v>
      </c>
    </row>
    <row r="67" spans="1:34" ht="15.75" x14ac:dyDescent="0.25">
      <c r="A67" s="49" t="s">
        <v>63</v>
      </c>
      <c r="B67" s="19" t="s">
        <v>80</v>
      </c>
      <c r="C67" s="19">
        <v>82457</v>
      </c>
      <c r="D67" s="20" t="s">
        <v>15</v>
      </c>
      <c r="E67" s="20" t="s">
        <v>16</v>
      </c>
      <c r="F67" s="20" t="s">
        <v>16</v>
      </c>
      <c r="G67" s="20" t="s">
        <v>17</v>
      </c>
      <c r="H67" s="20" t="s">
        <v>17</v>
      </c>
      <c r="I67" s="20" t="s">
        <v>17</v>
      </c>
      <c r="J67" s="24" t="s">
        <v>23</v>
      </c>
      <c r="K67" s="24" t="s">
        <v>23</v>
      </c>
      <c r="L67" s="24" t="s">
        <v>23</v>
      </c>
      <c r="M67" s="24" t="s">
        <v>23</v>
      </c>
      <c r="N67" s="24" t="s">
        <v>23</v>
      </c>
      <c r="O67" s="24" t="s">
        <v>23</v>
      </c>
      <c r="P67" s="24" t="s">
        <v>23</v>
      </c>
      <c r="Q67" s="24" t="s">
        <v>23</v>
      </c>
      <c r="R67" s="24" t="s">
        <v>23</v>
      </c>
      <c r="S67" s="24" t="s">
        <v>23</v>
      </c>
      <c r="T67" s="24" t="s">
        <v>23</v>
      </c>
      <c r="U67" s="24" t="s">
        <v>23</v>
      </c>
      <c r="V67" s="24" t="s">
        <v>23</v>
      </c>
      <c r="W67" s="20" t="s">
        <v>17</v>
      </c>
      <c r="X67" s="20" t="s">
        <v>17</v>
      </c>
      <c r="Y67" s="20" t="s">
        <v>17</v>
      </c>
      <c r="Z67" s="20" t="s">
        <v>14</v>
      </c>
      <c r="AA67" s="20" t="s">
        <v>14</v>
      </c>
      <c r="AB67" s="20" t="s">
        <v>16</v>
      </c>
      <c r="AC67" s="20" t="s">
        <v>16</v>
      </c>
      <c r="AD67" s="20" t="s">
        <v>16</v>
      </c>
      <c r="AE67" s="20" t="s">
        <v>17</v>
      </c>
      <c r="AF67" s="20" t="s">
        <v>17</v>
      </c>
      <c r="AG67" s="20" t="s">
        <v>17</v>
      </c>
      <c r="AH67" s="20" t="s">
        <v>14</v>
      </c>
    </row>
    <row r="68" spans="1:34" ht="15.75" x14ac:dyDescent="0.25">
      <c r="A68" s="49" t="s">
        <v>63</v>
      </c>
      <c r="B68" s="19" t="s">
        <v>81</v>
      </c>
      <c r="C68" s="19">
        <v>82614</v>
      </c>
      <c r="D68" s="20" t="s">
        <v>17</v>
      </c>
      <c r="E68" s="20" t="s">
        <v>17</v>
      </c>
      <c r="F68" s="20" t="s">
        <v>14</v>
      </c>
      <c r="G68" s="20" t="s">
        <v>15</v>
      </c>
      <c r="H68" s="20" t="s">
        <v>15</v>
      </c>
      <c r="I68" s="20" t="s">
        <v>16</v>
      </c>
      <c r="J68" s="20" t="s">
        <v>16</v>
      </c>
      <c r="K68" s="20" t="s">
        <v>17</v>
      </c>
      <c r="L68" s="20" t="s">
        <v>17</v>
      </c>
      <c r="M68" s="20" t="s">
        <v>17</v>
      </c>
      <c r="N68" s="20" t="s">
        <v>14</v>
      </c>
      <c r="O68" s="20" t="s">
        <v>14</v>
      </c>
      <c r="P68" s="20" t="s">
        <v>15</v>
      </c>
      <c r="Q68" s="20" t="s">
        <v>16</v>
      </c>
      <c r="R68" s="20" t="s">
        <v>16</v>
      </c>
      <c r="S68" s="20" t="s">
        <v>17</v>
      </c>
      <c r="T68" s="20" t="s">
        <v>17</v>
      </c>
      <c r="U68" s="20" t="s">
        <v>17</v>
      </c>
      <c r="V68" s="24" t="s">
        <v>23</v>
      </c>
      <c r="W68" s="24" t="s">
        <v>23</v>
      </c>
      <c r="X68" s="24" t="s">
        <v>23</v>
      </c>
      <c r="Y68" s="24" t="s">
        <v>23</v>
      </c>
      <c r="Z68" s="24" t="s">
        <v>23</v>
      </c>
      <c r="AA68" s="20" t="s">
        <v>17</v>
      </c>
      <c r="AB68" s="20" t="s">
        <v>17</v>
      </c>
      <c r="AC68" s="20" t="s">
        <v>17</v>
      </c>
      <c r="AD68" s="20" t="s">
        <v>14</v>
      </c>
      <c r="AE68" s="20" t="s">
        <v>14</v>
      </c>
      <c r="AF68" s="20" t="s">
        <v>16</v>
      </c>
      <c r="AG68" s="20" t="s">
        <v>16</v>
      </c>
      <c r="AH68" s="20" t="s">
        <v>16</v>
      </c>
    </row>
    <row r="69" spans="1:34" ht="15.75" x14ac:dyDescent="0.25">
      <c r="A69" s="51" t="s">
        <v>63</v>
      </c>
      <c r="B69" s="22" t="s">
        <v>82</v>
      </c>
      <c r="C69" s="22">
        <v>82107</v>
      </c>
      <c r="D69" s="20" t="s">
        <v>17</v>
      </c>
      <c r="E69" s="20" t="s">
        <v>17</v>
      </c>
      <c r="F69" s="20" t="s">
        <v>14</v>
      </c>
      <c r="G69" s="20" t="s">
        <v>14</v>
      </c>
      <c r="H69" s="20" t="s">
        <v>14</v>
      </c>
      <c r="I69" s="20" t="s">
        <v>15</v>
      </c>
      <c r="J69" s="20" t="s">
        <v>16</v>
      </c>
      <c r="K69" s="20" t="s">
        <v>17</v>
      </c>
      <c r="L69" s="20" t="s">
        <v>17</v>
      </c>
      <c r="M69" s="20" t="s">
        <v>17</v>
      </c>
      <c r="N69" s="20" t="s">
        <v>14</v>
      </c>
      <c r="O69" s="20" t="s">
        <v>15</v>
      </c>
      <c r="P69" s="20" t="s">
        <v>16</v>
      </c>
      <c r="Q69" s="20" t="s">
        <v>16</v>
      </c>
      <c r="R69" s="20" t="s">
        <v>16</v>
      </c>
      <c r="S69" s="20" t="s">
        <v>17</v>
      </c>
      <c r="T69" s="20" t="s">
        <v>17</v>
      </c>
      <c r="U69" s="20" t="s">
        <v>17</v>
      </c>
      <c r="V69" s="20" t="s">
        <v>14</v>
      </c>
      <c r="W69" s="20" t="s">
        <v>14</v>
      </c>
      <c r="X69" s="20" t="s">
        <v>15</v>
      </c>
      <c r="Y69" s="20" t="s">
        <v>15</v>
      </c>
      <c r="Z69" s="20" t="s">
        <v>16</v>
      </c>
      <c r="AA69" s="20" t="s">
        <v>17</v>
      </c>
      <c r="AB69" s="20" t="s">
        <v>17</v>
      </c>
      <c r="AC69" s="20" t="s">
        <v>17</v>
      </c>
      <c r="AD69" s="20" t="s">
        <v>14</v>
      </c>
      <c r="AE69" s="20" t="s">
        <v>14</v>
      </c>
      <c r="AF69" s="20" t="s">
        <v>14</v>
      </c>
      <c r="AG69" s="20" t="s">
        <v>16</v>
      </c>
      <c r="AH69" s="20" t="s">
        <v>16</v>
      </c>
    </row>
    <row r="70" spans="1:34" ht="15.75" x14ac:dyDescent="0.25">
      <c r="A70" s="51" t="s">
        <v>63</v>
      </c>
      <c r="B70" s="22" t="s">
        <v>83</v>
      </c>
      <c r="C70" s="22">
        <v>82642</v>
      </c>
      <c r="D70" s="20" t="s">
        <v>17</v>
      </c>
      <c r="E70" s="20" t="s">
        <v>17</v>
      </c>
      <c r="F70" s="20" t="s">
        <v>14</v>
      </c>
      <c r="G70" s="20" t="s">
        <v>14</v>
      </c>
      <c r="H70" s="20" t="s">
        <v>14</v>
      </c>
      <c r="I70" s="20" t="s">
        <v>16</v>
      </c>
      <c r="J70" s="20" t="s">
        <v>16</v>
      </c>
      <c r="K70" s="20" t="s">
        <v>17</v>
      </c>
      <c r="L70" s="20" t="s">
        <v>17</v>
      </c>
      <c r="M70" s="20" t="s">
        <v>17</v>
      </c>
      <c r="N70" s="20" t="s">
        <v>14</v>
      </c>
      <c r="O70" s="20" t="s">
        <v>14</v>
      </c>
      <c r="P70" s="20" t="s">
        <v>15</v>
      </c>
      <c r="Q70" s="20" t="s">
        <v>15</v>
      </c>
      <c r="R70" s="20" t="s">
        <v>16</v>
      </c>
      <c r="S70" s="20" t="s">
        <v>17</v>
      </c>
      <c r="T70" s="20" t="s">
        <v>17</v>
      </c>
      <c r="U70" s="20" t="s">
        <v>17</v>
      </c>
      <c r="V70" s="20" t="s">
        <v>14</v>
      </c>
      <c r="W70" s="20" t="s">
        <v>15</v>
      </c>
      <c r="X70" s="20" t="s">
        <v>16</v>
      </c>
      <c r="Y70" s="20" t="s">
        <v>16</v>
      </c>
      <c r="Z70" s="20" t="s">
        <v>16</v>
      </c>
      <c r="AA70" s="20" t="s">
        <v>17</v>
      </c>
      <c r="AB70" s="20" t="s">
        <v>17</v>
      </c>
      <c r="AC70" s="20" t="s">
        <v>17</v>
      </c>
      <c r="AD70" s="24" t="s">
        <v>23</v>
      </c>
      <c r="AE70" s="24" t="s">
        <v>23</v>
      </c>
      <c r="AF70" s="24" t="s">
        <v>23</v>
      </c>
      <c r="AG70" s="24" t="s">
        <v>23</v>
      </c>
      <c r="AH70" s="24" t="s">
        <v>23</v>
      </c>
    </row>
    <row r="71" spans="1:34" ht="15.75" x14ac:dyDescent="0.25">
      <c r="A71" s="49" t="s">
        <v>63</v>
      </c>
      <c r="B71" s="19" t="s">
        <v>84</v>
      </c>
      <c r="C71" s="19">
        <v>82049</v>
      </c>
      <c r="D71" s="20" t="s">
        <v>15</v>
      </c>
      <c r="E71" s="20" t="s">
        <v>16</v>
      </c>
      <c r="F71" s="20" t="s">
        <v>16</v>
      </c>
      <c r="G71" s="20" t="s">
        <v>17</v>
      </c>
      <c r="H71" s="20" t="s">
        <v>17</v>
      </c>
      <c r="I71" s="20" t="s">
        <v>17</v>
      </c>
      <c r="J71" s="20" t="s">
        <v>14</v>
      </c>
      <c r="K71" s="20" t="s">
        <v>14</v>
      </c>
      <c r="L71" s="20" t="s">
        <v>15</v>
      </c>
      <c r="M71" s="20" t="s">
        <v>16</v>
      </c>
      <c r="N71" s="20" t="s">
        <v>16</v>
      </c>
      <c r="O71" s="20" t="s">
        <v>17</v>
      </c>
      <c r="P71" s="20" t="s">
        <v>17</v>
      </c>
      <c r="Q71" s="20" t="s">
        <v>17</v>
      </c>
      <c r="R71" s="23" t="s">
        <v>20</v>
      </c>
      <c r="S71" s="20" t="s">
        <v>15</v>
      </c>
      <c r="T71" s="20" t="s">
        <v>15</v>
      </c>
      <c r="U71" s="20" t="s">
        <v>15</v>
      </c>
      <c r="V71" s="20" t="s">
        <v>16</v>
      </c>
      <c r="W71" s="20" t="s">
        <v>17</v>
      </c>
      <c r="X71" s="20" t="s">
        <v>17</v>
      </c>
      <c r="Y71" s="20" t="s">
        <v>17</v>
      </c>
      <c r="Z71" s="20" t="s">
        <v>14</v>
      </c>
      <c r="AA71" s="20" t="s">
        <v>14</v>
      </c>
      <c r="AB71" s="20" t="s">
        <v>16</v>
      </c>
      <c r="AC71" s="20" t="s">
        <v>16</v>
      </c>
      <c r="AD71" s="20" t="s">
        <v>16</v>
      </c>
      <c r="AE71" s="20" t="s">
        <v>17</v>
      </c>
      <c r="AF71" s="20" t="s">
        <v>17</v>
      </c>
      <c r="AG71" s="20" t="s">
        <v>17</v>
      </c>
      <c r="AH71" s="20" t="s">
        <v>14</v>
      </c>
    </row>
    <row r="72" spans="1:34" ht="15.75" x14ac:dyDescent="0.25">
      <c r="A72" s="49" t="s">
        <v>63</v>
      </c>
      <c r="B72" s="19" t="s">
        <v>85</v>
      </c>
      <c r="C72" s="19">
        <v>81991</v>
      </c>
      <c r="D72" s="20" t="s">
        <v>14</v>
      </c>
      <c r="E72" s="20" t="s">
        <v>14</v>
      </c>
      <c r="F72" s="20" t="s">
        <v>15</v>
      </c>
      <c r="G72" s="20" t="s">
        <v>16</v>
      </c>
      <c r="H72" s="20" t="s">
        <v>17</v>
      </c>
      <c r="I72" s="20" t="s">
        <v>17</v>
      </c>
      <c r="J72" s="20" t="s">
        <v>17</v>
      </c>
      <c r="K72" s="20" t="s">
        <v>14</v>
      </c>
      <c r="L72" s="20" t="s">
        <v>15</v>
      </c>
      <c r="M72" s="20" t="s">
        <v>15</v>
      </c>
      <c r="N72" s="20" t="s">
        <v>15</v>
      </c>
      <c r="O72" s="20" t="s">
        <v>16</v>
      </c>
      <c r="P72" s="20" t="s">
        <v>17</v>
      </c>
      <c r="Q72" s="20" t="s">
        <v>17</v>
      </c>
      <c r="R72" s="20" t="s">
        <v>17</v>
      </c>
      <c r="S72" s="20" t="s">
        <v>14</v>
      </c>
      <c r="T72" s="20" t="s">
        <v>15</v>
      </c>
      <c r="U72" s="20" t="s">
        <v>15</v>
      </c>
      <c r="V72" s="20" t="s">
        <v>16</v>
      </c>
      <c r="W72" s="20" t="s">
        <v>16</v>
      </c>
      <c r="X72" s="20" t="s">
        <v>17</v>
      </c>
      <c r="Y72" s="20" t="s">
        <v>17</v>
      </c>
      <c r="Z72" s="20" t="s">
        <v>17</v>
      </c>
      <c r="AA72" s="20" t="s">
        <v>14</v>
      </c>
      <c r="AB72" s="20" t="s">
        <v>15</v>
      </c>
      <c r="AC72" s="20" t="s">
        <v>15</v>
      </c>
      <c r="AD72" s="20" t="s">
        <v>16</v>
      </c>
      <c r="AE72" s="20" t="s">
        <v>16</v>
      </c>
      <c r="AF72" s="20" t="s">
        <v>17</v>
      </c>
      <c r="AG72" s="20" t="s">
        <v>17</v>
      </c>
      <c r="AH72" s="20" t="s">
        <v>17</v>
      </c>
    </row>
    <row r="73" spans="1:34" x14ac:dyDescent="0.25">
      <c r="A73" s="55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7"/>
    </row>
    <row r="74" spans="1:34" ht="21" x14ac:dyDescent="0.25">
      <c r="A74" s="35">
        <v>22</v>
      </c>
      <c r="B74" s="36" t="s">
        <v>43</v>
      </c>
      <c r="C74" s="37"/>
      <c r="D74" s="38">
        <f t="shared" ref="D74:AH74" si="6">COUNTIF(D51:D72,"M*")</f>
        <v>4</v>
      </c>
      <c r="E74" s="38">
        <f t="shared" si="6"/>
        <v>2</v>
      </c>
      <c r="F74" s="38">
        <f t="shared" si="6"/>
        <v>4</v>
      </c>
      <c r="G74" s="38">
        <f t="shared" si="6"/>
        <v>5</v>
      </c>
      <c r="H74" s="38">
        <f t="shared" si="6"/>
        <v>4</v>
      </c>
      <c r="I74" s="38">
        <f t="shared" si="6"/>
        <v>3</v>
      </c>
      <c r="J74" s="38">
        <f t="shared" si="6"/>
        <v>4</v>
      </c>
      <c r="K74" s="38">
        <f t="shared" si="6"/>
        <v>5</v>
      </c>
      <c r="L74" s="38">
        <f t="shared" si="6"/>
        <v>5</v>
      </c>
      <c r="M74" s="38">
        <f t="shared" si="6"/>
        <v>4</v>
      </c>
      <c r="N74" s="38">
        <f t="shared" si="6"/>
        <v>4</v>
      </c>
      <c r="O74" s="38">
        <f t="shared" si="6"/>
        <v>6</v>
      </c>
      <c r="P74" s="38">
        <f t="shared" si="6"/>
        <v>3</v>
      </c>
      <c r="Q74" s="38">
        <f t="shared" si="6"/>
        <v>4</v>
      </c>
      <c r="R74" s="38">
        <f t="shared" si="6"/>
        <v>2</v>
      </c>
      <c r="S74" s="38">
        <f t="shared" si="6"/>
        <v>5</v>
      </c>
      <c r="T74" s="38">
        <f t="shared" si="6"/>
        <v>5</v>
      </c>
      <c r="U74" s="38">
        <f t="shared" si="6"/>
        <v>4</v>
      </c>
      <c r="V74" s="38">
        <f t="shared" si="6"/>
        <v>4</v>
      </c>
      <c r="W74" s="38">
        <f t="shared" si="6"/>
        <v>5</v>
      </c>
      <c r="X74" s="38">
        <f t="shared" si="6"/>
        <v>4</v>
      </c>
      <c r="Y74" s="38">
        <f t="shared" si="6"/>
        <v>5</v>
      </c>
      <c r="Z74" s="38">
        <f t="shared" si="6"/>
        <v>5</v>
      </c>
      <c r="AA74" s="38">
        <f t="shared" si="6"/>
        <v>6</v>
      </c>
      <c r="AB74" s="38">
        <f t="shared" si="6"/>
        <v>5</v>
      </c>
      <c r="AC74" s="38">
        <f t="shared" si="6"/>
        <v>4</v>
      </c>
      <c r="AD74" s="38">
        <f t="shared" si="6"/>
        <v>3</v>
      </c>
      <c r="AE74" s="38">
        <f t="shared" si="6"/>
        <v>6</v>
      </c>
      <c r="AF74" s="38">
        <f t="shared" si="6"/>
        <v>3</v>
      </c>
      <c r="AG74" s="38">
        <f t="shared" si="6"/>
        <v>4</v>
      </c>
      <c r="AH74" s="38">
        <f t="shared" si="6"/>
        <v>6</v>
      </c>
    </row>
    <row r="75" spans="1:34" ht="21" x14ac:dyDescent="0.25">
      <c r="A75" s="39"/>
      <c r="B75" s="40" t="s">
        <v>44</v>
      </c>
      <c r="C75" s="41"/>
      <c r="D75" s="42">
        <f t="shared" ref="D75:AH75" si="7">COUNTIF(D51:D72,"A*")</f>
        <v>5</v>
      </c>
      <c r="E75" s="42">
        <f t="shared" si="7"/>
        <v>3</v>
      </c>
      <c r="F75" s="42">
        <f t="shared" si="7"/>
        <v>4</v>
      </c>
      <c r="G75" s="42">
        <f t="shared" si="7"/>
        <v>2</v>
      </c>
      <c r="H75" s="42">
        <f t="shared" si="7"/>
        <v>4</v>
      </c>
      <c r="I75" s="42">
        <f t="shared" si="7"/>
        <v>4</v>
      </c>
      <c r="J75" s="42">
        <f t="shared" si="7"/>
        <v>3</v>
      </c>
      <c r="K75" s="42">
        <f t="shared" si="7"/>
        <v>3</v>
      </c>
      <c r="L75" s="42">
        <f t="shared" si="7"/>
        <v>4</v>
      </c>
      <c r="M75" s="42">
        <f t="shared" si="7"/>
        <v>4</v>
      </c>
      <c r="N75" s="42">
        <f t="shared" si="7"/>
        <v>3</v>
      </c>
      <c r="O75" s="42">
        <f t="shared" si="7"/>
        <v>4</v>
      </c>
      <c r="P75" s="42">
        <f t="shared" si="7"/>
        <v>4</v>
      </c>
      <c r="Q75" s="42">
        <f t="shared" si="7"/>
        <v>4</v>
      </c>
      <c r="R75" s="42">
        <f t="shared" si="7"/>
        <v>3</v>
      </c>
      <c r="S75" s="42">
        <f t="shared" si="7"/>
        <v>4</v>
      </c>
      <c r="T75" s="42">
        <f t="shared" si="7"/>
        <v>4</v>
      </c>
      <c r="U75" s="42">
        <f t="shared" si="7"/>
        <v>4</v>
      </c>
      <c r="V75" s="42">
        <f t="shared" si="7"/>
        <v>4</v>
      </c>
      <c r="W75" s="42">
        <f t="shared" si="7"/>
        <v>4</v>
      </c>
      <c r="X75" s="42">
        <f t="shared" si="7"/>
        <v>4</v>
      </c>
      <c r="Y75" s="42">
        <f t="shared" si="7"/>
        <v>3</v>
      </c>
      <c r="Z75" s="42">
        <f t="shared" si="7"/>
        <v>5</v>
      </c>
      <c r="AA75" s="42">
        <f t="shared" si="7"/>
        <v>3</v>
      </c>
      <c r="AB75" s="42">
        <f t="shared" si="7"/>
        <v>4</v>
      </c>
      <c r="AC75" s="42">
        <f t="shared" si="7"/>
        <v>4</v>
      </c>
      <c r="AD75" s="42">
        <f t="shared" si="7"/>
        <v>4</v>
      </c>
      <c r="AE75" s="42">
        <f t="shared" si="7"/>
        <v>3</v>
      </c>
      <c r="AF75" s="42">
        <f t="shared" si="7"/>
        <v>3</v>
      </c>
      <c r="AG75" s="42">
        <f t="shared" si="7"/>
        <v>3</v>
      </c>
      <c r="AH75" s="42">
        <f t="shared" si="7"/>
        <v>4</v>
      </c>
    </row>
    <row r="76" spans="1:34" ht="21" x14ac:dyDescent="0.25">
      <c r="A76" s="43"/>
      <c r="B76" s="44" t="s">
        <v>45</v>
      </c>
      <c r="C76" s="45"/>
      <c r="D76" s="46">
        <f>COUNTIF(D51:D72,"N*")</f>
        <v>4</v>
      </c>
      <c r="E76" s="46">
        <f t="shared" ref="E76:AH76" si="8">COUNTIF(E51:E72,"N*")</f>
        <v>6</v>
      </c>
      <c r="F76" s="46">
        <f t="shared" si="8"/>
        <v>5</v>
      </c>
      <c r="G76" s="46">
        <f t="shared" si="8"/>
        <v>5</v>
      </c>
      <c r="H76" s="46">
        <f t="shared" si="8"/>
        <v>2</v>
      </c>
      <c r="I76" s="46">
        <f t="shared" si="8"/>
        <v>4</v>
      </c>
      <c r="J76" s="46">
        <f t="shared" si="8"/>
        <v>6</v>
      </c>
      <c r="K76" s="46">
        <f t="shared" si="8"/>
        <v>3</v>
      </c>
      <c r="L76" s="46">
        <f t="shared" si="8"/>
        <v>3</v>
      </c>
      <c r="M76" s="46">
        <f t="shared" si="8"/>
        <v>4</v>
      </c>
      <c r="N76" s="46">
        <f t="shared" si="8"/>
        <v>4</v>
      </c>
      <c r="O76" s="46">
        <f t="shared" si="8"/>
        <v>4</v>
      </c>
      <c r="P76" s="46">
        <f t="shared" si="8"/>
        <v>4</v>
      </c>
      <c r="Q76" s="46">
        <f t="shared" si="8"/>
        <v>4</v>
      </c>
      <c r="R76" s="46">
        <f t="shared" si="8"/>
        <v>6</v>
      </c>
      <c r="S76" s="46">
        <f t="shared" si="8"/>
        <v>4</v>
      </c>
      <c r="T76" s="46">
        <f t="shared" si="8"/>
        <v>3</v>
      </c>
      <c r="U76" s="46">
        <f t="shared" si="8"/>
        <v>4</v>
      </c>
      <c r="V76" s="46">
        <f t="shared" si="8"/>
        <v>4</v>
      </c>
      <c r="W76" s="46">
        <f t="shared" si="8"/>
        <v>4</v>
      </c>
      <c r="X76" s="46">
        <f t="shared" si="8"/>
        <v>3</v>
      </c>
      <c r="Y76" s="46">
        <f t="shared" si="8"/>
        <v>3</v>
      </c>
      <c r="Z76" s="46">
        <f t="shared" si="8"/>
        <v>4</v>
      </c>
      <c r="AA76" s="46">
        <f t="shared" si="8"/>
        <v>5</v>
      </c>
      <c r="AB76" s="46">
        <f t="shared" si="8"/>
        <v>5</v>
      </c>
      <c r="AC76" s="46">
        <f t="shared" si="8"/>
        <v>5</v>
      </c>
      <c r="AD76" s="46">
        <f t="shared" si="8"/>
        <v>6</v>
      </c>
      <c r="AE76" s="46">
        <f t="shared" si="8"/>
        <v>4</v>
      </c>
      <c r="AF76" s="46">
        <f t="shared" si="8"/>
        <v>3</v>
      </c>
      <c r="AG76" s="46">
        <f t="shared" si="8"/>
        <v>5</v>
      </c>
      <c r="AH76" s="46">
        <f t="shared" si="8"/>
        <v>4</v>
      </c>
    </row>
    <row r="77" spans="1:34" x14ac:dyDescent="0.25">
      <c r="A77" s="63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</row>
    <row r="78" spans="1:34" ht="15.75" x14ac:dyDescent="0.25">
      <c r="A78" s="49" t="s">
        <v>86</v>
      </c>
      <c r="B78" s="19" t="s">
        <v>87</v>
      </c>
      <c r="C78" s="19">
        <v>82459</v>
      </c>
      <c r="D78" s="20" t="s">
        <v>14</v>
      </c>
      <c r="E78" s="20" t="s">
        <v>14</v>
      </c>
      <c r="F78" s="20" t="s">
        <v>15</v>
      </c>
      <c r="G78" s="20" t="s">
        <v>15</v>
      </c>
      <c r="H78" s="20" t="s">
        <v>16</v>
      </c>
      <c r="I78" s="20" t="s">
        <v>17</v>
      </c>
      <c r="J78" s="20" t="s">
        <v>17</v>
      </c>
      <c r="K78" s="20" t="s">
        <v>17</v>
      </c>
      <c r="L78" s="20" t="s">
        <v>14</v>
      </c>
      <c r="M78" s="20" t="s">
        <v>14</v>
      </c>
      <c r="N78" s="20" t="s">
        <v>15</v>
      </c>
      <c r="O78" s="20" t="s">
        <v>15</v>
      </c>
      <c r="P78" s="20" t="s">
        <v>16</v>
      </c>
      <c r="Q78" s="20" t="s">
        <v>17</v>
      </c>
      <c r="R78" s="20" t="s">
        <v>17</v>
      </c>
      <c r="S78" s="20" t="s">
        <v>17</v>
      </c>
      <c r="T78" s="24" t="s">
        <v>23</v>
      </c>
      <c r="U78" s="24" t="s">
        <v>23</v>
      </c>
      <c r="V78" s="24" t="s">
        <v>23</v>
      </c>
      <c r="W78" s="24" t="s">
        <v>23</v>
      </c>
      <c r="X78" s="24" t="s">
        <v>23</v>
      </c>
      <c r="Y78" s="20" t="s">
        <v>17</v>
      </c>
      <c r="Z78" s="20" t="s">
        <v>17</v>
      </c>
      <c r="AA78" s="20" t="s">
        <v>17</v>
      </c>
      <c r="AB78" s="20" t="s">
        <v>14</v>
      </c>
      <c r="AC78" s="20" t="s">
        <v>14</v>
      </c>
      <c r="AD78" s="20" t="s">
        <v>15</v>
      </c>
      <c r="AE78" s="20" t="s">
        <v>15</v>
      </c>
      <c r="AF78" s="20" t="s">
        <v>16</v>
      </c>
      <c r="AG78" s="20" t="s">
        <v>17</v>
      </c>
      <c r="AH78" s="20" t="s">
        <v>17</v>
      </c>
    </row>
    <row r="79" spans="1:34" ht="15.75" x14ac:dyDescent="0.25">
      <c r="A79" s="49" t="s">
        <v>86</v>
      </c>
      <c r="B79" s="19" t="s">
        <v>88</v>
      </c>
      <c r="C79" s="19">
        <v>82458</v>
      </c>
      <c r="D79" s="20" t="s">
        <v>14</v>
      </c>
      <c r="E79" s="20" t="s">
        <v>14</v>
      </c>
      <c r="F79" s="20" t="s">
        <v>15</v>
      </c>
      <c r="G79" s="20" t="s">
        <v>15</v>
      </c>
      <c r="H79" s="20" t="s">
        <v>16</v>
      </c>
      <c r="I79" s="20" t="s">
        <v>17</v>
      </c>
      <c r="J79" s="20" t="s">
        <v>17</v>
      </c>
      <c r="K79" s="20" t="s">
        <v>17</v>
      </c>
      <c r="L79" s="20" t="s">
        <v>14</v>
      </c>
      <c r="M79" s="20" t="s">
        <v>15</v>
      </c>
      <c r="N79" s="20" t="s">
        <v>15</v>
      </c>
      <c r="O79" s="20" t="s">
        <v>15</v>
      </c>
      <c r="P79" s="20" t="s">
        <v>16</v>
      </c>
      <c r="Q79" s="20" t="s">
        <v>17</v>
      </c>
      <c r="R79" s="20" t="s">
        <v>17</v>
      </c>
      <c r="S79" s="20" t="s">
        <v>17</v>
      </c>
      <c r="T79" s="20" t="s">
        <v>15</v>
      </c>
      <c r="U79" s="20" t="s">
        <v>15</v>
      </c>
      <c r="V79" s="20" t="s">
        <v>15</v>
      </c>
      <c r="W79" s="20" t="s">
        <v>15</v>
      </c>
      <c r="X79" s="20" t="s">
        <v>16</v>
      </c>
      <c r="Y79" s="20" t="s">
        <v>17</v>
      </c>
      <c r="Z79" s="20" t="s">
        <v>17</v>
      </c>
      <c r="AA79" s="20" t="s">
        <v>17</v>
      </c>
      <c r="AB79" s="20" t="s">
        <v>14</v>
      </c>
      <c r="AC79" s="20" t="s">
        <v>15</v>
      </c>
      <c r="AD79" s="20" t="s">
        <v>15</v>
      </c>
      <c r="AE79" s="20" t="s">
        <v>16</v>
      </c>
      <c r="AF79" s="20" t="s">
        <v>16</v>
      </c>
      <c r="AG79" s="20" t="s">
        <v>17</v>
      </c>
      <c r="AH79" s="20" t="s">
        <v>17</v>
      </c>
    </row>
    <row r="80" spans="1:34" ht="15.75" x14ac:dyDescent="0.25">
      <c r="A80" s="51" t="s">
        <v>86</v>
      </c>
      <c r="B80" s="22" t="s">
        <v>89</v>
      </c>
      <c r="C80" s="22">
        <v>8608</v>
      </c>
      <c r="D80" s="20" t="s">
        <v>15</v>
      </c>
      <c r="E80" s="20" t="s">
        <v>15</v>
      </c>
      <c r="F80" s="20" t="s">
        <v>15</v>
      </c>
      <c r="G80" s="20" t="s">
        <v>15</v>
      </c>
      <c r="H80" s="20" t="s">
        <v>17</v>
      </c>
      <c r="I80" s="20" t="s">
        <v>17</v>
      </c>
      <c r="J80" s="20" t="s">
        <v>14</v>
      </c>
      <c r="K80" s="20" t="s">
        <v>14</v>
      </c>
      <c r="L80" s="20" t="s">
        <v>14</v>
      </c>
      <c r="M80" s="20" t="s">
        <v>15</v>
      </c>
      <c r="N80" s="20" t="s">
        <v>15</v>
      </c>
      <c r="O80" s="20" t="s">
        <v>17</v>
      </c>
      <c r="P80" s="20" t="s">
        <v>17</v>
      </c>
      <c r="Q80" s="20" t="s">
        <v>14</v>
      </c>
      <c r="R80" s="20" t="s">
        <v>14</v>
      </c>
      <c r="S80" s="20" t="s">
        <v>14</v>
      </c>
      <c r="T80" s="20" t="s">
        <v>14</v>
      </c>
      <c r="U80" s="20" t="s">
        <v>15</v>
      </c>
      <c r="V80" s="20" t="s">
        <v>17</v>
      </c>
      <c r="W80" s="20" t="s">
        <v>17</v>
      </c>
      <c r="X80" s="20" t="s">
        <v>14</v>
      </c>
      <c r="Y80" s="20" t="s">
        <v>14</v>
      </c>
      <c r="Z80" s="20" t="s">
        <v>15</v>
      </c>
      <c r="AA80" s="20" t="s">
        <v>15</v>
      </c>
      <c r="AB80" s="20" t="s">
        <v>15</v>
      </c>
      <c r="AC80" s="20" t="s">
        <v>17</v>
      </c>
      <c r="AD80" s="20" t="s">
        <v>17</v>
      </c>
      <c r="AE80" s="20" t="s">
        <v>14</v>
      </c>
      <c r="AF80" s="20" t="s">
        <v>14</v>
      </c>
      <c r="AG80" s="20" t="s">
        <v>15</v>
      </c>
      <c r="AH80" s="20" t="s">
        <v>15</v>
      </c>
    </row>
    <row r="81" spans="1:34" ht="15.75" x14ac:dyDescent="0.25">
      <c r="A81" s="51" t="s">
        <v>86</v>
      </c>
      <c r="B81" s="22" t="s">
        <v>90</v>
      </c>
      <c r="C81" s="22">
        <v>80834</v>
      </c>
      <c r="D81" s="20" t="s">
        <v>16</v>
      </c>
      <c r="E81" s="20" t="s">
        <v>16</v>
      </c>
      <c r="F81" s="20" t="s">
        <v>17</v>
      </c>
      <c r="G81" s="20" t="s">
        <v>17</v>
      </c>
      <c r="H81" s="20" t="s">
        <v>17</v>
      </c>
      <c r="I81" s="20" t="s">
        <v>14</v>
      </c>
      <c r="J81" s="20" t="s">
        <v>14</v>
      </c>
      <c r="K81" s="20" t="s">
        <v>15</v>
      </c>
      <c r="L81" s="20" t="s">
        <v>16</v>
      </c>
      <c r="M81" s="20" t="s">
        <v>16</v>
      </c>
      <c r="N81" s="20" t="s">
        <v>17</v>
      </c>
      <c r="O81" s="20" t="s">
        <v>17</v>
      </c>
      <c r="P81" s="20" t="s">
        <v>17</v>
      </c>
      <c r="Q81" s="20" t="s">
        <v>14</v>
      </c>
      <c r="R81" s="20" t="s">
        <v>14</v>
      </c>
      <c r="S81" s="20" t="s">
        <v>15</v>
      </c>
      <c r="T81" s="20" t="s">
        <v>16</v>
      </c>
      <c r="U81" s="20" t="s">
        <v>16</v>
      </c>
      <c r="V81" s="20" t="s">
        <v>17</v>
      </c>
      <c r="W81" s="20" t="s">
        <v>17</v>
      </c>
      <c r="X81" s="20" t="s">
        <v>17</v>
      </c>
      <c r="Y81" s="20" t="s">
        <v>14</v>
      </c>
      <c r="Z81" s="20" t="s">
        <v>14</v>
      </c>
      <c r="AA81" s="20" t="s">
        <v>15</v>
      </c>
      <c r="AB81" s="20" t="s">
        <v>16</v>
      </c>
      <c r="AC81" s="20" t="s">
        <v>16</v>
      </c>
      <c r="AD81" s="20" t="s">
        <v>17</v>
      </c>
      <c r="AE81" s="20" t="s">
        <v>17</v>
      </c>
      <c r="AF81" s="20" t="s">
        <v>17</v>
      </c>
      <c r="AG81" s="20" t="s">
        <v>14</v>
      </c>
      <c r="AH81" s="20" t="s">
        <v>14</v>
      </c>
    </row>
    <row r="82" spans="1:34" ht="15.75" x14ac:dyDescent="0.25">
      <c r="A82" s="49" t="s">
        <v>86</v>
      </c>
      <c r="B82" s="19" t="s">
        <v>91</v>
      </c>
      <c r="C82" s="19">
        <v>990895</v>
      </c>
      <c r="D82" s="20" t="s">
        <v>16</v>
      </c>
      <c r="E82" s="20" t="s">
        <v>17</v>
      </c>
      <c r="F82" s="20" t="s">
        <v>17</v>
      </c>
      <c r="G82" s="20" t="s">
        <v>17</v>
      </c>
      <c r="H82" s="20" t="s">
        <v>14</v>
      </c>
      <c r="I82" s="20" t="s">
        <v>15</v>
      </c>
      <c r="J82" s="20" t="s">
        <v>15</v>
      </c>
      <c r="K82" s="20" t="s">
        <v>16</v>
      </c>
      <c r="L82" s="20" t="s">
        <v>16</v>
      </c>
      <c r="M82" s="20" t="s">
        <v>17</v>
      </c>
      <c r="N82" s="20" t="s">
        <v>17</v>
      </c>
      <c r="O82" s="20" t="s">
        <v>17</v>
      </c>
      <c r="P82" s="20" t="s">
        <v>14</v>
      </c>
      <c r="Q82" s="20" t="s">
        <v>14</v>
      </c>
      <c r="R82" s="20" t="s">
        <v>14</v>
      </c>
      <c r="S82" s="20" t="s">
        <v>16</v>
      </c>
      <c r="T82" s="20" t="s">
        <v>16</v>
      </c>
      <c r="U82" s="20" t="s">
        <v>17</v>
      </c>
      <c r="V82" s="20" t="s">
        <v>17</v>
      </c>
      <c r="W82" s="20" t="s">
        <v>17</v>
      </c>
      <c r="X82" s="20" t="s">
        <v>14</v>
      </c>
      <c r="Y82" s="20" t="s">
        <v>15</v>
      </c>
      <c r="Z82" s="20" t="s">
        <v>15</v>
      </c>
      <c r="AA82" s="20" t="s">
        <v>16</v>
      </c>
      <c r="AB82" s="20" t="s">
        <v>16</v>
      </c>
      <c r="AC82" s="20" t="s">
        <v>17</v>
      </c>
      <c r="AD82" s="20" t="s">
        <v>17</v>
      </c>
      <c r="AE82" s="20" t="s">
        <v>17</v>
      </c>
      <c r="AF82" s="20" t="s">
        <v>14</v>
      </c>
      <c r="AG82" s="20" t="s">
        <v>14</v>
      </c>
      <c r="AH82" s="20" t="s">
        <v>14</v>
      </c>
    </row>
    <row r="83" spans="1:34" ht="15.75" x14ac:dyDescent="0.25">
      <c r="A83" s="49" t="s">
        <v>86</v>
      </c>
      <c r="B83" s="19" t="s">
        <v>92</v>
      </c>
      <c r="C83" s="19">
        <v>80478</v>
      </c>
      <c r="D83" s="20" t="s">
        <v>16</v>
      </c>
      <c r="E83" s="20" t="s">
        <v>17</v>
      </c>
      <c r="F83" s="20" t="s">
        <v>17</v>
      </c>
      <c r="G83" s="20" t="s">
        <v>17</v>
      </c>
      <c r="H83" s="20" t="s">
        <v>14</v>
      </c>
      <c r="I83" s="20" t="s">
        <v>15</v>
      </c>
      <c r="J83" s="20" t="s">
        <v>15</v>
      </c>
      <c r="K83" s="20" t="s">
        <v>16</v>
      </c>
      <c r="L83" s="20" t="s">
        <v>16</v>
      </c>
      <c r="M83" s="20" t="s">
        <v>17</v>
      </c>
      <c r="N83" s="20" t="s">
        <v>17</v>
      </c>
      <c r="O83" s="20" t="s">
        <v>17</v>
      </c>
      <c r="P83" s="20" t="s">
        <v>14</v>
      </c>
      <c r="Q83" s="20" t="s">
        <v>15</v>
      </c>
      <c r="R83" s="20" t="s">
        <v>15</v>
      </c>
      <c r="S83" s="20" t="s">
        <v>16</v>
      </c>
      <c r="T83" s="20" t="s">
        <v>16</v>
      </c>
      <c r="U83" s="20" t="s">
        <v>17</v>
      </c>
      <c r="V83" s="20" t="s">
        <v>17</v>
      </c>
      <c r="W83" s="20" t="s">
        <v>17</v>
      </c>
      <c r="X83" s="20" t="s">
        <v>14</v>
      </c>
      <c r="Y83" s="20" t="s">
        <v>14</v>
      </c>
      <c r="Z83" s="20" t="s">
        <v>14</v>
      </c>
      <c r="AA83" s="20" t="s">
        <v>15</v>
      </c>
      <c r="AB83" s="20" t="s">
        <v>16</v>
      </c>
      <c r="AC83" s="20" t="s">
        <v>17</v>
      </c>
      <c r="AD83" s="20" t="s">
        <v>17</v>
      </c>
      <c r="AE83" s="20" t="s">
        <v>17</v>
      </c>
      <c r="AF83" s="24" t="s">
        <v>23</v>
      </c>
      <c r="AG83" s="24" t="s">
        <v>23</v>
      </c>
      <c r="AH83" s="24" t="s">
        <v>23</v>
      </c>
    </row>
    <row r="84" spans="1:34" ht="15.75" x14ac:dyDescent="0.25">
      <c r="A84" s="49" t="s">
        <v>86</v>
      </c>
      <c r="B84" s="19" t="s">
        <v>93</v>
      </c>
      <c r="C84" s="19">
        <v>81080</v>
      </c>
      <c r="D84" s="20" t="s">
        <v>17</v>
      </c>
      <c r="E84" s="20" t="s">
        <v>17</v>
      </c>
      <c r="F84" s="20" t="s">
        <v>17</v>
      </c>
      <c r="G84" s="20" t="s">
        <v>14</v>
      </c>
      <c r="H84" s="20" t="s">
        <v>14</v>
      </c>
      <c r="I84" s="20" t="s">
        <v>14</v>
      </c>
      <c r="J84" s="20" t="s">
        <v>14</v>
      </c>
      <c r="K84" s="20" t="s">
        <v>16</v>
      </c>
      <c r="L84" s="20" t="s">
        <v>17</v>
      </c>
      <c r="M84" s="20" t="s">
        <v>17</v>
      </c>
      <c r="N84" s="20" t="s">
        <v>17</v>
      </c>
      <c r="O84" s="20" t="s">
        <v>14</v>
      </c>
      <c r="P84" s="20" t="s">
        <v>15</v>
      </c>
      <c r="Q84" s="20" t="s">
        <v>15</v>
      </c>
      <c r="R84" s="20" t="s">
        <v>15</v>
      </c>
      <c r="S84" s="20" t="s">
        <v>16</v>
      </c>
      <c r="T84" s="20" t="s">
        <v>17</v>
      </c>
      <c r="U84" s="20" t="s">
        <v>17</v>
      </c>
      <c r="V84" s="20" t="s">
        <v>17</v>
      </c>
      <c r="W84" s="20" t="s">
        <v>14</v>
      </c>
      <c r="X84" s="20" t="s">
        <v>15</v>
      </c>
      <c r="Y84" s="20" t="s">
        <v>15</v>
      </c>
      <c r="Z84" s="20" t="s">
        <v>15</v>
      </c>
      <c r="AA84" s="20" t="s">
        <v>16</v>
      </c>
      <c r="AB84" s="20" t="s">
        <v>17</v>
      </c>
      <c r="AC84" s="20" t="s">
        <v>17</v>
      </c>
      <c r="AD84" s="20" t="s">
        <v>17</v>
      </c>
      <c r="AE84" s="20" t="s">
        <v>14</v>
      </c>
      <c r="AF84" s="20" t="s">
        <v>14</v>
      </c>
      <c r="AG84" s="20" t="s">
        <v>14</v>
      </c>
      <c r="AH84" s="20" t="s">
        <v>15</v>
      </c>
    </row>
    <row r="85" spans="1:34" ht="15.75" x14ac:dyDescent="0.25">
      <c r="A85" s="49" t="s">
        <v>86</v>
      </c>
      <c r="B85" s="19" t="s">
        <v>94</v>
      </c>
      <c r="C85" s="19">
        <v>81151</v>
      </c>
      <c r="D85" s="20" t="s">
        <v>17</v>
      </c>
      <c r="E85" s="20" t="s">
        <v>17</v>
      </c>
      <c r="F85" s="20" t="s">
        <v>14</v>
      </c>
      <c r="G85" s="20" t="s">
        <v>14</v>
      </c>
      <c r="H85" s="20" t="s">
        <v>15</v>
      </c>
      <c r="I85" s="20" t="s">
        <v>16</v>
      </c>
      <c r="J85" s="20" t="s">
        <v>16</v>
      </c>
      <c r="K85" s="20" t="s">
        <v>17</v>
      </c>
      <c r="L85" s="20" t="s">
        <v>17</v>
      </c>
      <c r="M85" s="20" t="s">
        <v>17</v>
      </c>
      <c r="N85" s="20" t="s">
        <v>14</v>
      </c>
      <c r="O85" s="20" t="s">
        <v>14</v>
      </c>
      <c r="P85" s="20" t="s">
        <v>14</v>
      </c>
      <c r="Q85" s="20" t="s">
        <v>16</v>
      </c>
      <c r="R85" s="20" t="s">
        <v>16</v>
      </c>
      <c r="S85" s="20" t="s">
        <v>17</v>
      </c>
      <c r="T85" s="20" t="s">
        <v>17</v>
      </c>
      <c r="U85" s="20" t="s">
        <v>17</v>
      </c>
      <c r="V85" s="20" t="s">
        <v>15</v>
      </c>
      <c r="W85" s="20" t="s">
        <v>15</v>
      </c>
      <c r="X85" s="20" t="s">
        <v>15</v>
      </c>
      <c r="Y85" s="20" t="s">
        <v>16</v>
      </c>
      <c r="Z85" s="20" t="s">
        <v>16</v>
      </c>
      <c r="AA85" s="20" t="s">
        <v>17</v>
      </c>
      <c r="AB85" s="20" t="s">
        <v>17</v>
      </c>
      <c r="AC85" s="20" t="s">
        <v>17</v>
      </c>
      <c r="AD85" s="20" t="s">
        <v>14</v>
      </c>
      <c r="AE85" s="20" t="s">
        <v>14</v>
      </c>
      <c r="AF85" s="20" t="s">
        <v>15</v>
      </c>
      <c r="AG85" s="20" t="s">
        <v>16</v>
      </c>
      <c r="AH85" s="20" t="s">
        <v>16</v>
      </c>
    </row>
    <row r="86" spans="1:34" ht="15.75" x14ac:dyDescent="0.25">
      <c r="A86" s="51" t="s">
        <v>86</v>
      </c>
      <c r="B86" s="22" t="s">
        <v>95</v>
      </c>
      <c r="C86" s="22">
        <v>990786</v>
      </c>
      <c r="D86" s="20" t="s">
        <v>14</v>
      </c>
      <c r="E86" s="20" t="s">
        <v>16</v>
      </c>
      <c r="F86" s="20" t="s">
        <v>16</v>
      </c>
      <c r="G86" s="20" t="s">
        <v>16</v>
      </c>
      <c r="H86" s="20" t="s">
        <v>17</v>
      </c>
      <c r="I86" s="20" t="s">
        <v>17</v>
      </c>
      <c r="J86" s="20" t="s">
        <v>17</v>
      </c>
      <c r="K86" s="20" t="s">
        <v>14</v>
      </c>
      <c r="L86" s="23" t="s">
        <v>20</v>
      </c>
      <c r="M86" s="20" t="s">
        <v>15</v>
      </c>
      <c r="N86" s="20" t="s">
        <v>16</v>
      </c>
      <c r="O86" s="20" t="s">
        <v>16</v>
      </c>
      <c r="P86" s="20" t="s">
        <v>17</v>
      </c>
      <c r="Q86" s="20" t="s">
        <v>17</v>
      </c>
      <c r="R86" s="20" t="s">
        <v>17</v>
      </c>
      <c r="S86" s="20" t="s">
        <v>14</v>
      </c>
      <c r="T86" s="20" t="s">
        <v>15</v>
      </c>
      <c r="U86" s="20" t="s">
        <v>16</v>
      </c>
      <c r="V86" s="20" t="s">
        <v>16</v>
      </c>
      <c r="W86" s="20" t="s">
        <v>16</v>
      </c>
      <c r="X86" s="20" t="s">
        <v>17</v>
      </c>
      <c r="Y86" s="20" t="s">
        <v>17</v>
      </c>
      <c r="Z86" s="20" t="s">
        <v>17</v>
      </c>
      <c r="AA86" s="20" t="s">
        <v>14</v>
      </c>
      <c r="AB86" s="20" t="s">
        <v>14</v>
      </c>
      <c r="AC86" s="20" t="s">
        <v>16</v>
      </c>
      <c r="AD86" s="20" t="s">
        <v>16</v>
      </c>
      <c r="AE86" s="20" t="s">
        <v>16</v>
      </c>
      <c r="AF86" s="20" t="s">
        <v>17</v>
      </c>
      <c r="AG86" s="20" t="s">
        <v>17</v>
      </c>
      <c r="AH86" s="20" t="s">
        <v>17</v>
      </c>
    </row>
    <row r="87" spans="1:34" ht="15.75" x14ac:dyDescent="0.25">
      <c r="A87" s="51" t="s">
        <v>86</v>
      </c>
      <c r="B87" s="22" t="s">
        <v>96</v>
      </c>
      <c r="C87" s="22">
        <v>82435</v>
      </c>
      <c r="D87" s="20" t="s">
        <v>15</v>
      </c>
      <c r="E87" s="20" t="s">
        <v>15</v>
      </c>
      <c r="F87" s="20" t="s">
        <v>16</v>
      </c>
      <c r="G87" s="20" t="s">
        <v>16</v>
      </c>
      <c r="H87" s="20" t="s">
        <v>17</v>
      </c>
      <c r="I87" s="20" t="s">
        <v>17</v>
      </c>
      <c r="J87" s="20" t="s">
        <v>17</v>
      </c>
      <c r="K87" s="20" t="s">
        <v>14</v>
      </c>
      <c r="L87" s="20" t="s">
        <v>14</v>
      </c>
      <c r="M87" s="20" t="s">
        <v>16</v>
      </c>
      <c r="N87" s="20" t="s">
        <v>16</v>
      </c>
      <c r="O87" s="20" t="s">
        <v>16</v>
      </c>
      <c r="P87" s="20" t="s">
        <v>17</v>
      </c>
      <c r="Q87" s="20" t="s">
        <v>17</v>
      </c>
      <c r="R87" s="20" t="s">
        <v>17</v>
      </c>
      <c r="S87" s="20" t="s">
        <v>14</v>
      </c>
      <c r="T87" s="20" t="s">
        <v>14</v>
      </c>
      <c r="U87" s="20" t="s">
        <v>15</v>
      </c>
      <c r="V87" s="20" t="s">
        <v>16</v>
      </c>
      <c r="W87" s="20" t="s">
        <v>16</v>
      </c>
      <c r="X87" s="20" t="s">
        <v>17</v>
      </c>
      <c r="Y87" s="20" t="s">
        <v>17</v>
      </c>
      <c r="Z87" s="20" t="s">
        <v>17</v>
      </c>
      <c r="AA87" s="20" t="s">
        <v>14</v>
      </c>
      <c r="AB87" s="20" t="s">
        <v>15</v>
      </c>
      <c r="AC87" s="20" t="s">
        <v>15</v>
      </c>
      <c r="AD87" s="20" t="s">
        <v>16</v>
      </c>
      <c r="AE87" s="20" t="s">
        <v>16</v>
      </c>
      <c r="AF87" s="20" t="s">
        <v>17</v>
      </c>
      <c r="AG87" s="20" t="s">
        <v>17</v>
      </c>
      <c r="AH87" s="20" t="s">
        <v>17</v>
      </c>
    </row>
    <row r="88" spans="1:34" ht="15.75" x14ac:dyDescent="0.25">
      <c r="A88" s="51" t="s">
        <v>86</v>
      </c>
      <c r="B88" s="22" t="s">
        <v>70</v>
      </c>
      <c r="C88" s="22">
        <v>82414</v>
      </c>
      <c r="D88" s="20" t="s">
        <v>15</v>
      </c>
      <c r="E88" s="20" t="s">
        <v>16</v>
      </c>
      <c r="F88" s="20" t="s">
        <v>16</v>
      </c>
      <c r="G88" s="20" t="s">
        <v>16</v>
      </c>
      <c r="H88" s="20" t="s">
        <v>17</v>
      </c>
      <c r="I88" s="20" t="s">
        <v>17</v>
      </c>
      <c r="J88" s="20" t="s">
        <v>17</v>
      </c>
      <c r="K88" s="23" t="s">
        <v>20</v>
      </c>
      <c r="L88" s="20" t="s">
        <v>15</v>
      </c>
      <c r="M88" s="20" t="s">
        <v>16</v>
      </c>
      <c r="N88" s="20" t="s">
        <v>16</v>
      </c>
      <c r="O88" s="20" t="s">
        <v>16</v>
      </c>
      <c r="P88" s="20" t="s">
        <v>17</v>
      </c>
      <c r="Q88" s="20" t="s">
        <v>17</v>
      </c>
      <c r="R88" s="20" t="s">
        <v>17</v>
      </c>
      <c r="S88" s="20" t="s">
        <v>14</v>
      </c>
      <c r="T88" s="20" t="s">
        <v>15</v>
      </c>
      <c r="U88" s="20" t="s">
        <v>16</v>
      </c>
      <c r="V88" s="20" t="s">
        <v>16</v>
      </c>
      <c r="W88" s="20" t="s">
        <v>16</v>
      </c>
      <c r="X88" s="20" t="s">
        <v>17</v>
      </c>
      <c r="Y88" s="20" t="s">
        <v>17</v>
      </c>
      <c r="Z88" s="20" t="s">
        <v>17</v>
      </c>
      <c r="AA88" s="20" t="s">
        <v>14</v>
      </c>
      <c r="AB88" s="20" t="s">
        <v>15</v>
      </c>
      <c r="AC88" s="20" t="s">
        <v>16</v>
      </c>
      <c r="AD88" s="20" t="s">
        <v>16</v>
      </c>
      <c r="AE88" s="20" t="s">
        <v>16</v>
      </c>
      <c r="AF88" s="20" t="s">
        <v>17</v>
      </c>
      <c r="AG88" s="20" t="s">
        <v>17</v>
      </c>
      <c r="AH88" s="20" t="s">
        <v>17</v>
      </c>
    </row>
    <row r="89" spans="1:34" ht="15.75" x14ac:dyDescent="0.25">
      <c r="A89" s="51" t="s">
        <v>86</v>
      </c>
      <c r="B89" s="22" t="s">
        <v>97</v>
      </c>
      <c r="C89" s="22">
        <v>82535</v>
      </c>
      <c r="D89" s="20" t="s">
        <v>14</v>
      </c>
      <c r="E89" s="20" t="s">
        <v>15</v>
      </c>
      <c r="F89" s="20" t="s">
        <v>15</v>
      </c>
      <c r="G89" s="20" t="s">
        <v>16</v>
      </c>
      <c r="H89" s="20" t="s">
        <v>16</v>
      </c>
      <c r="I89" s="20" t="s">
        <v>17</v>
      </c>
      <c r="J89" s="20" t="s">
        <v>17</v>
      </c>
      <c r="K89" s="20" t="s">
        <v>17</v>
      </c>
      <c r="L89" s="20" t="s">
        <v>14</v>
      </c>
      <c r="M89" s="20" t="s">
        <v>15</v>
      </c>
      <c r="N89" s="20" t="s">
        <v>15</v>
      </c>
      <c r="O89" s="20" t="s">
        <v>16</v>
      </c>
      <c r="P89" s="20" t="s">
        <v>16</v>
      </c>
      <c r="Q89" s="20" t="s">
        <v>17</v>
      </c>
      <c r="R89" s="20" t="s">
        <v>17</v>
      </c>
      <c r="S89" s="20" t="s">
        <v>17</v>
      </c>
      <c r="T89" s="24" t="s">
        <v>23</v>
      </c>
      <c r="U89" s="24" t="s">
        <v>23</v>
      </c>
      <c r="V89" s="24" t="s">
        <v>23</v>
      </c>
      <c r="W89" s="24" t="s">
        <v>23</v>
      </c>
      <c r="X89" s="24" t="s">
        <v>23</v>
      </c>
      <c r="Y89" s="24" t="s">
        <v>23</v>
      </c>
      <c r="Z89" s="24" t="s">
        <v>23</v>
      </c>
      <c r="AA89" s="24" t="s">
        <v>23</v>
      </c>
      <c r="AB89" s="24" t="s">
        <v>23</v>
      </c>
      <c r="AC89" s="24" t="s">
        <v>23</v>
      </c>
      <c r="AD89" s="24" t="s">
        <v>23</v>
      </c>
      <c r="AE89" s="24" t="s">
        <v>23</v>
      </c>
      <c r="AF89" s="24" t="s">
        <v>23</v>
      </c>
      <c r="AG89" s="24" t="s">
        <v>23</v>
      </c>
      <c r="AH89" s="24" t="s">
        <v>23</v>
      </c>
    </row>
    <row r="90" spans="1:34" ht="15.75" x14ac:dyDescent="0.25">
      <c r="A90" s="49" t="s">
        <v>86</v>
      </c>
      <c r="B90" s="19" t="s">
        <v>98</v>
      </c>
      <c r="C90" s="19">
        <v>81152</v>
      </c>
      <c r="D90" s="20" t="s">
        <v>17</v>
      </c>
      <c r="E90" s="20" t="s">
        <v>17</v>
      </c>
      <c r="F90" s="24" t="s">
        <v>23</v>
      </c>
      <c r="G90" s="24" t="s">
        <v>23</v>
      </c>
      <c r="H90" s="24" t="s">
        <v>23</v>
      </c>
      <c r="I90" s="24" t="s">
        <v>23</v>
      </c>
      <c r="J90" s="24" t="s">
        <v>23</v>
      </c>
      <c r="K90" s="24" t="s">
        <v>23</v>
      </c>
      <c r="L90" s="24" t="s">
        <v>23</v>
      </c>
      <c r="M90" s="24" t="s">
        <v>23</v>
      </c>
      <c r="N90" s="24" t="s">
        <v>23</v>
      </c>
      <c r="O90" s="24" t="s">
        <v>23</v>
      </c>
      <c r="P90" s="24" t="s">
        <v>23</v>
      </c>
      <c r="Q90" s="24" t="s">
        <v>23</v>
      </c>
      <c r="R90" s="24" t="s">
        <v>23</v>
      </c>
      <c r="S90" s="20" t="s">
        <v>17</v>
      </c>
      <c r="T90" s="20" t="s">
        <v>17</v>
      </c>
      <c r="U90" s="20" t="s">
        <v>17</v>
      </c>
      <c r="V90" s="20" t="s">
        <v>14</v>
      </c>
      <c r="W90" s="20" t="s">
        <v>14</v>
      </c>
      <c r="X90" s="20" t="s">
        <v>15</v>
      </c>
      <c r="Y90" s="20" t="s">
        <v>16</v>
      </c>
      <c r="Z90" s="20" t="s">
        <v>16</v>
      </c>
      <c r="AA90" s="20" t="s">
        <v>17</v>
      </c>
      <c r="AB90" s="20" t="s">
        <v>17</v>
      </c>
      <c r="AC90" s="20" t="s">
        <v>17</v>
      </c>
      <c r="AD90" s="20" t="s">
        <v>14</v>
      </c>
      <c r="AE90" s="20" t="s">
        <v>14</v>
      </c>
      <c r="AF90" s="20" t="s">
        <v>14</v>
      </c>
      <c r="AG90" s="20" t="s">
        <v>16</v>
      </c>
      <c r="AH90" s="20" t="s">
        <v>16</v>
      </c>
    </row>
    <row r="91" spans="1:34" ht="15.75" x14ac:dyDescent="0.25">
      <c r="A91" s="49" t="s">
        <v>86</v>
      </c>
      <c r="B91" s="19" t="s">
        <v>99</v>
      </c>
      <c r="C91" s="19">
        <v>8836</v>
      </c>
      <c r="D91" s="20" t="s">
        <v>17</v>
      </c>
      <c r="E91" s="20" t="s">
        <v>17</v>
      </c>
      <c r="F91" s="20" t="s">
        <v>14</v>
      </c>
      <c r="G91" s="20" t="s">
        <v>14</v>
      </c>
      <c r="H91" s="20" t="s">
        <v>15</v>
      </c>
      <c r="I91" s="20" t="s">
        <v>15</v>
      </c>
      <c r="J91" s="20" t="s">
        <v>16</v>
      </c>
      <c r="K91" s="20" t="s">
        <v>17</v>
      </c>
      <c r="L91" s="20" t="s">
        <v>17</v>
      </c>
      <c r="M91" s="20" t="s">
        <v>17</v>
      </c>
      <c r="N91" s="20" t="s">
        <v>14</v>
      </c>
      <c r="O91" s="20" t="s">
        <v>14</v>
      </c>
      <c r="P91" s="20" t="s">
        <v>15</v>
      </c>
      <c r="Q91" s="20" t="s">
        <v>16</v>
      </c>
      <c r="R91" s="20" t="s">
        <v>16</v>
      </c>
      <c r="S91" s="20" t="s">
        <v>17</v>
      </c>
      <c r="T91" s="20" t="s">
        <v>17</v>
      </c>
      <c r="U91" s="20" t="s">
        <v>17</v>
      </c>
      <c r="V91" s="20" t="s">
        <v>14</v>
      </c>
      <c r="W91" s="20" t="s">
        <v>14</v>
      </c>
      <c r="X91" s="20" t="s">
        <v>14</v>
      </c>
      <c r="Y91" s="20" t="s">
        <v>15</v>
      </c>
      <c r="Z91" s="20" t="s">
        <v>16</v>
      </c>
      <c r="AA91" s="20" t="s">
        <v>17</v>
      </c>
      <c r="AB91" s="20" t="s">
        <v>17</v>
      </c>
      <c r="AC91" s="20" t="s">
        <v>17</v>
      </c>
      <c r="AD91" s="20" t="s">
        <v>14</v>
      </c>
      <c r="AE91" s="20" t="s">
        <v>14</v>
      </c>
      <c r="AF91" s="20" t="s">
        <v>15</v>
      </c>
      <c r="AG91" s="20" t="s">
        <v>15</v>
      </c>
      <c r="AH91" s="20" t="s">
        <v>16</v>
      </c>
    </row>
    <row r="92" spans="1:34" ht="15.75" x14ac:dyDescent="0.25">
      <c r="A92" s="49" t="s">
        <v>86</v>
      </c>
      <c r="B92" s="19" t="s">
        <v>100</v>
      </c>
      <c r="C92" s="19">
        <v>990751</v>
      </c>
      <c r="D92" s="20" t="s">
        <v>17</v>
      </c>
      <c r="E92" s="20" t="s">
        <v>14</v>
      </c>
      <c r="F92" s="20" t="s">
        <v>14</v>
      </c>
      <c r="G92" s="20" t="s">
        <v>15</v>
      </c>
      <c r="H92" s="20" t="s">
        <v>16</v>
      </c>
      <c r="I92" s="20" t="s">
        <v>16</v>
      </c>
      <c r="J92" s="20" t="s">
        <v>17</v>
      </c>
      <c r="K92" s="20" t="s">
        <v>17</v>
      </c>
      <c r="L92" s="20" t="s">
        <v>17</v>
      </c>
      <c r="M92" s="20" t="s">
        <v>14</v>
      </c>
      <c r="N92" s="20" t="s">
        <v>14</v>
      </c>
      <c r="O92" s="20" t="s">
        <v>15</v>
      </c>
      <c r="P92" s="20" t="s">
        <v>16</v>
      </c>
      <c r="Q92" s="20" t="s">
        <v>16</v>
      </c>
      <c r="R92" s="20" t="s">
        <v>17</v>
      </c>
      <c r="S92" s="20" t="s">
        <v>17</v>
      </c>
      <c r="T92" s="20" t="s">
        <v>17</v>
      </c>
      <c r="U92" s="20" t="s">
        <v>14</v>
      </c>
      <c r="V92" s="20" t="s">
        <v>15</v>
      </c>
      <c r="W92" s="20" t="s">
        <v>15</v>
      </c>
      <c r="X92" s="20" t="s">
        <v>16</v>
      </c>
      <c r="Y92" s="20" t="s">
        <v>16</v>
      </c>
      <c r="Z92" s="20" t="s">
        <v>17</v>
      </c>
      <c r="AA92" s="20" t="s">
        <v>17</v>
      </c>
      <c r="AB92" s="20" t="s">
        <v>17</v>
      </c>
      <c r="AC92" s="20" t="s">
        <v>14</v>
      </c>
      <c r="AD92" s="20" t="s">
        <v>15</v>
      </c>
      <c r="AE92" s="20" t="s">
        <v>15</v>
      </c>
      <c r="AF92" s="20" t="s">
        <v>16</v>
      </c>
      <c r="AG92" s="20" t="s">
        <v>16</v>
      </c>
      <c r="AH92" s="20" t="s">
        <v>17</v>
      </c>
    </row>
    <row r="93" spans="1:34" ht="15.75" x14ac:dyDescent="0.25">
      <c r="A93" s="49" t="s">
        <v>86</v>
      </c>
      <c r="B93" s="19" t="s">
        <v>101</v>
      </c>
      <c r="C93" s="19">
        <v>82330</v>
      </c>
      <c r="D93" s="20" t="s">
        <v>17</v>
      </c>
      <c r="E93" s="20" t="s">
        <v>14</v>
      </c>
      <c r="F93" s="20" t="s">
        <v>14</v>
      </c>
      <c r="G93" s="20" t="s">
        <v>15</v>
      </c>
      <c r="H93" s="20" t="s">
        <v>15</v>
      </c>
      <c r="I93" s="20" t="s">
        <v>16</v>
      </c>
      <c r="J93" s="20" t="s">
        <v>17</v>
      </c>
      <c r="K93" s="20" t="s">
        <v>17</v>
      </c>
      <c r="L93" s="20" t="s">
        <v>17</v>
      </c>
      <c r="M93" s="20" t="s">
        <v>14</v>
      </c>
      <c r="N93" s="20" t="s">
        <v>14</v>
      </c>
      <c r="O93" s="24" t="s">
        <v>23</v>
      </c>
      <c r="P93" s="24" t="s">
        <v>23</v>
      </c>
      <c r="Q93" s="20" t="s">
        <v>16</v>
      </c>
      <c r="R93" s="20" t="s">
        <v>17</v>
      </c>
      <c r="S93" s="20" t="s">
        <v>17</v>
      </c>
      <c r="T93" s="20" t="s">
        <v>17</v>
      </c>
      <c r="U93" s="20" t="s">
        <v>14</v>
      </c>
      <c r="V93" s="20" t="s">
        <v>14</v>
      </c>
      <c r="W93" s="20" t="s">
        <v>15</v>
      </c>
      <c r="X93" s="20" t="s">
        <v>16</v>
      </c>
      <c r="Y93" s="20" t="s">
        <v>16</v>
      </c>
      <c r="Z93" s="20" t="s">
        <v>17</v>
      </c>
      <c r="AA93" s="20" t="s">
        <v>17</v>
      </c>
      <c r="AB93" s="20" t="s">
        <v>17</v>
      </c>
      <c r="AC93" s="20" t="s">
        <v>14</v>
      </c>
      <c r="AD93" s="20" t="s">
        <v>14</v>
      </c>
      <c r="AE93" s="20" t="s">
        <v>15</v>
      </c>
      <c r="AF93" s="20" t="s">
        <v>15</v>
      </c>
      <c r="AG93" s="20" t="s">
        <v>16</v>
      </c>
      <c r="AH93" s="20" t="s">
        <v>17</v>
      </c>
    </row>
    <row r="94" spans="1:34" x14ac:dyDescent="0.25">
      <c r="A94" s="55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7"/>
    </row>
    <row r="95" spans="1:34" ht="21" x14ac:dyDescent="0.25">
      <c r="A95" s="35">
        <v>16</v>
      </c>
      <c r="B95" s="36" t="s">
        <v>43</v>
      </c>
      <c r="C95" s="37"/>
      <c r="D95" s="65">
        <f>COUNTIF(D78:D93,"M*")</f>
        <v>4</v>
      </c>
      <c r="E95" s="65">
        <f t="shared" ref="E95:AH95" si="9">COUNTIF(E78:E93,"M*")</f>
        <v>4</v>
      </c>
      <c r="F95" s="65">
        <f t="shared" si="9"/>
        <v>4</v>
      </c>
      <c r="G95" s="65">
        <f t="shared" si="9"/>
        <v>3</v>
      </c>
      <c r="H95" s="65">
        <f t="shared" si="9"/>
        <v>3</v>
      </c>
      <c r="I95" s="65">
        <f t="shared" si="9"/>
        <v>2</v>
      </c>
      <c r="J95" s="65">
        <f t="shared" si="9"/>
        <v>3</v>
      </c>
      <c r="K95" s="65">
        <f t="shared" si="9"/>
        <v>3</v>
      </c>
      <c r="L95" s="65">
        <f t="shared" si="9"/>
        <v>5</v>
      </c>
      <c r="M95" s="65">
        <f t="shared" si="9"/>
        <v>3</v>
      </c>
      <c r="N95" s="65">
        <f t="shared" si="9"/>
        <v>4</v>
      </c>
      <c r="O95" s="65">
        <f t="shared" si="9"/>
        <v>3</v>
      </c>
      <c r="P95" s="65">
        <f t="shared" si="9"/>
        <v>3</v>
      </c>
      <c r="Q95" s="65">
        <f t="shared" si="9"/>
        <v>3</v>
      </c>
      <c r="R95" s="65">
        <f t="shared" si="9"/>
        <v>3</v>
      </c>
      <c r="S95" s="65">
        <f t="shared" si="9"/>
        <v>4</v>
      </c>
      <c r="T95" s="65">
        <f t="shared" si="9"/>
        <v>2</v>
      </c>
      <c r="U95" s="65">
        <f t="shared" si="9"/>
        <v>2</v>
      </c>
      <c r="V95" s="65">
        <f t="shared" si="9"/>
        <v>3</v>
      </c>
      <c r="W95" s="65">
        <f t="shared" si="9"/>
        <v>3</v>
      </c>
      <c r="X95" s="65">
        <f t="shared" si="9"/>
        <v>4</v>
      </c>
      <c r="Y95" s="65">
        <f t="shared" si="9"/>
        <v>3</v>
      </c>
      <c r="Z95" s="65">
        <f t="shared" si="9"/>
        <v>2</v>
      </c>
      <c r="AA95" s="65">
        <f t="shared" si="9"/>
        <v>3</v>
      </c>
      <c r="AB95" s="65">
        <f t="shared" si="9"/>
        <v>3</v>
      </c>
      <c r="AC95" s="65">
        <f t="shared" si="9"/>
        <v>3</v>
      </c>
      <c r="AD95" s="65">
        <f t="shared" si="9"/>
        <v>4</v>
      </c>
      <c r="AE95" s="65">
        <f t="shared" si="9"/>
        <v>5</v>
      </c>
      <c r="AF95" s="65">
        <f t="shared" si="9"/>
        <v>4</v>
      </c>
      <c r="AG95" s="65">
        <f t="shared" si="9"/>
        <v>3</v>
      </c>
      <c r="AH95" s="65">
        <f t="shared" si="9"/>
        <v>2</v>
      </c>
    </row>
    <row r="96" spans="1:34" ht="21" x14ac:dyDescent="0.25">
      <c r="A96" s="39"/>
      <c r="B96" s="40" t="s">
        <v>44</v>
      </c>
      <c r="C96" s="41"/>
      <c r="D96" s="66">
        <f>COUNTIF(D78:D93,"A*")</f>
        <v>3</v>
      </c>
      <c r="E96" s="66">
        <f t="shared" ref="E96:AH96" si="10">COUNTIF(E78:E93,"A*")</f>
        <v>3</v>
      </c>
      <c r="F96" s="66">
        <f t="shared" si="10"/>
        <v>4</v>
      </c>
      <c r="G96" s="66">
        <f t="shared" si="10"/>
        <v>5</v>
      </c>
      <c r="H96" s="66">
        <f t="shared" si="10"/>
        <v>3</v>
      </c>
      <c r="I96" s="66">
        <f t="shared" si="10"/>
        <v>3</v>
      </c>
      <c r="J96" s="66">
        <f t="shared" si="10"/>
        <v>2</v>
      </c>
      <c r="K96" s="66">
        <f t="shared" si="10"/>
        <v>1</v>
      </c>
      <c r="L96" s="66">
        <f t="shared" si="10"/>
        <v>1</v>
      </c>
      <c r="M96" s="66">
        <f t="shared" si="10"/>
        <v>4</v>
      </c>
      <c r="N96" s="66">
        <f t="shared" si="10"/>
        <v>4</v>
      </c>
      <c r="O96" s="66">
        <f t="shared" si="10"/>
        <v>3</v>
      </c>
      <c r="P96" s="66">
        <f t="shared" si="10"/>
        <v>2</v>
      </c>
      <c r="Q96" s="66">
        <f t="shared" si="10"/>
        <v>2</v>
      </c>
      <c r="R96" s="66">
        <f t="shared" si="10"/>
        <v>2</v>
      </c>
      <c r="S96" s="66">
        <f t="shared" si="10"/>
        <v>1</v>
      </c>
      <c r="T96" s="66">
        <f t="shared" si="10"/>
        <v>3</v>
      </c>
      <c r="U96" s="66">
        <f t="shared" si="10"/>
        <v>3</v>
      </c>
      <c r="V96" s="66">
        <f t="shared" si="10"/>
        <v>3</v>
      </c>
      <c r="W96" s="66">
        <f t="shared" si="10"/>
        <v>4</v>
      </c>
      <c r="X96" s="66">
        <f t="shared" si="10"/>
        <v>3</v>
      </c>
      <c r="Y96" s="66">
        <f t="shared" si="10"/>
        <v>3</v>
      </c>
      <c r="Z96" s="66">
        <f t="shared" si="10"/>
        <v>3</v>
      </c>
      <c r="AA96" s="66">
        <f t="shared" si="10"/>
        <v>3</v>
      </c>
      <c r="AB96" s="66">
        <f t="shared" si="10"/>
        <v>3</v>
      </c>
      <c r="AC96" s="66">
        <f t="shared" si="10"/>
        <v>2</v>
      </c>
      <c r="AD96" s="66">
        <f t="shared" si="10"/>
        <v>3</v>
      </c>
      <c r="AE96" s="66">
        <f t="shared" si="10"/>
        <v>3</v>
      </c>
      <c r="AF96" s="66">
        <f t="shared" si="10"/>
        <v>3</v>
      </c>
      <c r="AG96" s="66">
        <f t="shared" si="10"/>
        <v>2</v>
      </c>
      <c r="AH96" s="66">
        <f t="shared" si="10"/>
        <v>2</v>
      </c>
    </row>
    <row r="97" spans="1:34" ht="21" x14ac:dyDescent="0.25">
      <c r="A97" s="43"/>
      <c r="B97" s="44" t="s">
        <v>45</v>
      </c>
      <c r="C97" s="45"/>
      <c r="D97" s="67">
        <f>COUNTIF(D78:D93,"N*")</f>
        <v>3</v>
      </c>
      <c r="E97" s="67">
        <f t="shared" ref="E97:AH97" si="11">COUNTIF(E78:E93,"N*")</f>
        <v>3</v>
      </c>
      <c r="F97" s="67">
        <f t="shared" si="11"/>
        <v>3</v>
      </c>
      <c r="G97" s="67">
        <f t="shared" si="11"/>
        <v>4</v>
      </c>
      <c r="H97" s="67">
        <f t="shared" si="11"/>
        <v>4</v>
      </c>
      <c r="I97" s="67">
        <f t="shared" si="11"/>
        <v>3</v>
      </c>
      <c r="J97" s="67">
        <f t="shared" si="11"/>
        <v>2</v>
      </c>
      <c r="K97" s="67">
        <f t="shared" si="11"/>
        <v>3</v>
      </c>
      <c r="L97" s="67">
        <f t="shared" si="11"/>
        <v>3</v>
      </c>
      <c r="M97" s="67">
        <f t="shared" si="11"/>
        <v>3</v>
      </c>
      <c r="N97" s="67">
        <f t="shared" si="11"/>
        <v>3</v>
      </c>
      <c r="O97" s="67">
        <f t="shared" si="11"/>
        <v>4</v>
      </c>
      <c r="P97" s="67">
        <f t="shared" si="11"/>
        <v>4</v>
      </c>
      <c r="Q97" s="67">
        <f t="shared" si="11"/>
        <v>4</v>
      </c>
      <c r="R97" s="67">
        <f t="shared" si="11"/>
        <v>2</v>
      </c>
      <c r="S97" s="67">
        <f t="shared" si="11"/>
        <v>3</v>
      </c>
      <c r="T97" s="67">
        <f t="shared" si="11"/>
        <v>3</v>
      </c>
      <c r="U97" s="67">
        <f t="shared" si="11"/>
        <v>3</v>
      </c>
      <c r="V97" s="67">
        <f t="shared" si="11"/>
        <v>3</v>
      </c>
      <c r="W97" s="67">
        <f t="shared" si="11"/>
        <v>3</v>
      </c>
      <c r="X97" s="67">
        <f t="shared" si="11"/>
        <v>3</v>
      </c>
      <c r="Y97" s="67">
        <f t="shared" si="11"/>
        <v>4</v>
      </c>
      <c r="Z97" s="67">
        <f t="shared" si="11"/>
        <v>3</v>
      </c>
      <c r="AA97" s="67">
        <f t="shared" si="11"/>
        <v>2</v>
      </c>
      <c r="AB97" s="67">
        <f t="shared" si="11"/>
        <v>3</v>
      </c>
      <c r="AC97" s="67">
        <f t="shared" si="11"/>
        <v>3</v>
      </c>
      <c r="AD97" s="67">
        <f t="shared" si="11"/>
        <v>3</v>
      </c>
      <c r="AE97" s="67">
        <f t="shared" si="11"/>
        <v>4</v>
      </c>
      <c r="AF97" s="67">
        <f t="shared" si="11"/>
        <v>3</v>
      </c>
      <c r="AG97" s="67">
        <f t="shared" si="11"/>
        <v>4</v>
      </c>
      <c r="AH97" s="67">
        <f t="shared" si="11"/>
        <v>3</v>
      </c>
    </row>
    <row r="98" spans="1:34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60"/>
    </row>
    <row r="99" spans="1:34" ht="15.75" x14ac:dyDescent="0.25">
      <c r="A99" s="49" t="s">
        <v>102</v>
      </c>
      <c r="B99" s="19" t="s">
        <v>103</v>
      </c>
      <c r="C99" s="19">
        <v>82434</v>
      </c>
      <c r="D99" s="20" t="s">
        <v>14</v>
      </c>
      <c r="E99" s="20" t="s">
        <v>14</v>
      </c>
      <c r="F99" s="20" t="s">
        <v>15</v>
      </c>
      <c r="G99" s="20" t="s">
        <v>15</v>
      </c>
      <c r="H99" s="20" t="s">
        <v>16</v>
      </c>
      <c r="I99" s="20" t="s">
        <v>17</v>
      </c>
      <c r="J99" s="20" t="s">
        <v>17</v>
      </c>
      <c r="K99" s="20" t="s">
        <v>17</v>
      </c>
      <c r="L99" s="20" t="s">
        <v>14</v>
      </c>
      <c r="M99" s="20" t="s">
        <v>14</v>
      </c>
      <c r="N99" s="20" t="s">
        <v>15</v>
      </c>
      <c r="O99" s="20" t="s">
        <v>15</v>
      </c>
      <c r="P99" s="20" t="s">
        <v>16</v>
      </c>
      <c r="Q99" s="20" t="s">
        <v>17</v>
      </c>
      <c r="R99" s="20" t="s">
        <v>17</v>
      </c>
      <c r="S99" s="20" t="s">
        <v>17</v>
      </c>
      <c r="T99" s="20" t="s">
        <v>14</v>
      </c>
      <c r="U99" s="20" t="s">
        <v>14</v>
      </c>
      <c r="V99" s="20" t="s">
        <v>15</v>
      </c>
      <c r="W99" s="20" t="s">
        <v>15</v>
      </c>
      <c r="X99" s="20" t="s">
        <v>16</v>
      </c>
      <c r="Y99" s="20" t="s">
        <v>17</v>
      </c>
      <c r="Z99" s="20" t="s">
        <v>17</v>
      </c>
      <c r="AA99" s="20" t="s">
        <v>17</v>
      </c>
      <c r="AB99" s="20" t="s">
        <v>14</v>
      </c>
      <c r="AC99" s="20" t="s">
        <v>14</v>
      </c>
      <c r="AD99" s="20" t="s">
        <v>15</v>
      </c>
      <c r="AE99" s="20" t="s">
        <v>15</v>
      </c>
      <c r="AF99" s="20" t="s">
        <v>16</v>
      </c>
      <c r="AG99" s="20" t="s">
        <v>17</v>
      </c>
      <c r="AH99" s="20" t="s">
        <v>17</v>
      </c>
    </row>
    <row r="100" spans="1:34" ht="15.75" x14ac:dyDescent="0.25">
      <c r="A100" s="51" t="s">
        <v>102</v>
      </c>
      <c r="B100" s="22" t="s">
        <v>104</v>
      </c>
      <c r="C100" s="68">
        <v>82412</v>
      </c>
      <c r="D100" s="20" t="s">
        <v>15</v>
      </c>
      <c r="E100" s="20" t="s">
        <v>16</v>
      </c>
      <c r="F100" s="20" t="s">
        <v>17</v>
      </c>
      <c r="G100" s="20" t="s">
        <v>17</v>
      </c>
      <c r="H100" s="20" t="s">
        <v>17</v>
      </c>
      <c r="I100" s="24" t="s">
        <v>23</v>
      </c>
      <c r="J100" s="24" t="s">
        <v>23</v>
      </c>
      <c r="K100" s="24" t="s">
        <v>23</v>
      </c>
      <c r="L100" s="24" t="s">
        <v>23</v>
      </c>
      <c r="M100" s="24" t="s">
        <v>23</v>
      </c>
      <c r="N100" s="20" t="s">
        <v>17</v>
      </c>
      <c r="O100" s="20" t="s">
        <v>17</v>
      </c>
      <c r="P100" s="20" t="s">
        <v>17</v>
      </c>
      <c r="Q100" s="20" t="s">
        <v>14</v>
      </c>
      <c r="R100" s="20" t="s">
        <v>14</v>
      </c>
      <c r="S100" s="20" t="s">
        <v>15</v>
      </c>
      <c r="T100" s="20" t="s">
        <v>15</v>
      </c>
      <c r="U100" s="20" t="s">
        <v>16</v>
      </c>
      <c r="V100" s="20" t="s">
        <v>17</v>
      </c>
      <c r="W100" s="20" t="s">
        <v>17</v>
      </c>
      <c r="X100" s="20" t="s">
        <v>17</v>
      </c>
      <c r="Y100" s="20" t="s">
        <v>14</v>
      </c>
      <c r="Z100" s="20" t="s">
        <v>14</v>
      </c>
      <c r="AA100" s="20" t="s">
        <v>15</v>
      </c>
      <c r="AB100" s="20" t="s">
        <v>15</v>
      </c>
      <c r="AC100" s="20" t="s">
        <v>16</v>
      </c>
      <c r="AD100" s="20" t="s">
        <v>17</v>
      </c>
      <c r="AE100" s="20" t="s">
        <v>17</v>
      </c>
      <c r="AF100" s="20" t="s">
        <v>17</v>
      </c>
      <c r="AG100" s="20" t="s">
        <v>14</v>
      </c>
      <c r="AH100" s="20" t="s">
        <v>14</v>
      </c>
    </row>
    <row r="101" spans="1:34" ht="15.75" x14ac:dyDescent="0.25">
      <c r="A101" s="49" t="s">
        <v>102</v>
      </c>
      <c r="B101" s="19" t="s">
        <v>105</v>
      </c>
      <c r="C101" s="19">
        <v>81079</v>
      </c>
      <c r="D101" s="20" t="s">
        <v>16</v>
      </c>
      <c r="E101" s="20" t="s">
        <v>17</v>
      </c>
      <c r="F101" s="20" t="s">
        <v>17</v>
      </c>
      <c r="G101" s="20" t="s">
        <v>17</v>
      </c>
      <c r="H101" s="20" t="s">
        <v>14</v>
      </c>
      <c r="I101" s="20" t="s">
        <v>15</v>
      </c>
      <c r="J101" s="20" t="s">
        <v>15</v>
      </c>
      <c r="K101" s="20" t="s">
        <v>16</v>
      </c>
      <c r="L101" s="20" t="s">
        <v>16</v>
      </c>
      <c r="M101" s="20" t="s">
        <v>17</v>
      </c>
      <c r="N101" s="20" t="s">
        <v>17</v>
      </c>
      <c r="O101" s="20" t="s">
        <v>17</v>
      </c>
      <c r="P101" s="20" t="s">
        <v>14</v>
      </c>
      <c r="Q101" s="20" t="s">
        <v>15</v>
      </c>
      <c r="R101" s="20" t="s">
        <v>15</v>
      </c>
      <c r="S101" s="20" t="s">
        <v>16</v>
      </c>
      <c r="T101" s="20" t="s">
        <v>16</v>
      </c>
      <c r="U101" s="20" t="s">
        <v>17</v>
      </c>
      <c r="V101" s="20" t="s">
        <v>17</v>
      </c>
      <c r="W101" s="20" t="s">
        <v>17</v>
      </c>
      <c r="X101" s="20" t="s">
        <v>14</v>
      </c>
      <c r="Y101" s="20" t="s">
        <v>15</v>
      </c>
      <c r="Z101" s="20" t="s">
        <v>15</v>
      </c>
      <c r="AA101" s="20" t="s">
        <v>16</v>
      </c>
      <c r="AB101" s="20" t="s">
        <v>16</v>
      </c>
      <c r="AC101" s="20" t="s">
        <v>17</v>
      </c>
      <c r="AD101" s="20" t="s">
        <v>17</v>
      </c>
      <c r="AE101" s="20" t="s">
        <v>17</v>
      </c>
      <c r="AF101" s="24" t="s">
        <v>23</v>
      </c>
      <c r="AG101" s="24" t="s">
        <v>23</v>
      </c>
      <c r="AH101" s="24" t="s">
        <v>23</v>
      </c>
    </row>
    <row r="102" spans="1:34" ht="15.75" x14ac:dyDescent="0.25">
      <c r="A102" s="51" t="s">
        <v>102</v>
      </c>
      <c r="B102" s="22" t="s">
        <v>106</v>
      </c>
      <c r="C102" s="68">
        <v>82536</v>
      </c>
      <c r="D102" s="20" t="s">
        <v>14</v>
      </c>
      <c r="E102" s="20" t="s">
        <v>15</v>
      </c>
      <c r="F102" s="20" t="s">
        <v>16</v>
      </c>
      <c r="G102" s="20" t="s">
        <v>16</v>
      </c>
      <c r="H102" s="20" t="s">
        <v>17</v>
      </c>
      <c r="I102" s="20" t="s">
        <v>17</v>
      </c>
      <c r="J102" s="20" t="s">
        <v>17</v>
      </c>
      <c r="K102" s="20" t="s">
        <v>14</v>
      </c>
      <c r="L102" s="20" t="s">
        <v>14</v>
      </c>
      <c r="M102" s="20" t="s">
        <v>15</v>
      </c>
      <c r="N102" s="20" t="s">
        <v>16</v>
      </c>
      <c r="O102" s="20" t="s">
        <v>16</v>
      </c>
      <c r="P102" s="20" t="s">
        <v>17</v>
      </c>
      <c r="Q102" s="20" t="s">
        <v>17</v>
      </c>
      <c r="R102" s="20" t="s">
        <v>17</v>
      </c>
      <c r="S102" s="24" t="s">
        <v>23</v>
      </c>
      <c r="T102" s="24" t="s">
        <v>23</v>
      </c>
      <c r="U102" s="24" t="s">
        <v>23</v>
      </c>
      <c r="V102" s="24" t="s">
        <v>23</v>
      </c>
      <c r="W102" s="24" t="s">
        <v>23</v>
      </c>
      <c r="X102" s="20" t="s">
        <v>17</v>
      </c>
      <c r="Y102" s="20" t="s">
        <v>17</v>
      </c>
      <c r="Z102" s="20" t="s">
        <v>17</v>
      </c>
      <c r="AA102" s="20" t="s">
        <v>14</v>
      </c>
      <c r="AB102" s="20" t="s">
        <v>14</v>
      </c>
      <c r="AC102" s="20" t="s">
        <v>15</v>
      </c>
      <c r="AD102" s="20" t="s">
        <v>16</v>
      </c>
      <c r="AE102" s="20" t="s">
        <v>16</v>
      </c>
      <c r="AF102" s="20" t="s">
        <v>17</v>
      </c>
      <c r="AG102" s="20" t="s">
        <v>17</v>
      </c>
      <c r="AH102" s="20" t="s">
        <v>17</v>
      </c>
    </row>
    <row r="103" spans="1:34" ht="15.75" x14ac:dyDescent="0.25">
      <c r="A103" s="49" t="s">
        <v>102</v>
      </c>
      <c r="B103" s="19" t="s">
        <v>107</v>
      </c>
      <c r="C103" s="19">
        <v>82422</v>
      </c>
      <c r="D103" s="20" t="s">
        <v>17</v>
      </c>
      <c r="E103" s="20" t="s">
        <v>17</v>
      </c>
      <c r="F103" s="20" t="s">
        <v>14</v>
      </c>
      <c r="G103" s="20" t="s">
        <v>14</v>
      </c>
      <c r="H103" s="20" t="s">
        <v>15</v>
      </c>
      <c r="I103" s="20" t="s">
        <v>16</v>
      </c>
      <c r="J103" s="20" t="s">
        <v>16</v>
      </c>
      <c r="K103" s="20" t="s">
        <v>17</v>
      </c>
      <c r="L103" s="20" t="s">
        <v>17</v>
      </c>
      <c r="M103" s="20" t="s">
        <v>17</v>
      </c>
      <c r="N103" s="20" t="s">
        <v>14</v>
      </c>
      <c r="O103" s="20" t="s">
        <v>14</v>
      </c>
      <c r="P103" s="20" t="s">
        <v>15</v>
      </c>
      <c r="Q103" s="20" t="s">
        <v>16</v>
      </c>
      <c r="R103" s="20" t="s">
        <v>16</v>
      </c>
      <c r="S103" s="20" t="s">
        <v>17</v>
      </c>
      <c r="T103" s="20" t="s">
        <v>17</v>
      </c>
      <c r="U103" s="20" t="s">
        <v>17</v>
      </c>
      <c r="V103" s="20" t="s">
        <v>14</v>
      </c>
      <c r="W103" s="20" t="s">
        <v>14</v>
      </c>
      <c r="X103" s="20" t="s">
        <v>15</v>
      </c>
      <c r="Y103" s="20" t="s">
        <v>16</v>
      </c>
      <c r="Z103" s="20" t="s">
        <v>16</v>
      </c>
      <c r="AA103" s="20" t="s">
        <v>17</v>
      </c>
      <c r="AB103" s="20" t="s">
        <v>17</v>
      </c>
      <c r="AC103" s="20" t="s">
        <v>17</v>
      </c>
      <c r="AD103" s="20" t="s">
        <v>14</v>
      </c>
      <c r="AE103" s="20" t="s">
        <v>14</v>
      </c>
      <c r="AF103" s="20" t="s">
        <v>15</v>
      </c>
      <c r="AG103" s="20" t="s">
        <v>16</v>
      </c>
      <c r="AH103" s="20" t="s">
        <v>16</v>
      </c>
    </row>
    <row r="104" spans="1:34" x14ac:dyDescent="0.25">
      <c r="A104" s="69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1"/>
    </row>
    <row r="105" spans="1:34" ht="21" x14ac:dyDescent="0.25">
      <c r="A105" s="35">
        <v>5</v>
      </c>
      <c r="B105" s="36" t="s">
        <v>43</v>
      </c>
      <c r="C105" s="37"/>
      <c r="D105" s="65">
        <f>COUNTIF(D99:D103,"M*")</f>
        <v>2</v>
      </c>
      <c r="E105" s="65">
        <f t="shared" ref="E105:AH105" si="12">COUNTIF(E99:E103,"M*")</f>
        <v>1</v>
      </c>
      <c r="F105" s="65">
        <f t="shared" si="12"/>
        <v>1</v>
      </c>
      <c r="G105" s="65">
        <f t="shared" si="12"/>
        <v>1</v>
      </c>
      <c r="H105" s="65">
        <f t="shared" si="12"/>
        <v>1</v>
      </c>
      <c r="I105" s="65">
        <f t="shared" si="12"/>
        <v>0</v>
      </c>
      <c r="J105" s="65">
        <f t="shared" si="12"/>
        <v>0</v>
      </c>
      <c r="K105" s="65">
        <f t="shared" si="12"/>
        <v>1</v>
      </c>
      <c r="L105" s="65">
        <f t="shared" si="12"/>
        <v>2</v>
      </c>
      <c r="M105" s="65">
        <f t="shared" si="12"/>
        <v>1</v>
      </c>
      <c r="N105" s="65">
        <f t="shared" si="12"/>
        <v>1</v>
      </c>
      <c r="O105" s="65">
        <f t="shared" si="12"/>
        <v>1</v>
      </c>
      <c r="P105" s="65">
        <f t="shared" si="12"/>
        <v>1</v>
      </c>
      <c r="Q105" s="65">
        <f t="shared" si="12"/>
        <v>1</v>
      </c>
      <c r="R105" s="65">
        <f t="shared" si="12"/>
        <v>1</v>
      </c>
      <c r="S105" s="65">
        <f t="shared" si="12"/>
        <v>0</v>
      </c>
      <c r="T105" s="65">
        <f t="shared" si="12"/>
        <v>1</v>
      </c>
      <c r="U105" s="65">
        <f t="shared" si="12"/>
        <v>1</v>
      </c>
      <c r="V105" s="65">
        <f t="shared" si="12"/>
        <v>1</v>
      </c>
      <c r="W105" s="65">
        <f t="shared" si="12"/>
        <v>1</v>
      </c>
      <c r="X105" s="65">
        <f t="shared" si="12"/>
        <v>1</v>
      </c>
      <c r="Y105" s="65">
        <f t="shared" si="12"/>
        <v>1</v>
      </c>
      <c r="Z105" s="65">
        <f t="shared" si="12"/>
        <v>1</v>
      </c>
      <c r="AA105" s="65">
        <f t="shared" si="12"/>
        <v>1</v>
      </c>
      <c r="AB105" s="65">
        <f t="shared" si="12"/>
        <v>2</v>
      </c>
      <c r="AC105" s="65">
        <f t="shared" si="12"/>
        <v>1</v>
      </c>
      <c r="AD105" s="65">
        <f t="shared" si="12"/>
        <v>1</v>
      </c>
      <c r="AE105" s="65">
        <f t="shared" si="12"/>
        <v>1</v>
      </c>
      <c r="AF105" s="65">
        <f t="shared" si="12"/>
        <v>0</v>
      </c>
      <c r="AG105" s="65">
        <f t="shared" si="12"/>
        <v>1</v>
      </c>
      <c r="AH105" s="65">
        <f t="shared" si="12"/>
        <v>1</v>
      </c>
    </row>
    <row r="106" spans="1:34" ht="21" x14ac:dyDescent="0.25">
      <c r="A106" s="39"/>
      <c r="B106" s="40" t="s">
        <v>44</v>
      </c>
      <c r="C106" s="41"/>
      <c r="D106" s="66">
        <f>COUNTIF(D99:D103,"A*")</f>
        <v>1</v>
      </c>
      <c r="E106" s="66">
        <f t="shared" ref="E106:AH106" si="13">COUNTIF(E99:E103,"A*")</f>
        <v>1</v>
      </c>
      <c r="F106" s="66">
        <f t="shared" si="13"/>
        <v>1</v>
      </c>
      <c r="G106" s="66">
        <f t="shared" si="13"/>
        <v>1</v>
      </c>
      <c r="H106" s="66">
        <f t="shared" si="13"/>
        <v>1</v>
      </c>
      <c r="I106" s="66">
        <f t="shared" si="13"/>
        <v>1</v>
      </c>
      <c r="J106" s="66">
        <f t="shared" si="13"/>
        <v>1</v>
      </c>
      <c r="K106" s="66">
        <f t="shared" si="13"/>
        <v>0</v>
      </c>
      <c r="L106" s="66">
        <f t="shared" si="13"/>
        <v>0</v>
      </c>
      <c r="M106" s="66">
        <f t="shared" si="13"/>
        <v>1</v>
      </c>
      <c r="N106" s="66">
        <f t="shared" si="13"/>
        <v>1</v>
      </c>
      <c r="O106" s="66">
        <f t="shared" si="13"/>
        <v>1</v>
      </c>
      <c r="P106" s="66">
        <f t="shared" si="13"/>
        <v>1</v>
      </c>
      <c r="Q106" s="66">
        <f t="shared" si="13"/>
        <v>1</v>
      </c>
      <c r="R106" s="66">
        <f t="shared" si="13"/>
        <v>1</v>
      </c>
      <c r="S106" s="66">
        <f t="shared" si="13"/>
        <v>1</v>
      </c>
      <c r="T106" s="66">
        <f t="shared" si="13"/>
        <v>1</v>
      </c>
      <c r="U106" s="66">
        <f t="shared" si="13"/>
        <v>0</v>
      </c>
      <c r="V106" s="66">
        <f t="shared" si="13"/>
        <v>1</v>
      </c>
      <c r="W106" s="66">
        <f t="shared" si="13"/>
        <v>1</v>
      </c>
      <c r="X106" s="66">
        <f t="shared" si="13"/>
        <v>1</v>
      </c>
      <c r="Y106" s="66">
        <f t="shared" si="13"/>
        <v>1</v>
      </c>
      <c r="Z106" s="66">
        <f t="shared" si="13"/>
        <v>1</v>
      </c>
      <c r="AA106" s="66">
        <f t="shared" si="13"/>
        <v>1</v>
      </c>
      <c r="AB106" s="66">
        <f t="shared" si="13"/>
        <v>1</v>
      </c>
      <c r="AC106" s="66">
        <f t="shared" si="13"/>
        <v>1</v>
      </c>
      <c r="AD106" s="66">
        <f t="shared" si="13"/>
        <v>1</v>
      </c>
      <c r="AE106" s="66">
        <f t="shared" si="13"/>
        <v>1</v>
      </c>
      <c r="AF106" s="66">
        <f t="shared" si="13"/>
        <v>1</v>
      </c>
      <c r="AG106" s="66">
        <f t="shared" si="13"/>
        <v>0</v>
      </c>
      <c r="AH106" s="66">
        <f t="shared" si="13"/>
        <v>0</v>
      </c>
    </row>
    <row r="107" spans="1:34" ht="21" x14ac:dyDescent="0.25">
      <c r="A107" s="43"/>
      <c r="B107" s="44" t="s">
        <v>45</v>
      </c>
      <c r="C107" s="45"/>
      <c r="D107" s="67">
        <f>COUNTIF(D99:D103,"N*")</f>
        <v>1</v>
      </c>
      <c r="E107" s="67">
        <f t="shared" ref="E107:AH107" si="14">COUNTIF(E99:E103,"N*")</f>
        <v>1</v>
      </c>
      <c r="F107" s="67">
        <f t="shared" si="14"/>
        <v>1</v>
      </c>
      <c r="G107" s="67">
        <f t="shared" si="14"/>
        <v>1</v>
      </c>
      <c r="H107" s="67">
        <f t="shared" si="14"/>
        <v>1</v>
      </c>
      <c r="I107" s="67">
        <f t="shared" si="14"/>
        <v>1</v>
      </c>
      <c r="J107" s="67">
        <f t="shared" si="14"/>
        <v>1</v>
      </c>
      <c r="K107" s="67">
        <f t="shared" si="14"/>
        <v>1</v>
      </c>
      <c r="L107" s="67">
        <f t="shared" si="14"/>
        <v>1</v>
      </c>
      <c r="M107" s="67">
        <f t="shared" si="14"/>
        <v>0</v>
      </c>
      <c r="N107" s="67">
        <f t="shared" si="14"/>
        <v>1</v>
      </c>
      <c r="O107" s="67">
        <f t="shared" si="14"/>
        <v>1</v>
      </c>
      <c r="P107" s="67">
        <f t="shared" si="14"/>
        <v>1</v>
      </c>
      <c r="Q107" s="67">
        <f t="shared" si="14"/>
        <v>1</v>
      </c>
      <c r="R107" s="67">
        <f t="shared" si="14"/>
        <v>1</v>
      </c>
      <c r="S107" s="67">
        <f t="shared" si="14"/>
        <v>1</v>
      </c>
      <c r="T107" s="67">
        <f t="shared" si="14"/>
        <v>1</v>
      </c>
      <c r="U107" s="67">
        <f t="shared" si="14"/>
        <v>1</v>
      </c>
      <c r="V107" s="67">
        <f t="shared" si="14"/>
        <v>0</v>
      </c>
      <c r="W107" s="67">
        <f t="shared" si="14"/>
        <v>0</v>
      </c>
      <c r="X107" s="67">
        <f t="shared" si="14"/>
        <v>1</v>
      </c>
      <c r="Y107" s="67">
        <f t="shared" si="14"/>
        <v>1</v>
      </c>
      <c r="Z107" s="67">
        <f t="shared" si="14"/>
        <v>1</v>
      </c>
      <c r="AA107" s="67">
        <f t="shared" si="14"/>
        <v>1</v>
      </c>
      <c r="AB107" s="67">
        <f t="shared" si="14"/>
        <v>1</v>
      </c>
      <c r="AC107" s="67">
        <f t="shared" si="14"/>
        <v>1</v>
      </c>
      <c r="AD107" s="67">
        <f t="shared" si="14"/>
        <v>1</v>
      </c>
      <c r="AE107" s="67">
        <f t="shared" si="14"/>
        <v>1</v>
      </c>
      <c r="AF107" s="67">
        <f t="shared" si="14"/>
        <v>1</v>
      </c>
      <c r="AG107" s="67">
        <f t="shared" si="14"/>
        <v>1</v>
      </c>
      <c r="AH107" s="67">
        <f t="shared" si="14"/>
        <v>1</v>
      </c>
    </row>
  </sheetData>
  <mergeCells count="34">
    <mergeCell ref="A98:AH98"/>
    <mergeCell ref="A104:AH104"/>
    <mergeCell ref="A105:A107"/>
    <mergeCell ref="B105:C105"/>
    <mergeCell ref="B106:C106"/>
    <mergeCell ref="B107:C107"/>
    <mergeCell ref="A77:AH77"/>
    <mergeCell ref="A94:AH94"/>
    <mergeCell ref="A95:A97"/>
    <mergeCell ref="B95:C95"/>
    <mergeCell ref="B96:C96"/>
    <mergeCell ref="B97:C97"/>
    <mergeCell ref="A50:AH50"/>
    <mergeCell ref="A73:AH73"/>
    <mergeCell ref="A74:A76"/>
    <mergeCell ref="B74:C74"/>
    <mergeCell ref="B75:C75"/>
    <mergeCell ref="B76:C76"/>
    <mergeCell ref="A32:AH32"/>
    <mergeCell ref="D40:P40"/>
    <mergeCell ref="A46:AH46"/>
    <mergeCell ref="A47:A49"/>
    <mergeCell ref="B47:C47"/>
    <mergeCell ref="B48:C48"/>
    <mergeCell ref="B49:C49"/>
    <mergeCell ref="A1:C3"/>
    <mergeCell ref="D1:AH1"/>
    <mergeCell ref="D2:AH2"/>
    <mergeCell ref="A10:AH10"/>
    <mergeCell ref="A28:AH28"/>
    <mergeCell ref="A29:A31"/>
    <mergeCell ref="B29:C29"/>
    <mergeCell ref="B30:C30"/>
    <mergeCell ref="B31:C31"/>
  </mergeCells>
  <conditionalFormatting sqref="D33:I34">
    <cfRule type="containsText" dxfId="546" priority="427" operator="containsText" text="A">
      <formula>NOT(ISERROR(SEARCH("A",D33)))</formula>
    </cfRule>
    <cfRule type="containsText" dxfId="550" priority="428" operator="containsText" text="M">
      <formula>NOT(ISERROR(SEARCH("M",D33)))</formula>
    </cfRule>
    <cfRule type="containsText" dxfId="548" priority="429" operator="containsText" text="MN06">
      <formula>NOT(ISERROR(SEARCH("MN06",D33)))</formula>
    </cfRule>
    <cfRule type="containsText" dxfId="545" priority="526" operator="containsText" text="STA2">
      <formula>NOT(ISERROR(SEARCH("STA2",D33)))</formula>
    </cfRule>
    <cfRule type="containsText" dxfId="549" priority="527" operator="containsText" text="STN2">
      <formula>NOT(ISERROR(SEARCH("STN2",D33)))</formula>
    </cfRule>
    <cfRule type="containsText" dxfId="541" priority="528" operator="containsText" text="STN1">
      <formula>NOT(ISERROR(SEARCH("STN1",D33)))</formula>
    </cfRule>
    <cfRule type="containsText" dxfId="542" priority="529" operator="containsText" text="STA1">
      <formula>NOT(ISERROR(SEARCH("STA1",D33)))</formula>
    </cfRule>
    <cfRule type="containsText" dxfId="543" priority="530" operator="containsText" text="STM2">
      <formula>NOT(ISERROR(SEARCH("STM2",D33)))</formula>
    </cfRule>
    <cfRule type="containsText" dxfId="537" priority="531" operator="containsText" text="STM1">
      <formula>NOT(ISERROR(SEARCH("STM1",D33)))</formula>
    </cfRule>
    <cfRule type="containsText" dxfId="536" priority="532" operator="containsText" text="O">
      <formula>NOT(ISERROR(SEARCH("O",D33)))</formula>
    </cfRule>
    <cfRule type="containsText" dxfId="547" priority="533" operator="containsText" text="STM1">
      <formula>NOT(ISERROR(SEARCH("STM1",D33)))</formula>
    </cfRule>
    <cfRule type="containsText" dxfId="535" priority="534" operator="containsText" text="N">
      <formula>NOT(ISERROR(SEARCH("N",D33)))</formula>
    </cfRule>
    <cfRule type="containsText" dxfId="538" priority="535" operator="containsText" text="A">
      <formula>NOT(ISERROR(SEARCH("A",D33)))</formula>
    </cfRule>
    <cfRule type="containsText" dxfId="539" priority="536" operator="containsText" text="M">
      <formula>NOT(ISERROR(SEARCH("M",D33)))</formula>
    </cfRule>
    <cfRule type="containsText" dxfId="540" priority="537" operator="containsText" text="O">
      <formula>NOT(ISERROR(SEARCH("O",D33)))</formula>
    </cfRule>
    <cfRule type="containsText" dxfId="544" priority="538" operator="containsText" text="O">
      <formula>NOT(ISERROR(SEARCH("O",D33)))</formula>
    </cfRule>
  </conditionalFormatting>
  <conditionalFormatting sqref="D35:K35 N35:AH35 D36:S37 D39:J39 L39:Z39 AB39:AE39 D41:N41 T41:AH41 D42:J42 L42:R42 X42:AH42 D43:E43 H43:J43 P43:AH43 D44:X44 D45:E45 H45:AH45 D38:AF38 U37:X37 Z37:AG37 Z44:AH44">
    <cfRule type="containsText" dxfId="534" priority="389" operator="containsText" text="A">
      <formula>NOT(ISERROR(SEARCH("A",D35)))</formula>
    </cfRule>
    <cfRule type="containsText" dxfId="533" priority="390" operator="containsText" text="M">
      <formula>NOT(ISERROR(SEARCH("M",D35)))</formula>
    </cfRule>
    <cfRule type="containsText" dxfId="532" priority="391" operator="containsText" text="MN06">
      <formula>NOT(ISERROR(SEARCH("MN06",D35)))</formula>
    </cfRule>
  </conditionalFormatting>
  <conditionalFormatting sqref="D78:S78 Y78:AH78 D79:AH82 D86:K86 M86:AH86 D87:AH87 D88:J88 L88:AH88 D84:AH85 D83:AE83">
    <cfRule type="containsText" dxfId="528" priority="316" operator="containsText" text="NN21">
      <formula>NOT(ISERROR(SEARCH("NN21",D78)))</formula>
    </cfRule>
    <cfRule type="containsText" dxfId="527" priority="317" operator="containsText" text="NN21">
      <formula>NOT(ISERROR(SEARCH("NN21",D78)))</formula>
    </cfRule>
    <cfRule type="containsText" dxfId="531" priority="318" operator="containsText" text="A">
      <formula>NOT(ISERROR(SEARCH("A",D78)))</formula>
    </cfRule>
    <cfRule type="containsText" dxfId="530" priority="319" operator="containsText" text="M">
      <formula>NOT(ISERROR(SEARCH("M",D78)))</formula>
    </cfRule>
    <cfRule type="containsText" dxfId="529" priority="320" operator="containsText" text="MN06">
      <formula>NOT(ISERROR(SEARCH("MN06",D78)))</formula>
    </cfRule>
  </conditionalFormatting>
  <conditionalFormatting sqref="D89:S89 D90:E90 S90:AH90 D91:AH92 D93:N93 Q93:AH93">
    <cfRule type="containsText" dxfId="526" priority="359" operator="containsText" text="NN21">
      <formula>NOT(ISERROR(SEARCH("NN21",D89)))</formula>
    </cfRule>
    <cfRule type="containsText" dxfId="522" priority="360" operator="containsText" text="NN21">
      <formula>NOT(ISERROR(SEARCH("NN21",D89)))</formula>
    </cfRule>
    <cfRule type="containsText" dxfId="525" priority="361" operator="containsText" text="A">
      <formula>NOT(ISERROR(SEARCH("A",D89)))</formula>
    </cfRule>
    <cfRule type="containsText" dxfId="524" priority="362" operator="containsText" text="M">
      <formula>NOT(ISERROR(SEARCH("M",D89)))</formula>
    </cfRule>
    <cfRule type="containsText" dxfId="523" priority="363" operator="containsText" text="MN06">
      <formula>NOT(ISERROR(SEARCH("MN06",D89)))</formula>
    </cfRule>
  </conditionalFormatting>
  <conditionalFormatting sqref="D5:AH6 D9:U9 D8:AH8 D7:AE7 AG7">
    <cfRule type="containsText" dxfId="521" priority="508" operator="containsText" text="NN21">
      <formula>NOT(ISERROR(SEARCH("NN21",D5)))</formula>
    </cfRule>
    <cfRule type="containsText" dxfId="520" priority="509" operator="containsText" text="NN21">
      <formula>NOT(ISERROR(SEARCH("NN21",D5)))</formula>
    </cfRule>
    <cfRule type="containsText" dxfId="519" priority="510" operator="containsText" text="A">
      <formula>NOT(ISERROR(SEARCH("A",D5)))</formula>
    </cfRule>
    <cfRule type="containsText" dxfId="518" priority="511" operator="containsText" text="M">
      <formula>NOT(ISERROR(SEARCH("M",D5)))</formula>
    </cfRule>
    <cfRule type="containsText" dxfId="517" priority="512" operator="containsText" text="MN06">
      <formula>NOT(ISERROR(SEARCH("MN06",D5)))</formula>
    </cfRule>
  </conditionalFormatting>
  <conditionalFormatting sqref="D11:AH11 D12:L12 N12:AH12 D13:K13 M13:U13 Y13:AH13 D14:AH14 F16:AH16 D17:K17 M17:AF17 D18:AH20 D21:O21 S21:W21 AC21:AH21 D22:AH22 D23:J23 P23:S23 D24:E24 K24:AH24 D25:AH25 D26:M26 F15:Q15 S15:AH15 U23:AH23">
    <cfRule type="containsText" dxfId="516" priority="382" operator="containsText" text="NN21">
      <formula>NOT(ISERROR(SEARCH("NN21",D11)))</formula>
    </cfRule>
    <cfRule type="containsText" dxfId="513" priority="383" operator="containsText" text="NN21">
      <formula>NOT(ISERROR(SEARCH("NN21",D11)))</formula>
    </cfRule>
    <cfRule type="containsText" dxfId="512" priority="384" operator="containsText" text="A">
      <formula>NOT(ISERROR(SEARCH("A",D11)))</formula>
    </cfRule>
    <cfRule type="containsText" dxfId="515" priority="385" operator="containsText" text="M">
      <formula>NOT(ISERROR(SEARCH("M",D11)))</formula>
    </cfRule>
    <cfRule type="containsText" dxfId="514" priority="386" operator="containsText" text="MN06">
      <formula>NOT(ISERROR(SEARCH("MN06",D11)))</formula>
    </cfRule>
  </conditionalFormatting>
  <conditionalFormatting sqref="D29:AH31">
    <cfRule type="containsText" dxfId="504" priority="539" operator="containsText" text="STA2">
      <formula>NOT(ISERROR(SEARCH("STA2",D29)))</formula>
    </cfRule>
    <cfRule type="containsText" dxfId="502" priority="540" operator="containsText" text="STN2">
      <formula>NOT(ISERROR(SEARCH("STN2",D29)))</formula>
    </cfRule>
    <cfRule type="containsText" dxfId="511" priority="541" operator="containsText" text="STN1">
      <formula>NOT(ISERROR(SEARCH("STN1",D29)))</formula>
    </cfRule>
    <cfRule type="containsText" dxfId="510" priority="542" operator="containsText" text="STA1">
      <formula>NOT(ISERROR(SEARCH("STA1",D29)))</formula>
    </cfRule>
    <cfRule type="containsText" dxfId="508" priority="543" operator="containsText" text="STM2">
      <formula>NOT(ISERROR(SEARCH("STM2",D29)))</formula>
    </cfRule>
    <cfRule type="containsText" dxfId="505" priority="544" operator="containsText" text="STM1">
      <formula>NOT(ISERROR(SEARCH("STM1",D29)))</formula>
    </cfRule>
    <cfRule type="containsText" dxfId="507" priority="545" operator="containsText" text="O">
      <formula>NOT(ISERROR(SEARCH("O",D29)))</formula>
    </cfRule>
    <cfRule type="containsText" dxfId="503" priority="546" operator="containsText" text="STM1">
      <formula>NOT(ISERROR(SEARCH("STM1",D29)))</formula>
    </cfRule>
    <cfRule type="containsText" dxfId="501" priority="547" operator="containsText" text="N">
      <formula>NOT(ISERROR(SEARCH("N",D29)))</formula>
    </cfRule>
    <cfRule type="containsText" dxfId="500" priority="548" operator="containsText" text="A">
      <formula>NOT(ISERROR(SEARCH("A",D29)))</formula>
    </cfRule>
    <cfRule type="containsText" dxfId="499" priority="549" operator="containsText" text="M">
      <formula>NOT(ISERROR(SEARCH("M",D29)))</formula>
    </cfRule>
    <cfRule type="containsText" dxfId="506" priority="550" operator="containsText" text="O">
      <formula>NOT(ISERROR(SEARCH("O",D29)))</formula>
    </cfRule>
    <cfRule type="containsText" dxfId="509" priority="551" operator="containsText" text="O">
      <formula>NOT(ISERROR(SEARCH("O",D29)))</formula>
    </cfRule>
  </conditionalFormatting>
  <conditionalFormatting sqref="D33:AE33 D34:Z34 AB34:AH34 D35:K35 N35:AH35 D36:S37 D39:J39 L39:Z39 AB39:AE39 D41:N41 T41:AH41 D42:J42 L42:R42 X42:AH42 D43:E43 H43:J43 P43:AH43 D44:X44 D45:E45 H45:AH45 D38:AF38 U37:X37 Z37:AG37 Z44:AH44 AG33">
    <cfRule type="containsText" dxfId="497" priority="387" operator="containsText" text="NN21">
      <formula>NOT(ISERROR(SEARCH("NN21",D33)))</formula>
    </cfRule>
    <cfRule type="containsText" dxfId="498" priority="388" operator="containsText" text="NN21">
      <formula>NOT(ISERROR(SEARCH("NN21",D33)))</formula>
    </cfRule>
  </conditionalFormatting>
  <conditionalFormatting sqref="D47:AH49">
    <cfRule type="containsText" dxfId="492" priority="513" operator="containsText" text="STA2">
      <formula>NOT(ISERROR(SEARCH("STA2",D47)))</formula>
    </cfRule>
    <cfRule type="containsText" dxfId="493" priority="514" operator="containsText" text="STN2">
      <formula>NOT(ISERROR(SEARCH("STN2",D47)))</formula>
    </cfRule>
    <cfRule type="containsText" dxfId="491" priority="515" operator="containsText" text="STN1">
      <formula>NOT(ISERROR(SEARCH("STN1",D47)))</formula>
    </cfRule>
    <cfRule type="containsText" dxfId="490" priority="516" operator="containsText" text="STA1">
      <formula>NOT(ISERROR(SEARCH("STA1",D47)))</formula>
    </cfRule>
    <cfRule type="containsText" dxfId="488" priority="517" operator="containsText" text="STM2">
      <formula>NOT(ISERROR(SEARCH("STM2",D47)))</formula>
    </cfRule>
    <cfRule type="containsText" dxfId="487" priority="518" operator="containsText" text="STM1">
      <formula>NOT(ISERROR(SEARCH("STM1",D47)))</formula>
    </cfRule>
    <cfRule type="containsText" dxfId="486" priority="519" operator="containsText" text="O">
      <formula>NOT(ISERROR(SEARCH("O",D47)))</formula>
    </cfRule>
    <cfRule type="containsText" dxfId="485" priority="520" operator="containsText" text="STM1">
      <formula>NOT(ISERROR(SEARCH("STM1",D47)))</formula>
    </cfRule>
    <cfRule type="containsText" dxfId="484" priority="521" operator="containsText" text="N">
      <formula>NOT(ISERROR(SEARCH("N",D47)))</formula>
    </cfRule>
    <cfRule type="containsText" dxfId="496" priority="522" operator="containsText" text="A">
      <formula>NOT(ISERROR(SEARCH("A",D47)))</formula>
    </cfRule>
    <cfRule type="containsText" dxfId="494" priority="523" operator="containsText" text="M">
      <formula>NOT(ISERROR(SEARCH("M",D47)))</formula>
    </cfRule>
    <cfRule type="containsText" dxfId="489" priority="524" operator="containsText" text="O">
      <formula>NOT(ISERROR(SEARCH("O",D47)))</formula>
    </cfRule>
    <cfRule type="containsText" dxfId="495" priority="525" operator="containsText" text="O">
      <formula>NOT(ISERROR(SEARCH("O",D47)))</formula>
    </cfRule>
  </conditionalFormatting>
  <conditionalFormatting sqref="D71:Q71 S71:AH71">
    <cfRule type="containsText" dxfId="483" priority="336" operator="containsText" text="NN21">
      <formula>NOT(ISERROR(SEARCH("NN21",D71)))</formula>
    </cfRule>
    <cfRule type="containsText" dxfId="479" priority="337" operator="containsText" text="NN21">
      <formula>NOT(ISERROR(SEARCH("NN21",D71)))</formula>
    </cfRule>
    <cfRule type="containsText" dxfId="480" priority="338" operator="containsText" text="A">
      <formula>NOT(ISERROR(SEARCH("A",D71)))</formula>
    </cfRule>
    <cfRule type="containsText" dxfId="481" priority="339" operator="containsText" text="M">
      <formula>NOT(ISERROR(SEARCH("M",D71)))</formula>
    </cfRule>
    <cfRule type="containsText" dxfId="482" priority="340" operator="containsText" text="MN06">
      <formula>NOT(ISERROR(SEARCH("MN06",D71)))</formula>
    </cfRule>
  </conditionalFormatting>
  <conditionalFormatting sqref="D72:AH72 F51:AH51 D52:AH52 D55:M56 O55:AH56 D57:J57 L57:AH57 D58:AH58 D59 J59:AH59 D60:AH61 D62:G62 U62:AH62 D63:E63 H63:AE63 D64:J64 L64:AE64 D65:AH65 D66:Q66 AB66:AH66 D67:I67 W67:AH67 D68:U68 AA68:AH68 D69:AH69 D70:AC70 D71:Q71 S71:AH71 S66:Z66 D54:AH54 D53:X53 Z53:AH53 AG63:AH64">
    <cfRule type="containsText" dxfId="478" priority="331" operator="containsText" text="NN21">
      <formula>NOT(ISERROR(SEARCH("NN21",D51)))</formula>
    </cfRule>
  </conditionalFormatting>
  <conditionalFormatting sqref="D74:AH76">
    <cfRule type="containsText" dxfId="475" priority="495" operator="containsText" text="STA2">
      <formula>NOT(ISERROR(SEARCH("STA2",D74)))</formula>
    </cfRule>
    <cfRule type="containsText" dxfId="476" priority="496" operator="containsText" text="STN2">
      <formula>NOT(ISERROR(SEARCH("STN2",D74)))</formula>
    </cfRule>
    <cfRule type="containsText" dxfId="477" priority="497" operator="containsText" text="STN1">
      <formula>NOT(ISERROR(SEARCH("STN1",D74)))</formula>
    </cfRule>
    <cfRule type="containsText" dxfId="465" priority="498" operator="containsText" text="STA1">
      <formula>NOT(ISERROR(SEARCH("STA1",D74)))</formula>
    </cfRule>
    <cfRule type="containsText" dxfId="466" priority="499" operator="containsText" text="STM2">
      <formula>NOT(ISERROR(SEARCH("STM2",D74)))</formula>
    </cfRule>
    <cfRule type="containsText" dxfId="467" priority="500" operator="containsText" text="STM1">
      <formula>NOT(ISERROR(SEARCH("STM1",D74)))</formula>
    </cfRule>
    <cfRule type="containsText" dxfId="472" priority="501" operator="containsText" text="O">
      <formula>NOT(ISERROR(SEARCH("O",D74)))</formula>
    </cfRule>
    <cfRule type="containsText" dxfId="468" priority="502" operator="containsText" text="STM1">
      <formula>NOT(ISERROR(SEARCH("STM1",D74)))</formula>
    </cfRule>
    <cfRule type="containsText" dxfId="474" priority="503" operator="containsText" text="N">
      <formula>NOT(ISERROR(SEARCH("N",D74)))</formula>
    </cfRule>
    <cfRule type="containsText" dxfId="469" priority="504" operator="containsText" text="A">
      <formula>NOT(ISERROR(SEARCH("A",D74)))</formula>
    </cfRule>
    <cfRule type="containsText" dxfId="473" priority="505" operator="containsText" text="M">
      <formula>NOT(ISERROR(SEARCH("M",D74)))</formula>
    </cfRule>
    <cfRule type="containsText" dxfId="470" priority="506" operator="containsText" text="O">
      <formula>NOT(ISERROR(SEARCH("O",D74)))</formula>
    </cfRule>
    <cfRule type="containsText" dxfId="471" priority="507" operator="containsText" text="O">
      <formula>NOT(ISERROR(SEARCH("O",D74)))</formula>
    </cfRule>
  </conditionalFormatting>
  <conditionalFormatting sqref="D96:AH97">
    <cfRule type="containsText" dxfId="456" priority="364" operator="containsText" text="STA2">
      <formula>NOT(ISERROR(SEARCH("STA2",D96)))</formula>
    </cfRule>
    <cfRule type="containsText" dxfId="452" priority="365" operator="containsText" text="STN2">
      <formula>NOT(ISERROR(SEARCH("STN2",D96)))</formula>
    </cfRule>
    <cfRule type="containsText" dxfId="453" priority="366" operator="containsText" text="STN1">
      <formula>NOT(ISERROR(SEARCH("STN1",D96)))</formula>
    </cfRule>
    <cfRule type="containsText" dxfId="454" priority="367" operator="containsText" text="STA1">
      <formula>NOT(ISERROR(SEARCH("STA1",D96)))</formula>
    </cfRule>
    <cfRule type="containsText" dxfId="455" priority="368" operator="containsText" text="STM2">
      <formula>NOT(ISERROR(SEARCH("STM2",D96)))</formula>
    </cfRule>
    <cfRule type="containsText" dxfId="464" priority="369" operator="containsText" text="STM1">
      <formula>NOT(ISERROR(SEARCH("STM1",D96)))</formula>
    </cfRule>
    <cfRule type="containsText" dxfId="463" priority="370" operator="containsText" text="O">
      <formula>NOT(ISERROR(SEARCH("O",D96)))</formula>
    </cfRule>
    <cfRule type="containsText" dxfId="462" priority="371" operator="containsText" text="STM1">
      <formula>NOT(ISERROR(SEARCH("STM1",D96)))</formula>
    </cfRule>
    <cfRule type="containsText" dxfId="461" priority="372" operator="containsText" text="N">
      <formula>NOT(ISERROR(SEARCH("N",D96)))</formula>
    </cfRule>
    <cfRule type="containsText" dxfId="460" priority="373" operator="containsText" text="A">
      <formula>NOT(ISERROR(SEARCH("A",D96)))</formula>
    </cfRule>
    <cfRule type="containsText" dxfId="459" priority="374" operator="containsText" text="M">
      <formula>NOT(ISERROR(SEARCH("M",D96)))</formula>
    </cfRule>
    <cfRule type="containsText" dxfId="458" priority="375" operator="containsText" text="O">
      <formula>NOT(ISERROR(SEARCH("O",D96)))</formula>
    </cfRule>
    <cfRule type="containsText" dxfId="457" priority="376" operator="containsText" text="O">
      <formula>NOT(ISERROR(SEARCH("O",D96)))</formula>
    </cfRule>
  </conditionalFormatting>
  <conditionalFormatting sqref="D99:AH99 D100:H100 N100:AH100 D101:AE101 D102:R102 X102:AH102 D103:AH103">
    <cfRule type="containsText" dxfId="447" priority="341" operator="containsText" text="NN21">
      <formula>NOT(ISERROR(SEARCH("NN21",D99)))</formula>
    </cfRule>
    <cfRule type="containsText" dxfId="448" priority="342" operator="containsText" text="NN21">
      <formula>NOT(ISERROR(SEARCH("NN21",D99)))</formula>
    </cfRule>
    <cfRule type="containsText" dxfId="451" priority="343" operator="containsText" text="A">
      <formula>NOT(ISERROR(SEARCH("A",D99)))</formula>
    </cfRule>
    <cfRule type="containsText" dxfId="449" priority="344" operator="containsText" text="M">
      <formula>NOT(ISERROR(SEARCH("M",D99)))</formula>
    </cfRule>
    <cfRule type="containsText" dxfId="450" priority="345" operator="containsText" text="MN06">
      <formula>NOT(ISERROR(SEARCH("MN06",D99)))</formula>
    </cfRule>
  </conditionalFormatting>
  <conditionalFormatting sqref="D105:AH107">
    <cfRule type="containsText" dxfId="440" priority="346" operator="containsText" text="STA2">
      <formula>NOT(ISERROR(SEARCH("STA2",D105)))</formula>
    </cfRule>
    <cfRule type="containsText" dxfId="438" priority="347" operator="containsText" text="STN2">
      <formula>NOT(ISERROR(SEARCH("STN2",D105)))</formula>
    </cfRule>
    <cfRule type="containsText" dxfId="443" priority="348" operator="containsText" text="STN1">
      <formula>NOT(ISERROR(SEARCH("STN1",D105)))</formula>
    </cfRule>
    <cfRule type="containsText" dxfId="446" priority="349" operator="containsText" text="STA1">
      <formula>NOT(ISERROR(SEARCH("STA1",D105)))</formula>
    </cfRule>
    <cfRule type="containsText" dxfId="444" priority="350" operator="containsText" text="STM2">
      <formula>NOT(ISERROR(SEARCH("STM2",D105)))</formula>
    </cfRule>
    <cfRule type="containsText" dxfId="445" priority="351" operator="containsText" text="STM1">
      <formula>NOT(ISERROR(SEARCH("STM1",D105)))</formula>
    </cfRule>
    <cfRule type="containsText" dxfId="434" priority="352" operator="containsText" text="O">
      <formula>NOT(ISERROR(SEARCH("O",D105)))</formula>
    </cfRule>
    <cfRule type="containsText" dxfId="435" priority="353" operator="containsText" text="STM1">
      <formula>NOT(ISERROR(SEARCH("STM1",D105)))</formula>
    </cfRule>
    <cfRule type="containsText" dxfId="436" priority="354" operator="containsText" text="N">
      <formula>NOT(ISERROR(SEARCH("N",D105)))</formula>
    </cfRule>
    <cfRule type="containsText" dxfId="437" priority="355" operator="containsText" text="A">
      <formula>NOT(ISERROR(SEARCH("A",D105)))</formula>
    </cfRule>
    <cfRule type="containsText" dxfId="441" priority="356" operator="containsText" text="M">
      <formula>NOT(ISERROR(SEARCH("M",D105)))</formula>
    </cfRule>
    <cfRule type="containsText" dxfId="439" priority="357" operator="containsText" text="O">
      <formula>NOT(ISERROR(SEARCH("O",D105)))</formula>
    </cfRule>
    <cfRule type="containsText" dxfId="442" priority="358" operator="containsText" text="O">
      <formula>NOT(ISERROR(SEARCH("O",D105)))</formula>
    </cfRule>
  </conditionalFormatting>
  <conditionalFormatting sqref="F43:G43">
    <cfRule type="containsText" dxfId="428" priority="256" operator="containsText" text="STMN06">
      <formula>NOT(ISERROR(SEARCH("STMN06",F43)))</formula>
    </cfRule>
    <cfRule type="containsText" dxfId="425" priority="257" operator="containsText" text="STAN13">
      <formula>NOT(ISERROR(SEARCH("STAN13",F43)))</formula>
    </cfRule>
    <cfRule type="containsText" dxfId="429" priority="258" operator="containsText" text="STNN21">
      <formula>NOT(ISERROR(SEARCH("STNN21",F43)))</formula>
    </cfRule>
    <cfRule type="containsText" dxfId="430" priority="259" operator="containsText" text="LV">
      <formula>NOT(ISERROR(SEARCH("LV",F43)))</formula>
    </cfRule>
    <cfRule type="containsText" dxfId="431" priority="260" operator="containsText" text="TR">
      <formula>NOT(ISERROR(SEARCH("TR",F43)))</formula>
    </cfRule>
    <cfRule type="containsText" dxfId="432" priority="261" operator="containsText" text="NN21">
      <formula>NOT(ISERROR(SEARCH("NN21",F43)))</formula>
    </cfRule>
    <cfRule type="containsText" dxfId="433" priority="262" operator="containsText" text="NN13">
      <formula>NOT(ISERROR(SEARCH("NN13",F43)))</formula>
    </cfRule>
    <cfRule type="containsText" dxfId="426" priority="263" operator="containsText" text="AN13">
      <formula>NOT(ISERROR(SEARCH("AN13",F43)))</formula>
    </cfRule>
    <cfRule type="containsText" dxfId="427" priority="264" operator="containsText" text="MN06">
      <formula>NOT(ISERROR(SEARCH("MN06",F43)))</formula>
    </cfRule>
    <cfRule type="containsText" dxfId="424" priority="265" operator="containsText" text="OFF">
      <formula>NOT(ISERROR(SEARCH("OFF",F43)))</formula>
    </cfRule>
  </conditionalFormatting>
  <conditionalFormatting sqref="F45:G45">
    <cfRule type="containsText" dxfId="421" priority="266" operator="containsText" text="STMN06">
      <formula>NOT(ISERROR(SEARCH("STMN06",F45)))</formula>
    </cfRule>
    <cfRule type="containsText" dxfId="416" priority="267" operator="containsText" text="STAN13">
      <formula>NOT(ISERROR(SEARCH("STAN13",F45)))</formula>
    </cfRule>
    <cfRule type="containsText" dxfId="415" priority="268" operator="containsText" text="STNN21">
      <formula>NOT(ISERROR(SEARCH("STNN21",F45)))</formula>
    </cfRule>
    <cfRule type="containsText" dxfId="414" priority="269" operator="containsText" text="LV">
      <formula>NOT(ISERROR(SEARCH("LV",F45)))</formula>
    </cfRule>
    <cfRule type="containsText" dxfId="422" priority="270" operator="containsText" text="TR">
      <formula>NOT(ISERROR(SEARCH("TR",F45)))</formula>
    </cfRule>
    <cfRule type="containsText" dxfId="423" priority="271" operator="containsText" text="NN21">
      <formula>NOT(ISERROR(SEARCH("NN21",F45)))</formula>
    </cfRule>
    <cfRule type="containsText" dxfId="420" priority="272" operator="containsText" text="NN13">
      <formula>NOT(ISERROR(SEARCH("NN13",F45)))</formula>
    </cfRule>
    <cfRule type="containsText" dxfId="419" priority="273" operator="containsText" text="AN13">
      <formula>NOT(ISERROR(SEARCH("AN13",F45)))</formula>
    </cfRule>
    <cfRule type="containsText" dxfId="418" priority="274" operator="containsText" text="MN06">
      <formula>NOT(ISERROR(SEARCH("MN06",F45)))</formula>
    </cfRule>
    <cfRule type="containsText" dxfId="417" priority="275" operator="containsText" text="OFF">
      <formula>NOT(ISERROR(SEARCH("OFF",F45)))</formula>
    </cfRule>
  </conditionalFormatting>
  <conditionalFormatting sqref="F63:G63">
    <cfRule type="containsText" dxfId="408" priority="276" operator="containsText" text="STMN06">
      <formula>NOT(ISERROR(SEARCH("STMN06",F63)))</formula>
    </cfRule>
    <cfRule type="containsText" dxfId="407" priority="277" operator="containsText" text="STAN13">
      <formula>NOT(ISERROR(SEARCH("STAN13",F63)))</formula>
    </cfRule>
    <cfRule type="containsText" dxfId="406" priority="278" operator="containsText" text="STNN21">
      <formula>NOT(ISERROR(SEARCH("STNN21",F63)))</formula>
    </cfRule>
    <cfRule type="containsText" dxfId="405" priority="279" operator="containsText" text="LV">
      <formula>NOT(ISERROR(SEARCH("LV",F63)))</formula>
    </cfRule>
    <cfRule type="containsText" dxfId="404" priority="280" operator="containsText" text="TR">
      <formula>NOT(ISERROR(SEARCH("TR",F63)))</formula>
    </cfRule>
    <cfRule type="containsText" dxfId="413" priority="281" operator="containsText" text="NN21">
      <formula>NOT(ISERROR(SEARCH("NN21",F63)))</formula>
    </cfRule>
    <cfRule type="containsText" dxfId="412" priority="282" operator="containsText" text="NN13">
      <formula>NOT(ISERROR(SEARCH("NN13",F63)))</formula>
    </cfRule>
    <cfRule type="containsText" dxfId="411" priority="283" operator="containsText" text="AN13">
      <formula>NOT(ISERROR(SEARCH("AN13",F63)))</formula>
    </cfRule>
    <cfRule type="containsText" dxfId="409" priority="284" operator="containsText" text="MN06">
      <formula>NOT(ISERROR(SEARCH("MN06",F63)))</formula>
    </cfRule>
    <cfRule type="containsText" dxfId="410" priority="285" operator="containsText" text="OFF">
      <formula>NOT(ISERROR(SEARCH("OFF",F63)))</formula>
    </cfRule>
  </conditionalFormatting>
  <conditionalFormatting sqref="F51:AH51 D52:AH52 D55:M56 O55:AH56 D57:J57 L57:AH57 D58:AH58 D59 J59:AH59 D60:AH61 D62:G62 U62:AH62 D63:E63 H63:AE63 D64:J64 L64:AE64 D65:AH65 D66:Q66 AB66:AH66 D67:I67 W67:AH67 D68:U68 AA68:AH68 D69:AH69 D70:AC70 D72:AH72 D71:Q71 S71:AH71 S66:Z66 D54:AH54 D53:X53 Z53:AH53 AG63:AH64">
    <cfRule type="containsText" dxfId="402" priority="332" operator="containsText" text="NN21">
      <formula>NOT(ISERROR(SEARCH("NN21",D51)))</formula>
    </cfRule>
    <cfRule type="containsText" dxfId="403" priority="333" operator="containsText" text="A">
      <formula>NOT(ISERROR(SEARCH("A",D51)))</formula>
    </cfRule>
    <cfRule type="containsText" dxfId="400" priority="334" operator="containsText" text="M">
      <formula>NOT(ISERROR(SEARCH("M",D51)))</formula>
    </cfRule>
    <cfRule type="containsText" dxfId="401" priority="335" operator="containsText" text="MN06">
      <formula>NOT(ISERROR(SEARCH("MN06",D51)))</formula>
    </cfRule>
  </conditionalFormatting>
  <conditionalFormatting sqref="J33:K33">
    <cfRule type="containsText" dxfId="387" priority="480" operator="containsText" text="M">
      <formula>NOT(ISERROR(SEARCH("M",J33)))</formula>
    </cfRule>
    <cfRule type="containsText" dxfId="386" priority="481" operator="containsText" text="MN06">
      <formula>NOT(ISERROR(SEARCH("MN06",J33)))</formula>
    </cfRule>
    <cfRule type="containsText" dxfId="398" priority="482" operator="containsText" text="STA2">
      <formula>NOT(ISERROR(SEARCH("STA2",J33)))</formula>
    </cfRule>
    <cfRule type="containsText" dxfId="397" priority="483" operator="containsText" text="STN2">
      <formula>NOT(ISERROR(SEARCH("STN2",J33)))</formula>
    </cfRule>
    <cfRule type="containsText" dxfId="396" priority="484" operator="containsText" text="STN1">
      <formula>NOT(ISERROR(SEARCH("STN1",J33)))</formula>
    </cfRule>
    <cfRule type="containsText" dxfId="395" priority="485" operator="containsText" text="STA1">
      <formula>NOT(ISERROR(SEARCH("STA1",J33)))</formula>
    </cfRule>
    <cfRule type="containsText" dxfId="399" priority="486" operator="containsText" text="STM2">
      <formula>NOT(ISERROR(SEARCH("STM2",J33)))</formula>
    </cfRule>
    <cfRule type="containsText" dxfId="388" priority="487" operator="containsText" text="STM1">
      <formula>NOT(ISERROR(SEARCH("STM1",J33)))</formula>
    </cfRule>
    <cfRule type="containsText" dxfId="389" priority="488" operator="containsText" text="O">
      <formula>NOT(ISERROR(SEARCH("O",J33)))</formula>
    </cfRule>
    <cfRule type="containsText" dxfId="390" priority="489" operator="containsText" text="STM1">
      <formula>NOT(ISERROR(SEARCH("STM1",J33)))</formula>
    </cfRule>
    <cfRule type="containsText" dxfId="394" priority="490" operator="containsText" text="N">
      <formula>NOT(ISERROR(SEARCH("N",J33)))</formula>
    </cfRule>
    <cfRule type="containsText" dxfId="392" priority="491" operator="containsText" text="A">
      <formula>NOT(ISERROR(SEARCH("A",J33)))</formula>
    </cfRule>
    <cfRule type="containsText" dxfId="391" priority="492" operator="containsText" text="M">
      <formula>NOT(ISERROR(SEARCH("M",J33)))</formula>
    </cfRule>
    <cfRule type="containsText" dxfId="385" priority="493" operator="containsText" text="O">
      <formula>NOT(ISERROR(SEARCH("O",J33)))</formula>
    </cfRule>
    <cfRule type="containsText" dxfId="393" priority="494" operator="containsText" text="O">
      <formula>NOT(ISERROR(SEARCH("O",J33)))</formula>
    </cfRule>
  </conditionalFormatting>
  <conditionalFormatting sqref="J34:N34">
    <cfRule type="containsText" dxfId="371" priority="411" operator="containsText" text="A">
      <formula>NOT(ISERROR(SEARCH("A",J34)))</formula>
    </cfRule>
    <cfRule type="containsText" dxfId="370" priority="412" operator="containsText" text="M">
      <formula>NOT(ISERROR(SEARCH("M",J34)))</formula>
    </cfRule>
    <cfRule type="containsText" dxfId="372" priority="413" operator="containsText" text="MN06">
      <formula>NOT(ISERROR(SEARCH("MN06",J34)))</formula>
    </cfRule>
    <cfRule type="containsText" dxfId="374" priority="414" operator="containsText" text="STA2">
      <formula>NOT(ISERROR(SEARCH("STA2",J34)))</formula>
    </cfRule>
    <cfRule type="containsText" dxfId="373" priority="415" operator="containsText" text="STN2">
      <formula>NOT(ISERROR(SEARCH("STN2",J34)))</formula>
    </cfRule>
    <cfRule type="containsText" dxfId="375" priority="416" operator="containsText" text="STN1">
      <formula>NOT(ISERROR(SEARCH("STN1",J34)))</formula>
    </cfRule>
    <cfRule type="containsText" dxfId="384" priority="417" operator="containsText" text="STA1">
      <formula>NOT(ISERROR(SEARCH("STA1",J34)))</formula>
    </cfRule>
    <cfRule type="containsText" dxfId="383" priority="418" operator="containsText" text="STM2">
      <formula>NOT(ISERROR(SEARCH("STM2",J34)))</formula>
    </cfRule>
    <cfRule type="containsText" dxfId="382" priority="419" operator="containsText" text="STM1">
      <formula>NOT(ISERROR(SEARCH("STM1",J34)))</formula>
    </cfRule>
    <cfRule type="containsText" dxfId="381" priority="420" operator="containsText" text="O">
      <formula>NOT(ISERROR(SEARCH("O",J34)))</formula>
    </cfRule>
    <cfRule type="containsText" dxfId="380" priority="421" operator="containsText" text="STM1">
      <formula>NOT(ISERROR(SEARCH("STM1",J34)))</formula>
    </cfRule>
    <cfRule type="containsText" dxfId="379" priority="422" operator="containsText" text="N">
      <formula>NOT(ISERROR(SEARCH("N",J34)))</formula>
    </cfRule>
    <cfRule type="containsText" dxfId="378" priority="424" operator="containsText" text="M">
      <formula>NOT(ISERROR(SEARCH("M",J34)))</formula>
    </cfRule>
    <cfRule type="containsText" dxfId="377" priority="425" operator="containsText" text="O">
      <formula>NOT(ISERROR(SEARCH("O",J34)))</formula>
    </cfRule>
    <cfRule type="containsText" dxfId="376" priority="426" operator="containsText" text="O">
      <formula>NOT(ISERROR(SEARCH("O",J34)))</formula>
    </cfRule>
  </conditionalFormatting>
  <conditionalFormatting sqref="J33:P33">
    <cfRule type="containsText" dxfId="369" priority="461" operator="containsText" text="A">
      <formula>NOT(ISERROR(SEARCH("A",J33)))</formula>
    </cfRule>
  </conditionalFormatting>
  <conditionalFormatting sqref="J34:P34">
    <cfRule type="containsText" dxfId="368" priority="423" operator="containsText" text="A">
      <formula>NOT(ISERROR(SEARCH("A",J34)))</formula>
    </cfRule>
  </conditionalFormatting>
  <conditionalFormatting sqref="K39">
    <cfRule type="containsText" dxfId="367" priority="246" operator="containsText" text="STMN06">
      <formula>NOT(ISERROR(SEARCH("STMN06",K39)))</formula>
    </cfRule>
    <cfRule type="containsText" dxfId="359" priority="247" operator="containsText" text="STAN13">
      <formula>NOT(ISERROR(SEARCH("STAN13",K39)))</formula>
    </cfRule>
    <cfRule type="containsText" dxfId="362" priority="248" operator="containsText" text="STNN21">
      <formula>NOT(ISERROR(SEARCH("STNN21",K39)))</formula>
    </cfRule>
    <cfRule type="containsText" dxfId="360" priority="249" operator="containsText" text="LV">
      <formula>NOT(ISERROR(SEARCH("LV",K39)))</formula>
    </cfRule>
    <cfRule type="containsText" dxfId="361" priority="250" operator="containsText" text="TR">
      <formula>NOT(ISERROR(SEARCH("TR",K39)))</formula>
    </cfRule>
    <cfRule type="containsText" dxfId="358" priority="251" operator="containsText" text="NN21">
      <formula>NOT(ISERROR(SEARCH("NN21",K39)))</formula>
    </cfRule>
    <cfRule type="containsText" dxfId="363" priority="252" operator="containsText" text="NN13">
      <formula>NOT(ISERROR(SEARCH("NN13",K39)))</formula>
    </cfRule>
    <cfRule type="containsText" dxfId="364" priority="253" operator="containsText" text="AN13">
      <formula>NOT(ISERROR(SEARCH("AN13",K39)))</formula>
    </cfRule>
    <cfRule type="containsText" dxfId="365" priority="254" operator="containsText" text="MN06">
      <formula>NOT(ISERROR(SEARCH("MN06",K39)))</formula>
    </cfRule>
    <cfRule type="containsText" dxfId="366" priority="255" operator="containsText" text="OFF">
      <formula>NOT(ISERROR(SEARCH("OFF",K39)))</formula>
    </cfRule>
  </conditionalFormatting>
  <conditionalFormatting sqref="K42">
    <cfRule type="containsText" dxfId="352" priority="226" operator="containsText" text="STMN06">
      <formula>NOT(ISERROR(SEARCH("STMN06",K42)))</formula>
    </cfRule>
    <cfRule type="containsText" dxfId="355" priority="227" operator="containsText" text="STAN13">
      <formula>NOT(ISERROR(SEARCH("STAN13",K42)))</formula>
    </cfRule>
    <cfRule type="containsText" dxfId="356" priority="228" operator="containsText" text="STNN21">
      <formula>NOT(ISERROR(SEARCH("STNN21",K42)))</formula>
    </cfRule>
    <cfRule type="containsText" dxfId="357" priority="229" operator="containsText" text="LV">
      <formula>NOT(ISERROR(SEARCH("LV",K42)))</formula>
    </cfRule>
    <cfRule type="containsText" dxfId="353" priority="230" operator="containsText" text="TR">
      <formula>NOT(ISERROR(SEARCH("TR",K42)))</formula>
    </cfRule>
    <cfRule type="containsText" dxfId="350" priority="231" operator="containsText" text="NN21">
      <formula>NOT(ISERROR(SEARCH("NN21",K42)))</formula>
    </cfRule>
    <cfRule type="containsText" dxfId="351" priority="232" operator="containsText" text="NN13">
      <formula>NOT(ISERROR(SEARCH("NN13",K42)))</formula>
    </cfRule>
    <cfRule type="containsText" dxfId="354" priority="233" operator="containsText" text="AN13">
      <formula>NOT(ISERROR(SEARCH("AN13",K42)))</formula>
    </cfRule>
    <cfRule type="containsText" dxfId="348" priority="234" operator="containsText" text="MN06">
      <formula>NOT(ISERROR(SEARCH("MN06",K42)))</formula>
    </cfRule>
    <cfRule type="containsText" dxfId="349" priority="235" operator="containsText" text="OFF">
      <formula>NOT(ISERROR(SEARCH("OFF",K42)))</formula>
    </cfRule>
  </conditionalFormatting>
  <conditionalFormatting sqref="K57">
    <cfRule type="containsText" dxfId="338" priority="216" operator="containsText" text="STMN06">
      <formula>NOT(ISERROR(SEARCH("STMN06",K57)))</formula>
    </cfRule>
    <cfRule type="containsText" dxfId="347" priority="217" operator="containsText" text="STAN13">
      <formula>NOT(ISERROR(SEARCH("STAN13",K57)))</formula>
    </cfRule>
    <cfRule type="containsText" dxfId="346" priority="218" operator="containsText" text="STNN21">
      <formula>NOT(ISERROR(SEARCH("STNN21",K57)))</formula>
    </cfRule>
    <cfRule type="containsText" dxfId="345" priority="219" operator="containsText" text="LV">
      <formula>NOT(ISERROR(SEARCH("LV",K57)))</formula>
    </cfRule>
    <cfRule type="containsText" dxfId="344" priority="220" operator="containsText" text="TR">
      <formula>NOT(ISERROR(SEARCH("TR",K57)))</formula>
    </cfRule>
    <cfRule type="containsText" dxfId="343" priority="221" operator="containsText" text="NN21">
      <formula>NOT(ISERROR(SEARCH("NN21",K57)))</formula>
    </cfRule>
    <cfRule type="containsText" dxfId="339" priority="222" operator="containsText" text="NN13">
      <formula>NOT(ISERROR(SEARCH("NN13",K57)))</formula>
    </cfRule>
    <cfRule type="containsText" dxfId="342" priority="223" operator="containsText" text="AN13">
      <formula>NOT(ISERROR(SEARCH("AN13",K57)))</formula>
    </cfRule>
    <cfRule type="containsText" dxfId="341" priority="224" operator="containsText" text="MN06">
      <formula>NOT(ISERROR(SEARCH("MN06",K57)))</formula>
    </cfRule>
    <cfRule type="containsText" dxfId="340" priority="225" operator="containsText" text="OFF">
      <formula>NOT(ISERROR(SEARCH("OFF",K57)))</formula>
    </cfRule>
  </conditionalFormatting>
  <conditionalFormatting sqref="K64">
    <cfRule type="containsText" dxfId="331" priority="236" operator="containsText" text="STMN06">
      <formula>NOT(ISERROR(SEARCH("STMN06",K64)))</formula>
    </cfRule>
    <cfRule type="containsText" dxfId="332" priority="237" operator="containsText" text="STAN13">
      <formula>NOT(ISERROR(SEARCH("STAN13",K64)))</formula>
    </cfRule>
    <cfRule type="containsText" dxfId="336" priority="238" operator="containsText" text="STNN21">
      <formula>NOT(ISERROR(SEARCH("STNN21",K64)))</formula>
    </cfRule>
    <cfRule type="containsText" dxfId="328" priority="239" operator="containsText" text="LV">
      <formula>NOT(ISERROR(SEARCH("LV",K64)))</formula>
    </cfRule>
    <cfRule type="containsText" dxfId="337" priority="240" operator="containsText" text="TR">
      <formula>NOT(ISERROR(SEARCH("TR",K64)))</formula>
    </cfRule>
    <cfRule type="containsText" dxfId="329" priority="241" operator="containsText" text="NN21">
      <formula>NOT(ISERROR(SEARCH("NN21",K64)))</formula>
    </cfRule>
    <cfRule type="containsText" dxfId="330" priority="242" operator="containsText" text="NN13">
      <formula>NOT(ISERROR(SEARCH("NN13",K64)))</formula>
    </cfRule>
    <cfRule type="containsText" dxfId="333" priority="243" operator="containsText" text="AN13">
      <formula>NOT(ISERROR(SEARCH("AN13",K64)))</formula>
    </cfRule>
    <cfRule type="containsText" dxfId="334" priority="244" operator="containsText" text="MN06">
      <formula>NOT(ISERROR(SEARCH("MN06",K64)))</formula>
    </cfRule>
    <cfRule type="containsText" dxfId="335" priority="245" operator="containsText" text="OFF">
      <formula>NOT(ISERROR(SEARCH("OFF",K64)))</formula>
    </cfRule>
  </conditionalFormatting>
  <conditionalFormatting sqref="K88">
    <cfRule type="containsText" dxfId="327" priority="196" operator="containsText" text="STMN06">
      <formula>NOT(ISERROR(SEARCH("STMN06",K88)))</formula>
    </cfRule>
    <cfRule type="containsText" dxfId="326" priority="197" operator="containsText" text="STAN13">
      <formula>NOT(ISERROR(SEARCH("STAN13",K88)))</formula>
    </cfRule>
    <cfRule type="containsText" dxfId="325" priority="198" operator="containsText" text="STNN21">
      <formula>NOT(ISERROR(SEARCH("STNN21",K88)))</formula>
    </cfRule>
    <cfRule type="containsText" dxfId="324" priority="199" operator="containsText" text="LV">
      <formula>NOT(ISERROR(SEARCH("LV",K88)))</formula>
    </cfRule>
    <cfRule type="containsText" dxfId="323" priority="200" operator="containsText" text="TR">
      <formula>NOT(ISERROR(SEARCH("TR",K88)))</formula>
    </cfRule>
    <cfRule type="containsText" dxfId="322" priority="201" operator="containsText" text="NN21">
      <formula>NOT(ISERROR(SEARCH("NN21",K88)))</formula>
    </cfRule>
    <cfRule type="containsText" dxfId="321" priority="202" operator="containsText" text="NN13">
      <formula>NOT(ISERROR(SEARCH("NN13",K88)))</formula>
    </cfRule>
    <cfRule type="containsText" dxfId="320" priority="203" operator="containsText" text="AN13">
      <formula>NOT(ISERROR(SEARCH("AN13",K88)))</formula>
    </cfRule>
    <cfRule type="containsText" dxfId="319" priority="204" operator="containsText" text="MN06">
      <formula>NOT(ISERROR(SEARCH("MN06",K88)))</formula>
    </cfRule>
    <cfRule type="containsText" dxfId="318" priority="205" operator="containsText" text="OFF">
      <formula>NOT(ISERROR(SEARCH("OFF",K88)))</formula>
    </cfRule>
  </conditionalFormatting>
  <conditionalFormatting sqref="L13">
    <cfRule type="containsText" dxfId="312" priority="206" operator="containsText" text="STMN06">
      <formula>NOT(ISERROR(SEARCH("STMN06",L13)))</formula>
    </cfRule>
    <cfRule type="containsText" dxfId="311" priority="207" operator="containsText" text="STAN13">
      <formula>NOT(ISERROR(SEARCH("STAN13",L13)))</formula>
    </cfRule>
    <cfRule type="containsText" dxfId="317" priority="208" operator="containsText" text="STNN21">
      <formula>NOT(ISERROR(SEARCH("STNN21",L13)))</formula>
    </cfRule>
    <cfRule type="containsText" dxfId="310" priority="209" operator="containsText" text="LV">
      <formula>NOT(ISERROR(SEARCH("LV",L13)))</formula>
    </cfRule>
    <cfRule type="containsText" dxfId="313" priority="210" operator="containsText" text="TR">
      <formula>NOT(ISERROR(SEARCH("TR",L13)))</formula>
    </cfRule>
    <cfRule type="containsText" dxfId="314" priority="211" operator="containsText" text="NN21">
      <formula>NOT(ISERROR(SEARCH("NN21",L13)))</formula>
    </cfRule>
    <cfRule type="containsText" dxfId="315" priority="212" operator="containsText" text="NN13">
      <formula>NOT(ISERROR(SEARCH("NN13",L13)))</formula>
    </cfRule>
    <cfRule type="containsText" dxfId="316" priority="213" operator="containsText" text="AN13">
      <formula>NOT(ISERROR(SEARCH("AN13",L13)))</formula>
    </cfRule>
    <cfRule type="containsText" dxfId="308" priority="214" operator="containsText" text="MN06">
      <formula>NOT(ISERROR(SEARCH("MN06",L13)))</formula>
    </cfRule>
    <cfRule type="containsText" dxfId="309" priority="215" operator="containsText" text="OFF">
      <formula>NOT(ISERROR(SEARCH("OFF",L13)))</formula>
    </cfRule>
  </conditionalFormatting>
  <conditionalFormatting sqref="L17">
    <cfRule type="containsText" dxfId="305" priority="186" operator="containsText" text="STMN06">
      <formula>NOT(ISERROR(SEARCH("STMN06",L17)))</formula>
    </cfRule>
    <cfRule type="containsText" dxfId="304" priority="187" operator="containsText" text="STAN13">
      <formula>NOT(ISERROR(SEARCH("STAN13",L17)))</formula>
    </cfRule>
    <cfRule type="containsText" dxfId="307" priority="188" operator="containsText" text="STNN21">
      <formula>NOT(ISERROR(SEARCH("STNN21",L17)))</formula>
    </cfRule>
    <cfRule type="containsText" dxfId="306" priority="189" operator="containsText" text="LV">
      <formula>NOT(ISERROR(SEARCH("LV",L17)))</formula>
    </cfRule>
    <cfRule type="containsText" dxfId="301" priority="190" operator="containsText" text="TR">
      <formula>NOT(ISERROR(SEARCH("TR",L17)))</formula>
    </cfRule>
    <cfRule type="containsText" dxfId="303" priority="191" operator="containsText" text="NN21">
      <formula>NOT(ISERROR(SEARCH("NN21",L17)))</formula>
    </cfRule>
    <cfRule type="containsText" dxfId="302" priority="192" operator="containsText" text="NN13">
      <formula>NOT(ISERROR(SEARCH("NN13",L17)))</formula>
    </cfRule>
    <cfRule type="containsText" dxfId="300" priority="193" operator="containsText" text="AN13">
      <formula>NOT(ISERROR(SEARCH("AN13",L17)))</formula>
    </cfRule>
    <cfRule type="containsText" dxfId="299" priority="194" operator="containsText" text="MN06">
      <formula>NOT(ISERROR(SEARCH("MN06",L17)))</formula>
    </cfRule>
    <cfRule type="containsText" dxfId="298" priority="195" operator="containsText" text="OFF">
      <formula>NOT(ISERROR(SEARCH("OFF",L17)))</formula>
    </cfRule>
  </conditionalFormatting>
  <conditionalFormatting sqref="L86">
    <cfRule type="containsText" dxfId="296" priority="176" operator="containsText" text="STMN06">
      <formula>NOT(ISERROR(SEARCH("STMN06",L86)))</formula>
    </cfRule>
    <cfRule type="containsText" dxfId="297" priority="177" operator="containsText" text="STAN13">
      <formula>NOT(ISERROR(SEARCH("STAN13",L86)))</formula>
    </cfRule>
    <cfRule type="containsText" dxfId="295" priority="178" operator="containsText" text="STNN21">
      <formula>NOT(ISERROR(SEARCH("STNN21",L86)))</formula>
    </cfRule>
    <cfRule type="containsText" dxfId="294" priority="179" operator="containsText" text="LV">
      <formula>NOT(ISERROR(SEARCH("LV",L86)))</formula>
    </cfRule>
    <cfRule type="containsText" dxfId="293" priority="180" operator="containsText" text="TR">
      <formula>NOT(ISERROR(SEARCH("TR",L86)))</formula>
    </cfRule>
    <cfRule type="containsText" dxfId="290" priority="181" operator="containsText" text="NN21">
      <formula>NOT(ISERROR(SEARCH("NN21",L86)))</formula>
    </cfRule>
    <cfRule type="containsText" dxfId="292" priority="182" operator="containsText" text="NN13">
      <formula>NOT(ISERROR(SEARCH("NN13",L86)))</formula>
    </cfRule>
    <cfRule type="containsText" dxfId="291" priority="183" operator="containsText" text="AN13">
      <formula>NOT(ISERROR(SEARCH("AN13",L86)))</formula>
    </cfRule>
    <cfRule type="containsText" dxfId="289" priority="184" operator="containsText" text="MN06">
      <formula>NOT(ISERROR(SEARCH("MN06",L86)))</formula>
    </cfRule>
    <cfRule type="containsText" dxfId="288" priority="185" operator="containsText" text="OFF">
      <formula>NOT(ISERROR(SEARCH("OFF",L86)))</formula>
    </cfRule>
  </conditionalFormatting>
  <conditionalFormatting sqref="L33:N33">
    <cfRule type="containsText" dxfId="279" priority="449" operator="containsText" text="A">
      <formula>NOT(ISERROR(SEARCH("A",L33)))</formula>
    </cfRule>
    <cfRule type="containsText" dxfId="280" priority="450" operator="containsText" text="M">
      <formula>NOT(ISERROR(SEARCH("M",L33)))</formula>
    </cfRule>
    <cfRule type="containsText" dxfId="277" priority="451" operator="containsText" text="MN06">
      <formula>NOT(ISERROR(SEARCH("MN06",L33)))</formula>
    </cfRule>
    <cfRule type="containsText" dxfId="278" priority="452" operator="containsText" text="STA2">
      <formula>NOT(ISERROR(SEARCH("STA2",L33)))</formula>
    </cfRule>
    <cfRule type="containsText" dxfId="282" priority="453" operator="containsText" text="STN2">
      <formula>NOT(ISERROR(SEARCH("STN2",L33)))</formula>
    </cfRule>
    <cfRule type="containsText" dxfId="273" priority="454" operator="containsText" text="STN1">
      <formula>NOT(ISERROR(SEARCH("STN1",L33)))</formula>
    </cfRule>
    <cfRule type="containsText" dxfId="274" priority="455" operator="containsText" text="STA1">
      <formula>NOT(ISERROR(SEARCH("STA1",L33)))</formula>
    </cfRule>
    <cfRule type="containsText" dxfId="275" priority="456" operator="containsText" text="STM2">
      <formula>NOT(ISERROR(SEARCH("STM2",L33)))</formula>
    </cfRule>
    <cfRule type="containsText" dxfId="276" priority="457" operator="containsText" text="STM1">
      <formula>NOT(ISERROR(SEARCH("STM1",L33)))</formula>
    </cfRule>
    <cfRule type="containsText" dxfId="281" priority="458" operator="containsText" text="O">
      <formula>NOT(ISERROR(SEARCH("O",L33)))</formula>
    </cfRule>
    <cfRule type="containsText" dxfId="287" priority="459" operator="containsText" text="STM1">
      <formula>NOT(ISERROR(SEARCH("STM1",L33)))</formula>
    </cfRule>
    <cfRule type="containsText" dxfId="286" priority="460" operator="containsText" text="N">
      <formula>NOT(ISERROR(SEARCH("N",L33)))</formula>
    </cfRule>
    <cfRule type="containsText" dxfId="285" priority="462" operator="containsText" text="M">
      <formula>NOT(ISERROR(SEARCH("M",L33)))</formula>
    </cfRule>
    <cfRule type="containsText" dxfId="284" priority="463" operator="containsText" text="O">
      <formula>NOT(ISERROR(SEARCH("O",L33)))</formula>
    </cfRule>
    <cfRule type="containsText" dxfId="283" priority="464" operator="containsText" text="O">
      <formula>NOT(ISERROR(SEARCH("O",L33)))</formula>
    </cfRule>
  </conditionalFormatting>
  <conditionalFormatting sqref="M12">
    <cfRule type="containsText" dxfId="268" priority="166" operator="containsText" text="STMN06">
      <formula>NOT(ISERROR(SEARCH("STMN06",M12)))</formula>
    </cfRule>
    <cfRule type="containsText" dxfId="272" priority="167" operator="containsText" text="STAN13">
      <formula>NOT(ISERROR(SEARCH("STAN13",M12)))</formula>
    </cfRule>
    <cfRule type="containsText" dxfId="269" priority="168" operator="containsText" text="STNN21">
      <formula>NOT(ISERROR(SEARCH("STNN21",M12)))</formula>
    </cfRule>
    <cfRule type="containsText" dxfId="266" priority="169" operator="containsText" text="LV">
      <formula>NOT(ISERROR(SEARCH("LV",M12)))</formula>
    </cfRule>
    <cfRule type="containsText" dxfId="265" priority="170" operator="containsText" text="TR">
      <formula>NOT(ISERROR(SEARCH("TR",M12)))</formula>
    </cfRule>
    <cfRule type="containsText" dxfId="264" priority="171" operator="containsText" text="NN21">
      <formula>NOT(ISERROR(SEARCH("NN21",M12)))</formula>
    </cfRule>
    <cfRule type="containsText" dxfId="263" priority="172" operator="containsText" text="NN13">
      <formula>NOT(ISERROR(SEARCH("NN13",M12)))</formula>
    </cfRule>
    <cfRule type="containsText" dxfId="267" priority="173" operator="containsText" text="AN13">
      <formula>NOT(ISERROR(SEARCH("AN13",M12)))</formula>
    </cfRule>
    <cfRule type="containsText" dxfId="271" priority="174" operator="containsText" text="MN06">
      <formula>NOT(ISERROR(SEARCH("MN06",M12)))</formula>
    </cfRule>
    <cfRule type="containsText" dxfId="270" priority="175" operator="containsText" text="OFF">
      <formula>NOT(ISERROR(SEARCH("OFF",M12)))</formula>
    </cfRule>
  </conditionalFormatting>
  <conditionalFormatting sqref="N26:N27">
    <cfRule type="containsText" dxfId="262" priority="156" operator="containsText" text="STMN06">
      <formula>NOT(ISERROR(SEARCH("STMN06",N26)))</formula>
    </cfRule>
    <cfRule type="containsText" dxfId="254" priority="157" operator="containsText" text="STAN13">
      <formula>NOT(ISERROR(SEARCH("STAN13",N26)))</formula>
    </cfRule>
    <cfRule type="containsText" dxfId="255" priority="158" operator="containsText" text="STNN21">
      <formula>NOT(ISERROR(SEARCH("STNN21",N26)))</formula>
    </cfRule>
    <cfRule type="containsText" dxfId="256" priority="159" operator="containsText" text="LV">
      <formula>NOT(ISERROR(SEARCH("LV",N26)))</formula>
    </cfRule>
    <cfRule type="containsText" dxfId="253" priority="160" operator="containsText" text="TR">
      <formula>NOT(ISERROR(SEARCH("TR",N26)))</formula>
    </cfRule>
    <cfRule type="containsText" dxfId="257" priority="161" operator="containsText" text="NN21">
      <formula>NOT(ISERROR(SEARCH("NN21",N26)))</formula>
    </cfRule>
    <cfRule type="containsText" dxfId="258" priority="162" operator="containsText" text="NN13">
      <formula>NOT(ISERROR(SEARCH("NN13",N26)))</formula>
    </cfRule>
    <cfRule type="containsText" dxfId="259" priority="163" operator="containsText" text="AN13">
      <formula>NOT(ISERROR(SEARCH("AN13",N26)))</formula>
    </cfRule>
    <cfRule type="containsText" dxfId="261" priority="164" operator="containsText" text="MN06">
      <formula>NOT(ISERROR(SEARCH("MN06",N26)))</formula>
    </cfRule>
    <cfRule type="containsText" dxfId="260" priority="165" operator="containsText" text="OFF">
      <formula>NOT(ISERROR(SEARCH("OFF",N26)))</formula>
    </cfRule>
  </conditionalFormatting>
  <conditionalFormatting sqref="N55:N56">
    <cfRule type="containsText" dxfId="250" priority="146" operator="containsText" text="STMN06">
      <formula>NOT(ISERROR(SEARCH("STMN06",N55)))</formula>
    </cfRule>
    <cfRule type="containsText" dxfId="252" priority="147" operator="containsText" text="STAN13">
      <formula>NOT(ISERROR(SEARCH("STAN13",N55)))</formula>
    </cfRule>
    <cfRule type="containsText" dxfId="251" priority="148" operator="containsText" text="STNN21">
      <formula>NOT(ISERROR(SEARCH("STNN21",N55)))</formula>
    </cfRule>
    <cfRule type="containsText" dxfId="243" priority="149" operator="containsText" text="LV">
      <formula>NOT(ISERROR(SEARCH("LV",N55)))</formula>
    </cfRule>
    <cfRule type="containsText" dxfId="247" priority="150" operator="containsText" text="TR">
      <formula>NOT(ISERROR(SEARCH("TR",N55)))</formula>
    </cfRule>
    <cfRule type="containsText" dxfId="244" priority="151" operator="containsText" text="NN21">
      <formula>NOT(ISERROR(SEARCH("NN21",N55)))</formula>
    </cfRule>
    <cfRule type="containsText" dxfId="245" priority="152" operator="containsText" text="NN13">
      <formula>NOT(ISERROR(SEARCH("NN13",N55)))</formula>
    </cfRule>
    <cfRule type="containsText" dxfId="246" priority="153" operator="containsText" text="AN13">
      <formula>NOT(ISERROR(SEARCH("AN13",N55)))</formula>
    </cfRule>
    <cfRule type="containsText" dxfId="248" priority="154" operator="containsText" text="MN06">
      <formula>NOT(ISERROR(SEARCH("MN06",N55)))</formula>
    </cfRule>
    <cfRule type="containsText" dxfId="249" priority="155" operator="containsText" text="OFF">
      <formula>NOT(ISERROR(SEARCH("OFF",N55)))</formula>
    </cfRule>
  </conditionalFormatting>
  <conditionalFormatting sqref="O72">
    <cfRule type="containsText" dxfId="242" priority="326" operator="containsText" text="NN21">
      <formula>NOT(ISERROR(SEARCH("NN21",O72)))</formula>
    </cfRule>
    <cfRule type="containsText" dxfId="238" priority="327" operator="containsText" text="NN21">
      <formula>NOT(ISERROR(SEARCH("NN21",O72)))</formula>
    </cfRule>
    <cfRule type="containsText" dxfId="241" priority="328" operator="containsText" text="A">
      <formula>NOT(ISERROR(SEARCH("A",O72)))</formula>
    </cfRule>
    <cfRule type="containsText" dxfId="239" priority="329" operator="containsText" text="M">
      <formula>NOT(ISERROR(SEARCH("M",O72)))</formula>
    </cfRule>
    <cfRule type="containsText" dxfId="240" priority="330" operator="containsText" text="MN06">
      <formula>NOT(ISERROR(SEARCH("MN06",O72)))</formula>
    </cfRule>
  </conditionalFormatting>
  <conditionalFormatting sqref="O33:R33">
    <cfRule type="containsText" dxfId="237" priority="465" operator="containsText" text="M">
      <formula>NOT(ISERROR(SEARCH("M",O33)))</formula>
    </cfRule>
    <cfRule type="containsText" dxfId="236" priority="466" operator="containsText" text="MN06">
      <formula>NOT(ISERROR(SEARCH("MN06",O33)))</formula>
    </cfRule>
  </conditionalFormatting>
  <conditionalFormatting sqref="O34:R34">
    <cfRule type="containsText" dxfId="234" priority="430" operator="containsText" text="M">
      <formula>NOT(ISERROR(SEARCH("M",O34)))</formula>
    </cfRule>
    <cfRule type="containsText" dxfId="235" priority="431" operator="containsText" text="MN06">
      <formula>NOT(ISERROR(SEARCH("MN06",O34)))</formula>
    </cfRule>
  </conditionalFormatting>
  <conditionalFormatting sqref="O33:AD33 O34:Z34 AB34:AD34">
    <cfRule type="containsText" dxfId="233" priority="476" operator="containsText" text="A">
      <formula>NOT(ISERROR(SEARCH("A",O33)))</formula>
    </cfRule>
    <cfRule type="containsText" dxfId="232" priority="477" operator="containsText" text="M">
      <formula>NOT(ISERROR(SEARCH("M",O33)))</formula>
    </cfRule>
    <cfRule type="containsText" dxfId="231" priority="478" operator="containsText" text="O">
      <formula>NOT(ISERROR(SEARCH("O",O33)))</formula>
    </cfRule>
    <cfRule type="containsText" dxfId="230" priority="479" operator="containsText" text="O">
      <formula>NOT(ISERROR(SEARCH("O",O33)))</formula>
    </cfRule>
  </conditionalFormatting>
  <conditionalFormatting sqref="O33:AD33 O34:Z34">
    <cfRule type="containsText" dxfId="228" priority="467" operator="containsText" text="STA2">
      <formula>NOT(ISERROR(SEARCH("STA2",O33)))</formula>
    </cfRule>
    <cfRule type="containsText" dxfId="227" priority="468" operator="containsText" text="STN2">
      <formula>NOT(ISERROR(SEARCH("STN2",O33)))</formula>
    </cfRule>
    <cfRule type="containsText" dxfId="226" priority="469" operator="containsText" text="STN1">
      <formula>NOT(ISERROR(SEARCH("STN1",O33)))</formula>
    </cfRule>
    <cfRule type="containsText" dxfId="225" priority="470" operator="containsText" text="STA1">
      <formula>NOT(ISERROR(SEARCH("STA1",O33)))</formula>
    </cfRule>
    <cfRule type="containsText" dxfId="224" priority="471" operator="containsText" text="STM2">
      <formula>NOT(ISERROR(SEARCH("STM2",O33)))</formula>
    </cfRule>
    <cfRule type="containsText" dxfId="229" priority="472" operator="containsText" text="STM1">
      <formula>NOT(ISERROR(SEARCH("STM1",O33)))</formula>
    </cfRule>
    <cfRule type="containsText" dxfId="223" priority="473" operator="containsText" text="O">
      <formula>NOT(ISERROR(SEARCH("O",O33)))</formula>
    </cfRule>
    <cfRule type="containsText" dxfId="222" priority="474" operator="containsText" text="STM1">
      <formula>NOT(ISERROR(SEARCH("STM1",O33)))</formula>
    </cfRule>
    <cfRule type="containsText" dxfId="221" priority="475" operator="containsText" text="N">
      <formula>NOT(ISERROR(SEARCH("N",O33)))</formula>
    </cfRule>
  </conditionalFormatting>
  <conditionalFormatting sqref="O26:AH27 K27:M27">
    <cfRule type="containsText" dxfId="218" priority="377" operator="containsText" text="NN21">
      <formula>NOT(ISERROR(SEARCH("NN21",K26)))</formula>
    </cfRule>
    <cfRule type="containsText" dxfId="219" priority="378" operator="containsText" text="NN21">
      <formula>NOT(ISERROR(SEARCH("NN21",K26)))</formula>
    </cfRule>
    <cfRule type="containsText" dxfId="217" priority="379" operator="containsText" text="A">
      <formula>NOT(ISERROR(SEARCH("A",K26)))</formula>
    </cfRule>
    <cfRule type="containsText" dxfId="216" priority="380" operator="containsText" text="M">
      <formula>NOT(ISERROR(SEARCH("M",K26)))</formula>
    </cfRule>
    <cfRule type="containsText" dxfId="220" priority="381" operator="containsText" text="MN06">
      <formula>NOT(ISERROR(SEARCH("MN06",K26)))</formula>
    </cfRule>
  </conditionalFormatting>
  <conditionalFormatting sqref="Q33:Y34">
    <cfRule type="containsText" dxfId="215" priority="408" operator="containsText" text="A">
      <formula>NOT(ISERROR(SEARCH("A",Q33)))</formula>
    </cfRule>
  </conditionalFormatting>
  <conditionalFormatting sqref="S33:Y34">
    <cfRule type="containsText" dxfId="213" priority="409" operator="containsText" text="M">
      <formula>NOT(ISERROR(SEARCH("M",S33)))</formula>
    </cfRule>
    <cfRule type="containsText" dxfId="214" priority="410" operator="containsText" text="MN06">
      <formula>NOT(ISERROR(SEARCH("MN06",S33)))</formula>
    </cfRule>
  </conditionalFormatting>
  <conditionalFormatting sqref="V72:AE72">
    <cfRule type="containsText" dxfId="211" priority="321" operator="containsText" text="NN21">
      <formula>NOT(ISERROR(SEARCH("NN21",V72)))</formula>
    </cfRule>
    <cfRule type="containsText" dxfId="210" priority="322" operator="containsText" text="NN21">
      <formula>NOT(ISERROR(SEARCH("NN21",V72)))</formula>
    </cfRule>
    <cfRule type="containsText" dxfId="212" priority="323" operator="containsText" text="A">
      <formula>NOT(ISERROR(SEARCH("A",V72)))</formula>
    </cfRule>
    <cfRule type="containsText" dxfId="208" priority="324" operator="containsText" text="M">
      <formula>NOT(ISERROR(SEARCH("M",V72)))</formula>
    </cfRule>
    <cfRule type="containsText" dxfId="209" priority="325" operator="containsText" text="MN06">
      <formula>NOT(ISERROR(SEARCH("MN06",V72)))</formula>
    </cfRule>
  </conditionalFormatting>
  <conditionalFormatting sqref="Z34 AB34:AH34">
    <cfRule type="containsText" dxfId="205" priority="392" operator="containsText" text="A">
      <formula>NOT(ISERROR(SEARCH("A",Z34)))</formula>
    </cfRule>
    <cfRule type="containsText" dxfId="207" priority="393" operator="containsText" text="M">
      <formula>NOT(ISERROR(SEARCH("M",Z34)))</formula>
    </cfRule>
    <cfRule type="containsText" dxfId="206" priority="394" operator="containsText" text="MN06">
      <formula>NOT(ISERROR(SEARCH("MN06",Z34)))</formula>
    </cfRule>
  </conditionalFormatting>
  <conditionalFormatting sqref="Z33:AD33">
    <cfRule type="containsText" dxfId="203" priority="447" operator="containsText" text="M">
      <formula>NOT(ISERROR(SEARCH("M",Z33)))</formula>
    </cfRule>
    <cfRule type="containsText" dxfId="204" priority="448" operator="containsText" text="MN06">
      <formula>NOT(ISERROR(SEARCH("MN06",Z33)))</formula>
    </cfRule>
  </conditionalFormatting>
  <conditionalFormatting sqref="Z33:AE33 AG33">
    <cfRule type="containsText" dxfId="202" priority="443" operator="containsText" text="A">
      <formula>NOT(ISERROR(SEARCH("A",Z33)))</formula>
    </cfRule>
  </conditionalFormatting>
  <conditionalFormatting sqref="AA34">
    <cfRule type="containsText" dxfId="196" priority="286" operator="containsText" text="STMN06">
      <formula>NOT(ISERROR(SEARCH("STMN06",AA34)))</formula>
    </cfRule>
    <cfRule type="containsText" dxfId="193" priority="287" operator="containsText" text="STAN13">
      <formula>NOT(ISERROR(SEARCH("STAN13",AA34)))</formula>
    </cfRule>
    <cfRule type="containsText" dxfId="195" priority="288" operator="containsText" text="STNN21">
      <formula>NOT(ISERROR(SEARCH("STNN21",AA34)))</formula>
    </cfRule>
    <cfRule type="containsText" dxfId="194" priority="289" operator="containsText" text="LV">
      <formula>NOT(ISERROR(SEARCH("LV",AA34)))</formula>
    </cfRule>
    <cfRule type="containsText" dxfId="201" priority="290" operator="containsText" text="TR">
      <formula>NOT(ISERROR(SEARCH("TR",AA34)))</formula>
    </cfRule>
    <cfRule type="containsText" dxfId="197" priority="291" operator="containsText" text="NN21">
      <formula>NOT(ISERROR(SEARCH("NN21",AA34)))</formula>
    </cfRule>
    <cfRule type="containsText" dxfId="200" priority="292" operator="containsText" text="NN13">
      <formula>NOT(ISERROR(SEARCH("NN13",AA34)))</formula>
    </cfRule>
    <cfRule type="containsText" dxfId="192" priority="293" operator="containsText" text="AN13">
      <formula>NOT(ISERROR(SEARCH("AN13",AA34)))</formula>
    </cfRule>
    <cfRule type="containsText" dxfId="198" priority="294" operator="containsText" text="MN06">
      <formula>NOT(ISERROR(SEARCH("MN06",AA34)))</formula>
    </cfRule>
    <cfRule type="containsText" dxfId="199" priority="295" operator="containsText" text="OFF">
      <formula>NOT(ISERROR(SEARCH("OFF",AA34)))</formula>
    </cfRule>
  </conditionalFormatting>
  <conditionalFormatting sqref="AA39">
    <cfRule type="containsText" dxfId="191" priority="296" operator="containsText" text="STMN06">
      <formula>NOT(ISERROR(SEARCH("STMN06",AA39)))</formula>
    </cfRule>
    <cfRule type="containsText" dxfId="189" priority="297" operator="containsText" text="STAN13">
      <formula>NOT(ISERROR(SEARCH("STAN13",AA39)))</formula>
    </cfRule>
    <cfRule type="containsText" dxfId="183" priority="298" operator="containsText" text="STNN21">
      <formula>NOT(ISERROR(SEARCH("STNN21",AA39)))</formula>
    </cfRule>
    <cfRule type="containsText" dxfId="182" priority="299" operator="containsText" text="LV">
      <formula>NOT(ISERROR(SEARCH("LV",AA39)))</formula>
    </cfRule>
    <cfRule type="containsText" dxfId="184" priority="300" operator="containsText" text="TR">
      <formula>NOT(ISERROR(SEARCH("TR",AA39)))</formula>
    </cfRule>
    <cfRule type="containsText" dxfId="185" priority="301" operator="containsText" text="NN21">
      <formula>NOT(ISERROR(SEARCH("NN21",AA39)))</formula>
    </cfRule>
    <cfRule type="containsText" dxfId="186" priority="302" operator="containsText" text="NN13">
      <formula>NOT(ISERROR(SEARCH("NN13",AA39)))</formula>
    </cfRule>
    <cfRule type="containsText" dxfId="190" priority="303" operator="containsText" text="AN13">
      <formula>NOT(ISERROR(SEARCH("AN13",AA39)))</formula>
    </cfRule>
    <cfRule type="containsText" dxfId="187" priority="304" operator="containsText" text="MN06">
      <formula>NOT(ISERROR(SEARCH("MN06",AA39)))</formula>
    </cfRule>
    <cfRule type="containsText" dxfId="188" priority="305" operator="containsText" text="OFF">
      <formula>NOT(ISERROR(SEARCH("OFF",AA39)))</formula>
    </cfRule>
  </conditionalFormatting>
  <conditionalFormatting sqref="AA66">
    <cfRule type="containsText" dxfId="181" priority="306" operator="containsText" text="STMN06">
      <formula>NOT(ISERROR(SEARCH("STMN06",AA66)))</formula>
    </cfRule>
    <cfRule type="containsText" dxfId="172" priority="307" operator="containsText" text="STAN13">
      <formula>NOT(ISERROR(SEARCH("STAN13",AA66)))</formula>
    </cfRule>
    <cfRule type="containsText" dxfId="174" priority="308" operator="containsText" text="STNN21">
      <formula>NOT(ISERROR(SEARCH("STNN21",AA66)))</formula>
    </cfRule>
    <cfRule type="containsText" dxfId="175" priority="309" operator="containsText" text="LV">
      <formula>NOT(ISERROR(SEARCH("LV",AA66)))</formula>
    </cfRule>
    <cfRule type="containsText" dxfId="173" priority="310" operator="containsText" text="TR">
      <formula>NOT(ISERROR(SEARCH("TR",AA66)))</formula>
    </cfRule>
    <cfRule type="containsText" dxfId="176" priority="311" operator="containsText" text="NN21">
      <formula>NOT(ISERROR(SEARCH("NN21",AA66)))</formula>
    </cfRule>
    <cfRule type="containsText" dxfId="177" priority="312" operator="containsText" text="NN13">
      <formula>NOT(ISERROR(SEARCH("NN13",AA66)))</formula>
    </cfRule>
    <cfRule type="containsText" dxfId="178" priority="313" operator="containsText" text="AN13">
      <formula>NOT(ISERROR(SEARCH("AN13",AA66)))</formula>
    </cfRule>
    <cfRule type="containsText" dxfId="179" priority="314" operator="containsText" text="MN06">
      <formula>NOT(ISERROR(SEARCH("MN06",AA66)))</formula>
    </cfRule>
    <cfRule type="containsText" dxfId="180" priority="315" operator="containsText" text="OFF">
      <formula>NOT(ISERROR(SEARCH("OFF",AA66)))</formula>
    </cfRule>
  </conditionalFormatting>
  <conditionalFormatting sqref="AB34:AH34">
    <cfRule type="containsText" dxfId="165" priority="395" operator="containsText" text="STA2">
      <formula>NOT(ISERROR(SEARCH("STA2",AB34)))</formula>
    </cfRule>
    <cfRule type="containsText" dxfId="168" priority="396" operator="containsText" text="STN2">
      <formula>NOT(ISERROR(SEARCH("STN2",AB34)))</formula>
    </cfRule>
    <cfRule type="containsText" dxfId="169" priority="397" operator="containsText" text="STN1">
      <formula>NOT(ISERROR(SEARCH("STN1",AB34)))</formula>
    </cfRule>
    <cfRule type="containsText" dxfId="170" priority="398" operator="containsText" text="STA1">
      <formula>NOT(ISERROR(SEARCH("STA1",AB34)))</formula>
    </cfRule>
    <cfRule type="containsText" dxfId="167" priority="399" operator="containsText" text="STM2">
      <formula>NOT(ISERROR(SEARCH("STM2",AB34)))</formula>
    </cfRule>
    <cfRule type="containsText" dxfId="164" priority="400" operator="containsText" text="STM1">
      <formula>NOT(ISERROR(SEARCH("STM1",AB34)))</formula>
    </cfRule>
    <cfRule type="containsText" dxfId="171" priority="401" operator="containsText" text="O">
      <formula>NOT(ISERROR(SEARCH("O",AB34)))</formula>
    </cfRule>
    <cfRule type="containsText" dxfId="163" priority="402" operator="containsText" text="STM1">
      <formula>NOT(ISERROR(SEARCH("STM1",AB34)))</formula>
    </cfRule>
    <cfRule type="containsText" dxfId="166" priority="403" operator="containsText" text="N">
      <formula>NOT(ISERROR(SEARCH("N",AB34)))</formula>
    </cfRule>
  </conditionalFormatting>
  <conditionalFormatting sqref="AE33 AG33">
    <cfRule type="containsText" dxfId="158" priority="432" operator="containsText" text="M">
      <formula>NOT(ISERROR(SEARCH("M",AE33)))</formula>
    </cfRule>
    <cfRule type="containsText" dxfId="156" priority="433" operator="containsText" text="MN06">
      <formula>NOT(ISERROR(SEARCH("MN06",AE33)))</formula>
    </cfRule>
    <cfRule type="containsText" dxfId="157" priority="434" operator="containsText" text="STA2">
      <formula>NOT(ISERROR(SEARCH("STA2",AE33)))</formula>
    </cfRule>
    <cfRule type="containsText" dxfId="155" priority="435" operator="containsText" text="STN2">
      <formula>NOT(ISERROR(SEARCH("STN2",AE33)))</formula>
    </cfRule>
    <cfRule type="containsText" dxfId="154" priority="436" operator="containsText" text="STN1">
      <formula>NOT(ISERROR(SEARCH("STN1",AE33)))</formula>
    </cfRule>
    <cfRule type="containsText" dxfId="153" priority="437" operator="containsText" text="STA1">
      <formula>NOT(ISERROR(SEARCH("STA1",AE33)))</formula>
    </cfRule>
    <cfRule type="containsText" dxfId="151" priority="438" operator="containsText" text="STM2">
      <formula>NOT(ISERROR(SEARCH("STM2",AE33)))</formula>
    </cfRule>
    <cfRule type="containsText" dxfId="150" priority="439" operator="containsText" text="STM1">
      <formula>NOT(ISERROR(SEARCH("STM1",AE33)))</formula>
    </cfRule>
    <cfRule type="containsText" dxfId="149" priority="440" operator="containsText" text="O">
      <formula>NOT(ISERROR(SEARCH("O",AE33)))</formula>
    </cfRule>
    <cfRule type="containsText" dxfId="162" priority="441" operator="containsText" text="STM1">
      <formula>NOT(ISERROR(SEARCH("STM1",AE33)))</formula>
    </cfRule>
    <cfRule type="containsText" dxfId="160" priority="442" operator="containsText" text="N">
      <formula>NOT(ISERROR(SEARCH("N",AE33)))</formula>
    </cfRule>
    <cfRule type="containsText" dxfId="161" priority="444" operator="containsText" text="M">
      <formula>NOT(ISERROR(SEARCH("M",AE33)))</formula>
    </cfRule>
    <cfRule type="containsText" dxfId="152" priority="445" operator="containsText" text="O">
      <formula>NOT(ISERROR(SEARCH("O",AE33)))</formula>
    </cfRule>
    <cfRule type="containsText" dxfId="159" priority="446" operator="containsText" text="O">
      <formula>NOT(ISERROR(SEARCH("O",AE33)))</formula>
    </cfRule>
  </conditionalFormatting>
  <conditionalFormatting sqref="AE34:AH34 AE33 AG33">
    <cfRule type="containsText" dxfId="148" priority="404" operator="containsText" text="A">
      <formula>NOT(ISERROR(SEARCH("A",AE33)))</formula>
    </cfRule>
  </conditionalFormatting>
  <conditionalFormatting sqref="AE34:AH34">
    <cfRule type="containsText" dxfId="146" priority="405" operator="containsText" text="M">
      <formula>NOT(ISERROR(SEARCH("M",AE34)))</formula>
    </cfRule>
    <cfRule type="containsText" dxfId="147" priority="406" operator="containsText" text="O">
      <formula>NOT(ISERROR(SEARCH("O",AE34)))</formula>
    </cfRule>
    <cfRule type="containsText" dxfId="145" priority="407" operator="containsText" text="O">
      <formula>NOT(ISERROR(SEARCH("O",AE34)))</formula>
    </cfRule>
  </conditionalFormatting>
  <conditionalFormatting sqref="D40 Q40:AH40">
    <cfRule type="containsText" dxfId="144" priority="141" operator="containsText" text="NN21">
      <formula>NOT(ISERROR(SEARCH("NN21",D40)))</formula>
    </cfRule>
    <cfRule type="containsText" dxfId="143" priority="142" operator="containsText" text="NN21">
      <formula>NOT(ISERROR(SEARCH("NN21",D40)))</formula>
    </cfRule>
  </conditionalFormatting>
  <conditionalFormatting sqref="D40 Q40:AH40">
    <cfRule type="containsText" dxfId="142" priority="143" operator="containsText" text="A">
      <formula>NOT(ISERROR(SEARCH("A",D40)))</formula>
    </cfRule>
    <cfRule type="containsText" dxfId="141" priority="144" operator="containsText" text="M">
      <formula>NOT(ISERROR(SEARCH("M",D40)))</formula>
    </cfRule>
    <cfRule type="containsText" dxfId="140" priority="145" operator="containsText" text="MN06">
      <formula>NOT(ISERROR(SEARCH("MN06",D40)))</formula>
    </cfRule>
  </conditionalFormatting>
  <conditionalFormatting sqref="R15">
    <cfRule type="containsText" dxfId="139" priority="131" operator="containsText" text="STMN06">
      <formula>NOT(ISERROR(SEARCH("STMN06",R15)))</formula>
    </cfRule>
    <cfRule type="containsText" dxfId="138" priority="132" operator="containsText" text="STAN13">
      <formula>NOT(ISERROR(SEARCH("STAN13",R15)))</formula>
    </cfRule>
    <cfRule type="containsText" dxfId="137" priority="133" operator="containsText" text="STNN21">
      <formula>NOT(ISERROR(SEARCH("STNN21",R15)))</formula>
    </cfRule>
    <cfRule type="containsText" dxfId="136" priority="134" operator="containsText" text="LV">
      <formula>NOT(ISERROR(SEARCH("LV",R15)))</formula>
    </cfRule>
    <cfRule type="containsText" dxfId="135" priority="135" operator="containsText" text="TR">
      <formula>NOT(ISERROR(SEARCH("TR",R15)))</formula>
    </cfRule>
    <cfRule type="containsText" dxfId="134" priority="136" operator="containsText" text="NN21">
      <formula>NOT(ISERROR(SEARCH("NN21",R15)))</formula>
    </cfRule>
    <cfRule type="containsText" dxfId="133" priority="137" operator="containsText" text="NN13">
      <formula>NOT(ISERROR(SEARCH("NN13",R15)))</formula>
    </cfRule>
    <cfRule type="containsText" dxfId="132" priority="138" operator="containsText" text="AN13">
      <formula>NOT(ISERROR(SEARCH("AN13",R15)))</formula>
    </cfRule>
    <cfRule type="containsText" dxfId="131" priority="139" operator="containsText" text="MN06">
      <formula>NOT(ISERROR(SEARCH("MN06",R15)))</formula>
    </cfRule>
    <cfRule type="containsText" dxfId="130" priority="140" operator="containsText" text="OFF">
      <formula>NOT(ISERROR(SEARCH("OFF",R15)))</formula>
    </cfRule>
  </conditionalFormatting>
  <conditionalFormatting sqref="R71">
    <cfRule type="containsText" dxfId="129" priority="121" operator="containsText" text="STMN06">
      <formula>NOT(ISERROR(SEARCH("STMN06",R71)))</formula>
    </cfRule>
    <cfRule type="containsText" dxfId="128" priority="122" operator="containsText" text="STAN13">
      <formula>NOT(ISERROR(SEARCH("STAN13",R71)))</formula>
    </cfRule>
    <cfRule type="containsText" dxfId="127" priority="123" operator="containsText" text="STNN21">
      <formula>NOT(ISERROR(SEARCH("STNN21",R71)))</formula>
    </cfRule>
    <cfRule type="containsText" dxfId="126" priority="124" operator="containsText" text="LV">
      <formula>NOT(ISERROR(SEARCH("LV",R71)))</formula>
    </cfRule>
    <cfRule type="containsText" dxfId="125" priority="125" operator="containsText" text="TR">
      <formula>NOT(ISERROR(SEARCH("TR",R71)))</formula>
    </cfRule>
    <cfRule type="containsText" dxfId="124" priority="126" operator="containsText" text="NN21">
      <formula>NOT(ISERROR(SEARCH("NN21",R71)))</formula>
    </cfRule>
    <cfRule type="containsText" dxfId="123" priority="127" operator="containsText" text="NN13">
      <formula>NOT(ISERROR(SEARCH("NN13",R71)))</formula>
    </cfRule>
    <cfRule type="containsText" dxfId="122" priority="128" operator="containsText" text="AN13">
      <formula>NOT(ISERROR(SEARCH("AN13",R71)))</formula>
    </cfRule>
    <cfRule type="containsText" dxfId="121" priority="129" operator="containsText" text="MN06">
      <formula>NOT(ISERROR(SEARCH("MN06",R71)))</formula>
    </cfRule>
    <cfRule type="containsText" dxfId="120" priority="130" operator="containsText" text="OFF">
      <formula>NOT(ISERROR(SEARCH("OFF",R71)))</formula>
    </cfRule>
  </conditionalFormatting>
  <conditionalFormatting sqref="R66">
    <cfRule type="containsText" dxfId="119" priority="111" operator="containsText" text="STMN06">
      <formula>NOT(ISERROR(SEARCH("STMN06",R66)))</formula>
    </cfRule>
    <cfRule type="containsText" dxfId="118" priority="112" operator="containsText" text="STAN13">
      <formula>NOT(ISERROR(SEARCH("STAN13",R66)))</formula>
    </cfRule>
    <cfRule type="containsText" dxfId="117" priority="113" operator="containsText" text="STNN21">
      <formula>NOT(ISERROR(SEARCH("STNN21",R66)))</formula>
    </cfRule>
    <cfRule type="containsText" dxfId="116" priority="114" operator="containsText" text="LV">
      <formula>NOT(ISERROR(SEARCH("LV",R66)))</formula>
    </cfRule>
    <cfRule type="containsText" dxfId="115" priority="115" operator="containsText" text="TR">
      <formula>NOT(ISERROR(SEARCH("TR",R66)))</formula>
    </cfRule>
    <cfRule type="containsText" dxfId="114" priority="116" operator="containsText" text="NN21">
      <formula>NOT(ISERROR(SEARCH("NN21",R66)))</formula>
    </cfRule>
    <cfRule type="containsText" dxfId="113" priority="117" operator="containsText" text="NN13">
      <formula>NOT(ISERROR(SEARCH("NN13",R66)))</formula>
    </cfRule>
    <cfRule type="containsText" dxfId="112" priority="118" operator="containsText" text="AN13">
      <formula>NOT(ISERROR(SEARCH("AN13",R66)))</formula>
    </cfRule>
    <cfRule type="containsText" dxfId="111" priority="119" operator="containsText" text="MN06">
      <formula>NOT(ISERROR(SEARCH("MN06",R66)))</formula>
    </cfRule>
    <cfRule type="containsText" dxfId="110" priority="120" operator="containsText" text="OFF">
      <formula>NOT(ISERROR(SEARCH("OFF",R66)))</formula>
    </cfRule>
  </conditionalFormatting>
  <conditionalFormatting sqref="T37">
    <cfRule type="containsText" dxfId="109" priority="101" operator="containsText" text="STMN06">
      <formula>NOT(ISERROR(SEARCH("STMN06",T37)))</formula>
    </cfRule>
    <cfRule type="containsText" dxfId="108" priority="102" operator="containsText" text="STAN13">
      <formula>NOT(ISERROR(SEARCH("STAN13",T37)))</formula>
    </cfRule>
    <cfRule type="containsText" dxfId="107" priority="103" operator="containsText" text="STNN21">
      <formula>NOT(ISERROR(SEARCH("STNN21",T37)))</formula>
    </cfRule>
    <cfRule type="containsText" dxfId="106" priority="104" operator="containsText" text="LV">
      <formula>NOT(ISERROR(SEARCH("LV",T37)))</formula>
    </cfRule>
    <cfRule type="containsText" dxfId="105" priority="105" operator="containsText" text="TR">
      <formula>NOT(ISERROR(SEARCH("TR",T37)))</formula>
    </cfRule>
    <cfRule type="containsText" dxfId="104" priority="106" operator="containsText" text="NN21">
      <formula>NOT(ISERROR(SEARCH("NN21",T37)))</formula>
    </cfRule>
    <cfRule type="containsText" dxfId="103" priority="107" operator="containsText" text="NN13">
      <formula>NOT(ISERROR(SEARCH("NN13",T37)))</formula>
    </cfRule>
    <cfRule type="containsText" dxfId="102" priority="108" operator="containsText" text="AN13">
      <formula>NOT(ISERROR(SEARCH("AN13",T37)))</formula>
    </cfRule>
    <cfRule type="containsText" dxfId="101" priority="109" operator="containsText" text="MN06">
      <formula>NOT(ISERROR(SEARCH("MN06",T37)))</formula>
    </cfRule>
    <cfRule type="containsText" dxfId="100" priority="110" operator="containsText" text="OFF">
      <formula>NOT(ISERROR(SEARCH("OFF",T37)))</formula>
    </cfRule>
  </conditionalFormatting>
  <conditionalFormatting sqref="T23">
    <cfRule type="containsText" dxfId="99" priority="91" operator="containsText" text="STMN06">
      <formula>NOT(ISERROR(SEARCH("STMN06",T23)))</formula>
    </cfRule>
    <cfRule type="containsText" dxfId="98" priority="92" operator="containsText" text="STAN13">
      <formula>NOT(ISERROR(SEARCH("STAN13",T23)))</formula>
    </cfRule>
    <cfRule type="containsText" dxfId="97" priority="93" operator="containsText" text="STNN21">
      <formula>NOT(ISERROR(SEARCH("STNN21",T23)))</formula>
    </cfRule>
    <cfRule type="containsText" dxfId="96" priority="94" operator="containsText" text="LV">
      <formula>NOT(ISERROR(SEARCH("LV",T23)))</formula>
    </cfRule>
    <cfRule type="containsText" dxfId="95" priority="95" operator="containsText" text="TR">
      <formula>NOT(ISERROR(SEARCH("TR",T23)))</formula>
    </cfRule>
    <cfRule type="containsText" dxfId="94" priority="96" operator="containsText" text="NN21">
      <formula>NOT(ISERROR(SEARCH("NN21",T23)))</formula>
    </cfRule>
    <cfRule type="containsText" dxfId="93" priority="97" operator="containsText" text="NN13">
      <formula>NOT(ISERROR(SEARCH("NN13",T23)))</formula>
    </cfRule>
    <cfRule type="containsText" dxfId="92" priority="98" operator="containsText" text="AN13">
      <formula>NOT(ISERROR(SEARCH("AN13",T23)))</formula>
    </cfRule>
    <cfRule type="containsText" dxfId="91" priority="99" operator="containsText" text="MN06">
      <formula>NOT(ISERROR(SEARCH("MN06",T23)))</formula>
    </cfRule>
    <cfRule type="containsText" dxfId="90" priority="100" operator="containsText" text="OFF">
      <formula>NOT(ISERROR(SEARCH("OFF",T23)))</formula>
    </cfRule>
  </conditionalFormatting>
  <conditionalFormatting sqref="Y37">
    <cfRule type="containsText" dxfId="89" priority="81" operator="containsText" text="STMN06">
      <formula>NOT(ISERROR(SEARCH("STMN06",Y37)))</formula>
    </cfRule>
    <cfRule type="containsText" dxfId="88" priority="82" operator="containsText" text="STAN13">
      <formula>NOT(ISERROR(SEARCH("STAN13",Y37)))</formula>
    </cfRule>
    <cfRule type="containsText" dxfId="87" priority="83" operator="containsText" text="STNN21">
      <formula>NOT(ISERROR(SEARCH("STNN21",Y37)))</formula>
    </cfRule>
    <cfRule type="containsText" dxfId="86" priority="84" operator="containsText" text="LV">
      <formula>NOT(ISERROR(SEARCH("LV",Y37)))</formula>
    </cfRule>
    <cfRule type="containsText" dxfId="85" priority="85" operator="containsText" text="TR">
      <formula>NOT(ISERROR(SEARCH("TR",Y37)))</formula>
    </cfRule>
    <cfRule type="containsText" dxfId="84" priority="86" operator="containsText" text="NN21">
      <formula>NOT(ISERROR(SEARCH("NN21",Y37)))</formula>
    </cfRule>
    <cfRule type="containsText" dxfId="83" priority="87" operator="containsText" text="NN13">
      <formula>NOT(ISERROR(SEARCH("NN13",Y37)))</formula>
    </cfRule>
    <cfRule type="containsText" dxfId="82" priority="88" operator="containsText" text="AN13">
      <formula>NOT(ISERROR(SEARCH("AN13",Y37)))</formula>
    </cfRule>
    <cfRule type="containsText" dxfId="81" priority="89" operator="containsText" text="MN06">
      <formula>NOT(ISERROR(SEARCH("MN06",Y37)))</formula>
    </cfRule>
    <cfRule type="containsText" dxfId="80" priority="90" operator="containsText" text="OFF">
      <formula>NOT(ISERROR(SEARCH("OFF",Y37)))</formula>
    </cfRule>
  </conditionalFormatting>
  <conditionalFormatting sqref="Y44">
    <cfRule type="containsText" dxfId="79" priority="71" operator="containsText" text="STMN06">
      <formula>NOT(ISERROR(SEARCH("STMN06",Y44)))</formula>
    </cfRule>
    <cfRule type="containsText" dxfId="78" priority="72" operator="containsText" text="STAN13">
      <formula>NOT(ISERROR(SEARCH("STAN13",Y44)))</formula>
    </cfRule>
    <cfRule type="containsText" dxfId="77" priority="73" operator="containsText" text="STNN21">
      <formula>NOT(ISERROR(SEARCH("STNN21",Y44)))</formula>
    </cfRule>
    <cfRule type="containsText" dxfId="76" priority="74" operator="containsText" text="LV">
      <formula>NOT(ISERROR(SEARCH("LV",Y44)))</formula>
    </cfRule>
    <cfRule type="containsText" dxfId="75" priority="75" operator="containsText" text="TR">
      <formula>NOT(ISERROR(SEARCH("TR",Y44)))</formula>
    </cfRule>
    <cfRule type="containsText" dxfId="74" priority="76" operator="containsText" text="NN21">
      <formula>NOT(ISERROR(SEARCH("NN21",Y44)))</formula>
    </cfRule>
    <cfRule type="containsText" dxfId="73" priority="77" operator="containsText" text="NN13">
      <formula>NOT(ISERROR(SEARCH("NN13",Y44)))</formula>
    </cfRule>
    <cfRule type="containsText" dxfId="72" priority="78" operator="containsText" text="AN13">
      <formula>NOT(ISERROR(SEARCH("AN13",Y44)))</formula>
    </cfRule>
    <cfRule type="containsText" dxfId="71" priority="79" operator="containsText" text="MN06">
      <formula>NOT(ISERROR(SEARCH("MN06",Y44)))</formula>
    </cfRule>
    <cfRule type="containsText" dxfId="70" priority="80" operator="containsText" text="OFF">
      <formula>NOT(ISERROR(SEARCH("OFF",Y44)))</formula>
    </cfRule>
  </conditionalFormatting>
  <conditionalFormatting sqref="Y53">
    <cfRule type="containsText" dxfId="69" priority="61" operator="containsText" text="STMN06">
      <formula>NOT(ISERROR(SEARCH("STMN06",Y53)))</formula>
    </cfRule>
    <cfRule type="containsText" dxfId="68" priority="62" operator="containsText" text="STAN13">
      <formula>NOT(ISERROR(SEARCH("STAN13",Y53)))</formula>
    </cfRule>
    <cfRule type="containsText" dxfId="67" priority="63" operator="containsText" text="STNN21">
      <formula>NOT(ISERROR(SEARCH("STNN21",Y53)))</formula>
    </cfRule>
    <cfRule type="containsText" dxfId="66" priority="64" operator="containsText" text="LV">
      <formula>NOT(ISERROR(SEARCH("LV",Y53)))</formula>
    </cfRule>
    <cfRule type="containsText" dxfId="65" priority="65" operator="containsText" text="TR">
      <formula>NOT(ISERROR(SEARCH("TR",Y53)))</formula>
    </cfRule>
    <cfRule type="containsText" dxfId="64" priority="66" operator="containsText" text="NN21">
      <formula>NOT(ISERROR(SEARCH("NN21",Y53)))</formula>
    </cfRule>
    <cfRule type="containsText" dxfId="63" priority="67" operator="containsText" text="NN13">
      <formula>NOT(ISERROR(SEARCH("NN13",Y53)))</formula>
    </cfRule>
    <cfRule type="containsText" dxfId="62" priority="68" operator="containsText" text="AN13">
      <formula>NOT(ISERROR(SEARCH("AN13",Y53)))</formula>
    </cfRule>
    <cfRule type="containsText" dxfId="61" priority="69" operator="containsText" text="MN06">
      <formula>NOT(ISERROR(SEARCH("MN06",Y53)))</formula>
    </cfRule>
    <cfRule type="containsText" dxfId="60" priority="70" operator="containsText" text="OFF">
      <formula>NOT(ISERROR(SEARCH("OFF",Y53)))</formula>
    </cfRule>
  </conditionalFormatting>
  <conditionalFormatting sqref="AF7">
    <cfRule type="containsText" dxfId="59" priority="51" operator="containsText" text="STMN06">
      <formula>NOT(ISERROR(SEARCH("STMN06",AF7)))</formula>
    </cfRule>
    <cfRule type="containsText" dxfId="58" priority="52" operator="containsText" text="STAN13">
      <formula>NOT(ISERROR(SEARCH("STAN13",AF7)))</formula>
    </cfRule>
    <cfRule type="containsText" dxfId="57" priority="53" operator="containsText" text="STNN21">
      <formula>NOT(ISERROR(SEARCH("STNN21",AF7)))</formula>
    </cfRule>
    <cfRule type="containsText" dxfId="56" priority="54" operator="containsText" text="LV">
      <formula>NOT(ISERROR(SEARCH("LV",AF7)))</formula>
    </cfRule>
    <cfRule type="containsText" dxfId="55" priority="55" operator="containsText" text="TR">
      <formula>NOT(ISERROR(SEARCH("TR",AF7)))</formula>
    </cfRule>
    <cfRule type="containsText" dxfId="54" priority="56" operator="containsText" text="NN21">
      <formula>NOT(ISERROR(SEARCH("NN21",AF7)))</formula>
    </cfRule>
    <cfRule type="containsText" dxfId="53" priority="57" operator="containsText" text="NN13">
      <formula>NOT(ISERROR(SEARCH("NN13",AF7)))</formula>
    </cfRule>
    <cfRule type="containsText" dxfId="52" priority="58" operator="containsText" text="AN13">
      <formula>NOT(ISERROR(SEARCH("AN13",AF7)))</formula>
    </cfRule>
    <cfRule type="containsText" dxfId="51" priority="59" operator="containsText" text="MN06">
      <formula>NOT(ISERROR(SEARCH("MN06",AF7)))</formula>
    </cfRule>
    <cfRule type="containsText" dxfId="50" priority="60" operator="containsText" text="OFF">
      <formula>NOT(ISERROR(SEARCH("OFF",AF7)))</formula>
    </cfRule>
  </conditionalFormatting>
  <conditionalFormatting sqref="AF33">
    <cfRule type="containsText" dxfId="49" priority="41" operator="containsText" text="STMN06">
      <formula>NOT(ISERROR(SEARCH("STMN06",AF33)))</formula>
    </cfRule>
    <cfRule type="containsText" dxfId="48" priority="42" operator="containsText" text="STAN13">
      <formula>NOT(ISERROR(SEARCH("STAN13",AF33)))</formula>
    </cfRule>
    <cfRule type="containsText" dxfId="47" priority="43" operator="containsText" text="STNN21">
      <formula>NOT(ISERROR(SEARCH("STNN21",AF33)))</formula>
    </cfRule>
    <cfRule type="containsText" dxfId="46" priority="44" operator="containsText" text="LV">
      <formula>NOT(ISERROR(SEARCH("LV",AF33)))</formula>
    </cfRule>
    <cfRule type="containsText" dxfId="45" priority="45" operator="containsText" text="TR">
      <formula>NOT(ISERROR(SEARCH("TR",AF33)))</formula>
    </cfRule>
    <cfRule type="containsText" dxfId="44" priority="46" operator="containsText" text="NN21">
      <formula>NOT(ISERROR(SEARCH("NN21",AF33)))</formula>
    </cfRule>
    <cfRule type="containsText" dxfId="43" priority="47" operator="containsText" text="NN13">
      <formula>NOT(ISERROR(SEARCH("NN13",AF33)))</formula>
    </cfRule>
    <cfRule type="containsText" dxfId="42" priority="48" operator="containsText" text="AN13">
      <formula>NOT(ISERROR(SEARCH("AN13",AF33)))</formula>
    </cfRule>
    <cfRule type="containsText" dxfId="41" priority="49" operator="containsText" text="MN06">
      <formula>NOT(ISERROR(SEARCH("MN06",AF33)))</formula>
    </cfRule>
    <cfRule type="containsText" dxfId="40" priority="50" operator="containsText" text="OFF">
      <formula>NOT(ISERROR(SEARCH("OFF",AF33)))</formula>
    </cfRule>
  </conditionalFormatting>
  <conditionalFormatting sqref="AF63:AF64">
    <cfRule type="containsText" dxfId="39" priority="31" operator="containsText" text="STMN06">
      <formula>NOT(ISERROR(SEARCH("STMN06",AF63)))</formula>
    </cfRule>
    <cfRule type="containsText" dxfId="38" priority="32" operator="containsText" text="STAN13">
      <formula>NOT(ISERROR(SEARCH("STAN13",AF63)))</formula>
    </cfRule>
    <cfRule type="containsText" dxfId="37" priority="33" operator="containsText" text="STNN21">
      <formula>NOT(ISERROR(SEARCH("STNN21",AF63)))</formula>
    </cfRule>
    <cfRule type="containsText" dxfId="36" priority="34" operator="containsText" text="LV">
      <formula>NOT(ISERROR(SEARCH("LV",AF63)))</formula>
    </cfRule>
    <cfRule type="containsText" dxfId="35" priority="35" operator="containsText" text="TR">
      <formula>NOT(ISERROR(SEARCH("TR",AF63)))</formula>
    </cfRule>
    <cfRule type="containsText" dxfId="34" priority="36" operator="containsText" text="NN21">
      <formula>NOT(ISERROR(SEARCH("NN21",AF63)))</formula>
    </cfRule>
    <cfRule type="containsText" dxfId="33" priority="37" operator="containsText" text="NN13">
      <formula>NOT(ISERROR(SEARCH("NN13",AF63)))</formula>
    </cfRule>
    <cfRule type="containsText" dxfId="32" priority="38" operator="containsText" text="AN13">
      <formula>NOT(ISERROR(SEARCH("AN13",AF63)))</formula>
    </cfRule>
    <cfRule type="containsText" dxfId="31" priority="39" operator="containsText" text="MN06">
      <formula>NOT(ISERROR(SEARCH("MN06",AF63)))</formula>
    </cfRule>
    <cfRule type="containsText" dxfId="30" priority="40" operator="containsText" text="OFF">
      <formula>NOT(ISERROR(SEARCH("OFF",AF63)))</formula>
    </cfRule>
  </conditionalFormatting>
  <conditionalFormatting sqref="AH7">
    <cfRule type="containsText" dxfId="29" priority="21" operator="containsText" text="STMN06">
      <formula>NOT(ISERROR(SEARCH("STMN06",AH7)))</formula>
    </cfRule>
    <cfRule type="containsText" dxfId="28" priority="22" operator="containsText" text="STAN13">
      <formula>NOT(ISERROR(SEARCH("STAN13",AH7)))</formula>
    </cfRule>
    <cfRule type="containsText" dxfId="27" priority="23" operator="containsText" text="STNN21">
      <formula>NOT(ISERROR(SEARCH("STNN21",AH7)))</formula>
    </cfRule>
    <cfRule type="containsText" dxfId="26" priority="24" operator="containsText" text="LV">
      <formula>NOT(ISERROR(SEARCH("LV",AH7)))</formula>
    </cfRule>
    <cfRule type="containsText" dxfId="25" priority="25" operator="containsText" text="TR">
      <formula>NOT(ISERROR(SEARCH("TR",AH7)))</formula>
    </cfRule>
    <cfRule type="containsText" dxfId="24" priority="26" operator="containsText" text="NN21">
      <formula>NOT(ISERROR(SEARCH("NN21",AH7)))</formula>
    </cfRule>
    <cfRule type="containsText" dxfId="23" priority="27" operator="containsText" text="NN13">
      <formula>NOT(ISERROR(SEARCH("NN13",AH7)))</formula>
    </cfRule>
    <cfRule type="containsText" dxfId="22" priority="28" operator="containsText" text="AN13">
      <formula>NOT(ISERROR(SEARCH("AN13",AH7)))</formula>
    </cfRule>
    <cfRule type="containsText" dxfId="21" priority="29" operator="containsText" text="MN06">
      <formula>NOT(ISERROR(SEARCH("MN06",AH7)))</formula>
    </cfRule>
    <cfRule type="containsText" dxfId="20" priority="30" operator="containsText" text="OFF">
      <formula>NOT(ISERROR(SEARCH("OFF",AH7)))</formula>
    </cfRule>
  </conditionalFormatting>
  <conditionalFormatting sqref="AH37">
    <cfRule type="containsText" dxfId="19" priority="11" operator="containsText" text="STMN06">
      <formula>NOT(ISERROR(SEARCH("STMN06",AH37)))</formula>
    </cfRule>
    <cfRule type="containsText" dxfId="18" priority="12" operator="containsText" text="STAN13">
      <formula>NOT(ISERROR(SEARCH("STAN13",AH37)))</formula>
    </cfRule>
    <cfRule type="containsText" dxfId="17" priority="13" operator="containsText" text="STNN21">
      <formula>NOT(ISERROR(SEARCH("STNN21",AH37)))</formula>
    </cfRule>
    <cfRule type="containsText" dxfId="16" priority="14" operator="containsText" text="LV">
      <formula>NOT(ISERROR(SEARCH("LV",AH37)))</formula>
    </cfRule>
    <cfRule type="containsText" dxfId="15" priority="15" operator="containsText" text="TR">
      <formula>NOT(ISERROR(SEARCH("TR",AH37)))</formula>
    </cfRule>
    <cfRule type="containsText" dxfId="14" priority="16" operator="containsText" text="NN21">
      <formula>NOT(ISERROR(SEARCH("NN21",AH37)))</formula>
    </cfRule>
    <cfRule type="containsText" dxfId="13" priority="17" operator="containsText" text="NN13">
      <formula>NOT(ISERROR(SEARCH("NN13",AH37)))</formula>
    </cfRule>
    <cfRule type="containsText" dxfId="12" priority="18" operator="containsText" text="AN13">
      <formula>NOT(ISERROR(SEARCH("AN13",AH37)))</formula>
    </cfRule>
    <cfRule type="containsText" dxfId="11" priority="19" operator="containsText" text="MN06">
      <formula>NOT(ISERROR(SEARCH("MN06",AH37)))</formula>
    </cfRule>
    <cfRule type="containsText" dxfId="10" priority="20" operator="containsText" text="OFF">
      <formula>NOT(ISERROR(SEARCH("OFF",AH37)))</formula>
    </cfRule>
  </conditionalFormatting>
  <conditionalFormatting sqref="AH33">
    <cfRule type="containsText" dxfId="9" priority="1" operator="containsText" text="STMN06">
      <formula>NOT(ISERROR(SEARCH("STMN06",AH33)))</formula>
    </cfRule>
    <cfRule type="containsText" dxfId="8" priority="2" operator="containsText" text="STAN13">
      <formula>NOT(ISERROR(SEARCH("STAN13",AH33)))</formula>
    </cfRule>
    <cfRule type="containsText" dxfId="7" priority="3" operator="containsText" text="STNN21">
      <formula>NOT(ISERROR(SEARCH("STNN21",AH33)))</formula>
    </cfRule>
    <cfRule type="containsText" dxfId="6" priority="4" operator="containsText" text="LV">
      <formula>NOT(ISERROR(SEARCH("LV",AH33)))</formula>
    </cfRule>
    <cfRule type="containsText" dxfId="5" priority="5" operator="containsText" text="TR">
      <formula>NOT(ISERROR(SEARCH("TR",AH33)))</formula>
    </cfRule>
    <cfRule type="containsText" dxfId="4" priority="6" operator="containsText" text="NN21">
      <formula>NOT(ISERROR(SEARCH("NN21",AH33)))</formula>
    </cfRule>
    <cfRule type="containsText" dxfId="3" priority="7" operator="containsText" text="NN13">
      <formula>NOT(ISERROR(SEARCH("NN13",AH33)))</formula>
    </cfRule>
    <cfRule type="containsText" dxfId="2" priority="8" operator="containsText" text="AN13">
      <formula>NOT(ISERROR(SEARCH("AN13",AH33)))</formula>
    </cfRule>
    <cfRule type="containsText" dxfId="1" priority="9" operator="containsText" text="MN06">
      <formula>NOT(ISERROR(SEARCH("MN06",AH33)))</formula>
    </cfRule>
    <cfRule type="containsText" dxfId="0" priority="10" operator="containsText" text="OFF">
      <formula>NOT(ISERROR(SEARCH("OFF",AH33)))</formula>
    </cfRule>
  </conditionalFormatting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2025-12-15T13:11:41Z</dcterms:created>
  <dcterms:modified xsi:type="dcterms:W3CDTF">2025-12-15T13:19:41Z</dcterms:modified>
</cp:coreProperties>
</file>