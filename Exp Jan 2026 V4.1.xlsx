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"/>
    </mc:Choice>
  </mc:AlternateContent>
  <xr:revisionPtr revIDLastSave="12" documentId="8_{B924890D-D5A5-4784-9FED-FB78A68B1631}" xr6:coauthVersionLast="47" xr6:coauthVersionMax="47" xr10:uidLastSave="{BE54499D-46AB-4CA4-AE97-F7B6CA76CD20}"/>
  <bookViews>
    <workbookView xWindow="-120" yWindow="-120" windowWidth="29040" windowHeight="17520" firstSheet="2" activeTab="5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r:id="rId10"/>
    <sheet name="Acceptance" sheetId="13" state="hidden" r:id="rId11"/>
  </sheets>
  <definedNames>
    <definedName name="_xlnm._FilterDatabase" localSheetId="2" hidden="1">'Full staffs as per JD'!$F$4:$AJ$92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P6" i="22"/>
  <c r="AO6" i="22"/>
  <c r="AN6" i="22"/>
  <c r="AM6" i="22"/>
  <c r="AL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F91" i="25"/>
  <c r="F90" i="25"/>
  <c r="F88" i="25"/>
  <c r="F87" i="25"/>
  <c r="F8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 l="1"/>
  <c r="AO65" i="25"/>
  <c r="AN65" i="25"/>
  <c r="AM65" i="25"/>
  <c r="AL65" i="25"/>
  <c r="AJ92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4" i="25" l="1"/>
  <c r="H92" i="25" s="1"/>
  <c r="V94" i="25"/>
  <c r="V92" i="25" s="1"/>
  <c r="K96" i="25"/>
  <c r="Y96" i="25"/>
  <c r="Z96" i="25"/>
  <c r="AA96" i="25"/>
  <c r="M96" i="25"/>
  <c r="L96" i="25"/>
  <c r="N96" i="25"/>
  <c r="AB96" i="25"/>
  <c r="O96" i="25"/>
  <c r="AC96" i="25"/>
  <c r="I96" i="25"/>
  <c r="W96" i="25"/>
  <c r="F96" i="25"/>
  <c r="T96" i="25"/>
  <c r="AH96" i="25"/>
  <c r="P96" i="25"/>
  <c r="AD96" i="25"/>
  <c r="M94" i="25"/>
  <c r="M92" i="25" s="1"/>
  <c r="AA94" i="25"/>
  <c r="AA92" i="25" s="1"/>
  <c r="J96" i="25"/>
  <c r="X96" i="25"/>
  <c r="G96" i="25"/>
  <c r="U96" i="25"/>
  <c r="AI96" i="25"/>
  <c r="Q96" i="25"/>
  <c r="AE96" i="25"/>
  <c r="N94" i="25"/>
  <c r="N92" i="25" s="1"/>
  <c r="AB94" i="25"/>
  <c r="AB92" i="25" s="1"/>
  <c r="H96" i="25"/>
  <c r="V96" i="25"/>
  <c r="R96" i="25"/>
  <c r="AF96" i="25"/>
  <c r="S96" i="25"/>
  <c r="AG96" i="25"/>
  <c r="F94" i="25"/>
  <c r="F92" i="25" s="1"/>
  <c r="T94" i="25"/>
  <c r="T92" i="25" s="1"/>
  <c r="AH94" i="25"/>
  <c r="AH92" i="25" s="1"/>
  <c r="G94" i="25"/>
  <c r="G92" i="25" s="1"/>
  <c r="U94" i="25"/>
  <c r="U92" i="25" s="1"/>
  <c r="AI94" i="25"/>
  <c r="AI92" i="25" s="1"/>
  <c r="I94" i="25"/>
  <c r="I92" i="25" s="1"/>
  <c r="W94" i="25"/>
  <c r="W92" i="25" s="1"/>
  <c r="J94" i="25"/>
  <c r="J92" i="25" s="1"/>
  <c r="X94" i="25"/>
  <c r="X92" i="25" s="1"/>
  <c r="K94" i="25"/>
  <c r="K92" i="25" s="1"/>
  <c r="Y94" i="25"/>
  <c r="Y92" i="25" s="1"/>
  <c r="L94" i="25"/>
  <c r="L92" i="25" s="1"/>
  <c r="Z94" i="25"/>
  <c r="Z92" i="25" s="1"/>
  <c r="O94" i="25"/>
  <c r="O92" i="25" s="1"/>
  <c r="AC94" i="25"/>
  <c r="AC92" i="25" s="1"/>
  <c r="P94" i="25"/>
  <c r="P92" i="25" s="1"/>
  <c r="AD94" i="25"/>
  <c r="AD92" i="25" s="1"/>
  <c r="Q94" i="25"/>
  <c r="Q92" i="25" s="1"/>
  <c r="AE94" i="25"/>
  <c r="AE92" i="25" s="1"/>
  <c r="R94" i="25"/>
  <c r="R92" i="25" s="1"/>
  <c r="AF94" i="25"/>
  <c r="AF92" i="25" s="1"/>
  <c r="S94" i="25"/>
  <c r="S92" i="25" s="1"/>
  <c r="AG94" i="25"/>
  <c r="AG92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D7" authorId="0" shapeId="0" xr:uid="{7C4376AB-DA70-44C7-B187-ECEA6A1567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8" authorId="0" shapeId="0" xr:uid="{8DDB870A-A431-4CFD-AEE9-F6DAED3FB0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G9" authorId="0" shapeId="0" xr:uid="{95E48D57-8051-44AC-85AF-F8202D5EA9D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11" authorId="0" shapeId="0" xr:uid="{59448E9E-A85F-4AE5-9A96-BDEBF1EB64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12" authorId="0" shapeId="0" xr:uid="{0635AF67-D00A-42D9-B7DA-F5D14460F4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4" authorId="0" shapeId="0" xr:uid="{1A59C188-E06A-43D5-999D-AB2113AEF0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4" authorId="0" shapeId="0" xr:uid="{80B7D3DB-07AC-4273-89B5-A3B261FE24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S15" authorId="0" shapeId="0" xr:uid="{67C74D55-FE28-423B-B390-6F54FE0AF6B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16" authorId="0" shapeId="0" xr:uid="{56ED8579-50CF-43FB-903B-8E0AC76A360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23" authorId="0" shapeId="0" xr:uid="{081F521B-C699-47C9-8F74-854E4809CD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24" authorId="0" shapeId="0" xr:uid="{C1DF6AA5-DEE2-4C12-987D-394DFB31DC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25" authorId="0" shapeId="0" xr:uid="{3F946437-FACB-453C-8821-B1C680531B4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26" authorId="0" shapeId="0" xr:uid="{045A8C4A-703D-458A-A588-1412D30E95F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J35" authorId="0" shapeId="0" xr:uid="{ADD19443-902F-4D75-812B-256A0919576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36" authorId="0" shapeId="0" xr:uid="{2FFB162A-956B-4707-BAA0-D4D1855F396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40" authorId="0" shapeId="0" xr:uid="{08FF28AB-A5DF-4AB1-A374-3AB6C00DE6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42" authorId="0" shapeId="0" xr:uid="{5C256A76-1DAB-4DFD-AF27-93E7C6E7B00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3" authorId="0" shapeId="0" xr:uid="{5144D06F-2919-4F42-9D7D-0905D264C21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44" authorId="0" shapeId="0" xr:uid="{762D823D-8F5B-43AB-A68B-DA77C29D94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8" authorId="0" shapeId="0" xr:uid="{1E44D379-7637-49CA-AB92-03B925AD6D4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48" authorId="0" shapeId="0" xr:uid="{563566A3-1389-4B68-B384-16B441300CF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49" authorId="0" shapeId="0" xr:uid="{2A0FB67D-C480-4E44-99B5-43DB95C8E0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0BEF775F-B9A0-4A54-9AE3-9503BE1FCB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49" authorId="0" shapeId="0" xr:uid="{89829D10-8168-47C7-BD2D-EFDEFF5676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54" authorId="0" shapeId="0" xr:uid="{1F4CD71A-571F-4A00-B982-9B82AB5836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4" authorId="0" shapeId="0" xr:uid="{B6A72C87-05A1-4747-9D22-5EEFF7089CA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56" authorId="0" shapeId="0" xr:uid="{72835C68-E43D-4142-8A28-DE17946C1FF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6" authorId="0" shapeId="0" xr:uid="{2C152787-D899-4890-B79A-19E5FBED577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6" authorId="0" shapeId="0" xr:uid="{6AE53DBD-725E-46C9-A594-CE637AF0FA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56" authorId="0" shapeId="0" xr:uid="{9A17AB0F-E359-478C-99DD-84C19A1996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57" authorId="0" shapeId="0" xr:uid="{0F799713-586F-4D53-B1AD-66ADF76229E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57" authorId="0" shapeId="0" xr:uid="{7BEC39CD-15CD-424F-BC16-8D4C8068E5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F67" authorId="0" shapeId="0" xr:uid="{3DB6F9E8-4ED0-42DF-8DAA-E9D1DDE456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71" authorId="0" shapeId="0" xr:uid="{B7DFB4D5-2A6C-42DE-B677-55BB98B08D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2" authorId="0" shapeId="0" xr:uid="{4E4FC11B-D0A5-4841-8070-CD3A3886A59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3" authorId="0" shapeId="0" xr:uid="{4A1DA7EB-EDB5-4F0B-BA5D-52C8277C56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76" authorId="0" shapeId="0" xr:uid="{4D5C0368-40F7-4E7B-90E7-8AFDA518D7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80" authorId="0" shapeId="0" xr:uid="{623BE378-DB9F-4FE9-A883-4BDA8115B9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84" authorId="0" shapeId="0" xr:uid="{520E950F-6D57-460A-AFC2-FE762EFF123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5" authorId="0" shapeId="0" xr:uid="{C39E59EA-CE87-4664-BFCF-04E986FE68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Y5" authorId="0" shapeId="0" xr:uid="{209A31B6-BB51-478C-9361-4AD0F83DAF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7" authorId="0" shapeId="0" xr:uid="{5B1DBE4F-D7FB-4DC2-9D94-DB96C8B687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F8" authorId="0" shapeId="0" xr:uid="{87B2C2A3-1004-4E60-958D-83E3355ABA5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0D413323-9BE0-4134-9ADF-0A2A71C22E6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7" authorId="0" shapeId="0" xr:uid="{DB6B6F96-64B7-4430-A277-140E3A5CC5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8" authorId="0" shapeId="0" xr:uid="{63208830-A93A-47EF-A85F-28BC15218A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0" authorId="0" shapeId="0" xr:uid="{DA14557E-BC32-4CB3-8118-73377A5FAB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0" authorId="0" shapeId="0" xr:uid="{0BE8B068-36F4-4DB0-9628-5BE65B7582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1E9154E-1C97-4B57-9383-775D727E0E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6" authorId="0" shapeId="0" xr:uid="{CC07FAE3-405D-4175-BC11-24BB41FF19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13" authorId="0" shapeId="0" xr:uid="{8B47FE99-D07F-45E4-8E0B-5904738EF6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14" authorId="0" shapeId="0" xr:uid="{2DC4F4F2-1149-45AD-AFDD-C5EB7B453B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5" authorId="0" shapeId="0" xr:uid="{FE85611F-DF32-4B48-ABEB-53519972C2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16" authorId="0" shapeId="0" xr:uid="{E076A8CD-B7D4-48C0-83CE-1A066E0E12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10" authorId="0" shapeId="0" xr:uid="{63537736-93C5-4155-B204-66705DDCAC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1" authorId="0" shapeId="0" xr:uid="{B9B4D723-F878-4E1C-962D-5BB392C89A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15" authorId="0" shapeId="0" xr:uid="{3EC5A2BE-45CA-4631-854F-2FAA698AA4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17" authorId="0" shapeId="0" xr:uid="{286849C5-262C-4279-883B-F27573A4D7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8" authorId="0" shapeId="0" xr:uid="{97A81525-ABE5-4410-8E90-01ECE96F62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19" authorId="0" shapeId="0" xr:uid="{98D83B1C-D0AF-4A29-B065-ACE6A1BCA2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3" authorId="0" shapeId="0" xr:uid="{CA68DFAB-B0C3-4BFD-9F66-A44F4899B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23" authorId="0" shapeId="0" xr:uid="{FDD8FF34-02EB-4BD0-B93C-41E01B9BC7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24" authorId="0" shapeId="0" xr:uid="{2B3AD81F-E368-4D50-AB46-299FB77B6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3ABC72F9-035B-4B1A-B496-8F48E0C23B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24" authorId="0" shapeId="0" xr:uid="{DE8838DA-0C2E-449F-8353-106E662FE1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29" authorId="0" shapeId="0" xr:uid="{318E3E86-5030-4D85-AFDB-B1A47FCE0B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29" authorId="0" shapeId="0" xr:uid="{A02B9E16-A962-43A5-8608-D1D823E9C1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31" authorId="0" shapeId="0" xr:uid="{3A06FC0A-B90A-46A7-B141-B4934B138D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31" authorId="0" shapeId="0" xr:uid="{85D4C754-DD93-47E0-8877-CC3BE7BBDE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1" authorId="0" shapeId="0" xr:uid="{ABD614F5-CAC9-473C-AD61-8705C383A7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31" authorId="0" shapeId="0" xr:uid="{099B780A-A2BC-4F29-A310-34BCF02810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32" authorId="0" shapeId="0" xr:uid="{8155CC3A-5CA1-49AE-9D9C-FD3D60847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32" authorId="0" shapeId="0" xr:uid="{2A9CEC2B-A083-4A8C-B057-C42A67C279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6" authorId="0" shapeId="0" xr:uid="{182D2F09-296D-4D5D-9919-8F478274E8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10" authorId="0" shapeId="0" xr:uid="{23F29BBC-D974-42E6-9FFF-A2793DD3B9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1" authorId="0" shapeId="0" xr:uid="{78CA483D-2B2C-4F8D-8401-9D017A3E15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2" authorId="0" shapeId="0" xr:uid="{97E42DB0-2E44-4917-978A-78CA332EC7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15" authorId="0" shapeId="0" xr:uid="{52D2379D-0210-4DCD-9239-BCEA324FB7A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19" authorId="0" shapeId="0" xr:uid="{B4649C6C-3284-4F1B-85F7-3A390185CA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23" authorId="0" shapeId="0" xr:uid="{C2F372D2-6459-43AD-8195-F4FFDBDA324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sharedStrings.xml><?xml version="1.0" encoding="utf-8"?>
<sst xmlns="http://schemas.openxmlformats.org/spreadsheetml/2006/main" count="7808" uniqueCount="272">
  <si>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</si>
  <si>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</si>
  <si>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</si>
  <si>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</si>
  <si>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</si>
  <si>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</si>
  <si>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</si>
  <si>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</si>
  <si>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</si>
  <si>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</si>
  <si>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</si>
  <si>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</si>
  <si>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</si>
  <si>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</si>
  <si>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</si>
  <si>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</si>
  <si>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</si>
  <si>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</si>
  <si>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</si>
  <si>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</si>
  <si>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</si>
  <si>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</si>
  <si>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</si>
  <si>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</si>
  <si>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</si>
  <si>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</si>
  <si>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</si>
  <si>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</si>
  <si>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</si>
  <si>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</si>
  <si>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</si>
  <si>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</si>
  <si>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</si>
  <si>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</si>
  <si>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</si>
  <si>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</si>
  <si>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</si>
  <si>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</si>
  <si>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</si>
  <si>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</si>
  <si>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</si>
  <si>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</si>
  <si>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</si>
  <si>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</si>
  <si>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</si>
  <si>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</si>
  <si>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</si>
  <si>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</si>
  <si>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</si>
  <si>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</si>
  <si>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</si>
  <si>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</si>
  <si>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</si>
  <si>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</si>
  <si>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</si>
  <si>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</si>
  <si>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</si>
  <si>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</si>
  <si>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</si>
  <si>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</si>
  <si>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</si>
  <si>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</si>
  <si>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</si>
  <si>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</si>
  <si>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</si>
  <si>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</si>
  <si>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</si>
  <si>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</si>
  <si>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</si>
  <si>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</si>
  <si>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</si>
  <si>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</si>
  <si>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</si>
  <si>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</si>
  <si>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</si>
  <si>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</si>
  <si>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</si>
  <si>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</si>
  <si>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</si>
  <si>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</si>
  <si>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</si>
  <si>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</si>
  <si>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</si>
  <si>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</si>
  <si>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</si>
  <si>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</si>
  <si>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</si>
  <si>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</si>
  <si>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</si>
  <si>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</si>
  <si>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</si>
  <si>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</si>
  <si>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</si>
  <si>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</si>
  <si>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</si>
  <si>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</si>
  <si>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</si>
  <si>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</si>
  <si>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</si>
  <si>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</si>
  <si>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</si>
  <si>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</si>
  <si>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</si>
  <si>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</si>
  <si>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</si>
  <si>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</si>
  <si>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</si>
  <si>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</si>
  <si>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</si>
  <si>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</si>
  <si>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</si>
  <si>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</si>
  <si>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</si>
  <si>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</si>
  <si>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</si>
  <si>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</si>
  <si>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</si>
  <si>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</si>
  <si>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</si>
  <si>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</si>
  <si>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</si>
  <si>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</si>
  <si>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</si>
  <si>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</si>
  <si>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</si>
  <si>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</si>
  <si>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</si>
  <si>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</si>
  <si>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</si>
  <si>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</si>
  <si>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</si>
  <si>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</si>
  <si>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</si>
  <si>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</si>
  <si>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</si>
  <si>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</si>
  <si>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</si>
  <si>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</si>
  <si>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</si>
  <si>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</si>
  <si>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</si>
  <si>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</si>
  <si>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</si>
  <si>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</si>
  <si>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</si>
  <si>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</si>
  <si>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</si>
  <si>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</si>
  <si>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</si>
  <si>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</si>
  <si>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</si>
  <si>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</si>
  <si>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</si>
  <si>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</si>
  <si>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</si>
  <si>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</si>
  <si>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</si>
  <si>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</si>
  <si>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</si>
  <si>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</si>
  <si>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</si>
  <si>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</si>
  <si>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</si>
  <si>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</si>
  <si>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</si>
  <si>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</si>
  <si>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</si>
  <si>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</si>
  <si>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</si>
  <si>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</si>
  <si>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</si>
  <si>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</si>
  <si>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</si>
  <si>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</si>
  <si>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</si>
  <si>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</si>
  <si>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</si>
  <si>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</si>
  <si>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</si>
  <si>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</si>
  <si>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</si>
  <si>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</si>
  <si>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</si>
  <si>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</si>
  <si>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</si>
  <si>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</si>
  <si>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</si>
  <si>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</si>
  <si>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</si>
  <si>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</si>
  <si>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</si>
  <si>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</si>
  <si>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</si>
  <si>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</si>
  <si>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</si>
  <si>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</si>
  <si>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</si>
  <si>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</si>
  <si>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</si>
  <si>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</si>
  <si>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</si>
  <si>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</si>
  <si>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</si>
  <si>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</si>
  <si>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</si>
  <si>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</si>
  <si>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</si>
  <si>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</si>
  <si>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</si>
  <si>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</si>
  <si>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</si>
  <si>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</si>
  <si>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</si>
  <si>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</si>
  <si>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</si>
  <si>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</si>
  <si>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</si>
  <si>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</si>
  <si>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</si>
  <si>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</si>
  <si>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</si>
  <si>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</si>
  <si>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</si>
  <si>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</si>
  <si>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</si>
  <si>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</si>
  <si>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</si>
  <si>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</si>
  <si>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</si>
  <si>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</si>
  <si>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</si>
  <si>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</si>
  <si>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</si>
  <si>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</si>
  <si>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</si>
  <si>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</si>
  <si>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</si>
  <si>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</si>
  <si>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</si>
  <si>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</si>
  <si>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</si>
  <si>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</si>
  <si>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</si>
  <si>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</si>
  <si>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</si>
  <si>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</si>
  <si>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</si>
  <si>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</si>
  <si>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</si>
  <si>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</si>
  <si>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</si>
  <si>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</si>
  <si>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</si>
  <si>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</si>
  <si>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</si>
  <si>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</si>
  <si>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</si>
  <si>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</si>
  <si>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</si>
  <si>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</si>
  <si>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</si>
  <si>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JANUARY 2026</t>
  </si>
  <si>
    <t>0600-1300</t>
  </si>
  <si>
    <t>1300-2200</t>
  </si>
  <si>
    <t>2100-0600</t>
  </si>
  <si>
    <t>Export Load Control Roster for the Month of JANUARY 2026</t>
  </si>
  <si>
    <t>Export Operators Roster for the Month of JANUARY 2026</t>
  </si>
  <si>
    <t>OF</t>
  </si>
  <si>
    <t>Mohamed Al Subhi - 82592 (Inventory)</t>
  </si>
  <si>
    <t>Ahmed Al Balushi - 82415</t>
  </si>
  <si>
    <t>Ahmed Al Balushi  - 82415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</si>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</sst>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4" fillId="0" borderId="35" xfId="0" applyFont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0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9" fillId="5" borderId="5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6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0" fillId="6" borderId="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04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</row>
    <row r="2" spans="2:40" ht="28.5" x14ac:dyDescent="0.45">
      <c r="B2" s="138" t="s">
        <v>32</v>
      </c>
      <c r="C2" s="138"/>
      <c r="D2" s="10"/>
      <c r="E2" s="139" t="s">
        <v>33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 t="s">
        <v>9</v>
      </c>
      <c r="X2" s="139"/>
      <c r="Y2" s="139"/>
      <c r="Z2" s="139"/>
      <c r="AA2" s="139"/>
      <c r="AB2" s="139"/>
      <c r="AC2" s="139">
        <v>2025</v>
      </c>
      <c r="AD2" s="139"/>
      <c r="AE2" s="139"/>
      <c r="AF2" s="139"/>
      <c r="AG2" s="5"/>
      <c r="AH2" s="5"/>
      <c r="AI2" s="5"/>
      <c r="AK2" s="135" t="s">
        <v>78</v>
      </c>
      <c r="AL2" s="135"/>
      <c r="AM2" s="135"/>
      <c r="AN2" s="135"/>
    </row>
    <row r="3" spans="2:40" x14ac:dyDescent="0.25">
      <c r="B3" s="138"/>
      <c r="C3" s="138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5"/>
      <c r="AL3" s="135"/>
      <c r="AM3" s="135"/>
      <c r="AN3" s="135"/>
    </row>
    <row r="4" spans="2:40" x14ac:dyDescent="0.25">
      <c r="B4" s="138"/>
      <c r="C4" s="138"/>
      <c r="D4" s="11"/>
      <c r="E4" s="132" t="s">
        <v>34</v>
      </c>
      <c r="F4" s="132"/>
      <c r="G4" s="132"/>
      <c r="H4" s="132"/>
      <c r="I4" s="132"/>
      <c r="J4" s="3">
        <v>1</v>
      </c>
      <c r="K4" s="3"/>
      <c r="L4" s="3"/>
      <c r="M4" s="133" t="s">
        <v>35</v>
      </c>
      <c r="N4" s="133"/>
      <c r="O4" s="133"/>
      <c r="P4" s="134">
        <f>IFERROR(DATEVALUE(J4&amp;W2&amp;AC2),"")</f>
        <v>45901</v>
      </c>
      <c r="Q4" s="134"/>
      <c r="R4" s="134"/>
      <c r="S4" s="3"/>
      <c r="T4" s="3"/>
      <c r="U4" s="133" t="s">
        <v>36</v>
      </c>
      <c r="V4" s="133"/>
      <c r="W4" s="133"/>
      <c r="X4" s="134">
        <f>IFERROR(EOMONTH(P4,0)+J4-1,"")</f>
        <v>45930</v>
      </c>
      <c r="Y4" s="134"/>
      <c r="Z4" s="134"/>
      <c r="AA4" s="3"/>
      <c r="AB4" s="3"/>
      <c r="AC4" s="133" t="s">
        <v>37</v>
      </c>
      <c r="AD4" s="133"/>
      <c r="AE4" s="133"/>
      <c r="AF4" s="3">
        <f>COUNTIF(E6:AI6,"*?")</f>
        <v>30</v>
      </c>
      <c r="AG4" s="3"/>
      <c r="AH4" s="3"/>
      <c r="AI4" s="3"/>
      <c r="AK4" s="135"/>
      <c r="AL4" s="135"/>
      <c r="AM4" s="135"/>
      <c r="AN4" s="135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7" t="s">
        <v>38</v>
      </c>
      <c r="C6" s="137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6" t="s">
        <v>74</v>
      </c>
      <c r="AL6" s="136" t="s">
        <v>75</v>
      </c>
      <c r="AM6" s="136" t="s">
        <v>76</v>
      </c>
      <c r="AN6" s="136" t="s">
        <v>77</v>
      </c>
    </row>
    <row r="7" spans="2:40" x14ac:dyDescent="0.25">
      <c r="B7" s="137"/>
      <c r="C7" s="137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6"/>
      <c r="AL7" s="136"/>
      <c r="AM7" s="136"/>
      <c r="AN7" s="136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2" t="s">
        <v>70</v>
      </c>
      <c r="C39" s="132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2" t="s">
        <v>71</v>
      </c>
      <c r="C40" s="132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2" t="s">
        <v>72</v>
      </c>
      <c r="C41" s="132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2" t="s">
        <v>73</v>
      </c>
      <c r="C42" s="132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203" priority="4">
      <formula>LEFT(E8,1)="N"</formula>
    </cfRule>
    <cfRule type="expression" dxfId="202" priority="5">
      <formula>LEFT(E8,1)="A"</formula>
    </cfRule>
    <cfRule type="expression" dxfId="201" priority="7">
      <formula>LEFT(E8,1)="M"</formula>
    </cfRule>
    <cfRule type="expression" dxfId="200" priority="8">
      <formula>LEFT(E8,1)="D"</formula>
    </cfRule>
  </conditionalFormatting>
  <conditionalFormatting sqref="E39:AI42 E8:AI37 AK8:AN37">
    <cfRule type="expression" dxfId="199" priority="3">
      <formula>LEFT(E8,1)="O"</formula>
    </cfRule>
  </conditionalFormatting>
  <conditionalFormatting sqref="E39:AI42">
    <cfRule type="expression" dxfId="198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5"/>
  <sheetViews>
    <sheetView zoomScale="60" zoomScaleNormal="60" workbookViewId="0">
      <selection activeCell="F15" sqref="F15:AJ29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0.85546875" style="18" customWidth="1"/>
    <col min="40" max="41" width="11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4" t="s">
        <v>126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6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180" t="s">
        <v>105</v>
      </c>
      <c r="C3" s="180"/>
      <c r="D3" s="18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8"/>
      <c r="AM3" s="188"/>
      <c r="AN3" s="188"/>
      <c r="AO3" s="188"/>
      <c r="AP3" s="188"/>
    </row>
    <row r="4" spans="2:42" ht="19.5" customHeight="1" thickBot="1" x14ac:dyDescent="0.35">
      <c r="B4" s="180"/>
      <c r="C4" s="180"/>
      <c r="D4" s="18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7">
        <v>31</v>
      </c>
      <c r="AL4" s="189"/>
      <c r="AM4" s="189"/>
      <c r="AN4" s="189"/>
      <c r="AO4" s="189"/>
      <c r="AP4" s="189"/>
    </row>
    <row r="5" spans="2:42" ht="19.5" customHeight="1" x14ac:dyDescent="0.25">
      <c r="B5" s="37" t="s">
        <v>267</v>
      </c>
      <c r="C5" s="149" t="s">
        <v>187</v>
      </c>
      <c r="D5" s="149"/>
      <c r="F5" s="128" t="s">
        <v>258</v>
      </c>
      <c r="G5" s="128" t="s">
        <v>258</v>
      </c>
      <c r="H5" s="128" t="s">
        <v>258</v>
      </c>
      <c r="I5" s="128" t="s">
        <v>258</v>
      </c>
      <c r="J5" s="128" t="s">
        <v>258</v>
      </c>
      <c r="K5" s="128" t="s">
        <v>258</v>
      </c>
      <c r="L5" s="128" t="s">
        <v>258</v>
      </c>
      <c r="M5" s="128" t="s">
        <v>258</v>
      </c>
      <c r="N5" s="51" t="s">
        <v>257</v>
      </c>
      <c r="O5" s="51" t="s">
        <v>257</v>
      </c>
      <c r="P5" s="51" t="s">
        <v>237</v>
      </c>
      <c r="Q5" s="51" t="s">
        <v>237</v>
      </c>
      <c r="R5" s="51" t="s">
        <v>237</v>
      </c>
      <c r="S5" s="51" t="s">
        <v>237</v>
      </c>
      <c r="T5" s="51" t="s">
        <v>237</v>
      </c>
      <c r="U5" s="51" t="s">
        <v>257</v>
      </c>
      <c r="V5" s="51" t="s">
        <v>257</v>
      </c>
      <c r="W5" s="51" t="s">
        <v>237</v>
      </c>
      <c r="X5" s="51" t="s">
        <v>237</v>
      </c>
      <c r="Y5" s="51" t="s">
        <v>237</v>
      </c>
      <c r="Z5" s="51" t="s">
        <v>237</v>
      </c>
      <c r="AA5" s="51" t="s">
        <v>237</v>
      </c>
      <c r="AB5" s="51" t="s">
        <v>257</v>
      </c>
      <c r="AC5" s="51" t="s">
        <v>257</v>
      </c>
      <c r="AD5" s="51" t="s">
        <v>237</v>
      </c>
      <c r="AE5" s="51" t="s">
        <v>237</v>
      </c>
      <c r="AF5" s="51" t="s">
        <v>237</v>
      </c>
      <c r="AG5" s="51" t="s">
        <v>237</v>
      </c>
      <c r="AH5" s="51" t="s">
        <v>237</v>
      </c>
      <c r="AI5" s="23" t="s">
        <v>257</v>
      </c>
      <c r="AJ5" s="23" t="s">
        <v>257</v>
      </c>
      <c r="AL5" s="126">
        <f>COUNTIF($F5:$AJ5,"ST*")</f>
        <v>0</v>
      </c>
      <c r="AM5" s="126">
        <f>COUNTIF($F5:$AJ5,"M*")</f>
        <v>15</v>
      </c>
      <c r="AN5" s="126">
        <f>COUNTIF($F5:$AJ5,"A*")</f>
        <v>0</v>
      </c>
      <c r="AO5" s="126">
        <f>COUNTIF($F5:$AJ5,"N*")</f>
        <v>0</v>
      </c>
      <c r="AP5" s="126">
        <f>COUNTIF($F5:$AJ5,"O*")</f>
        <v>8</v>
      </c>
    </row>
    <row r="6" spans="2:42" ht="19.5" customHeight="1" x14ac:dyDescent="0.25">
      <c r="B6" s="37" t="s">
        <v>267</v>
      </c>
      <c r="C6" s="149" t="s">
        <v>190</v>
      </c>
      <c r="D6" s="149"/>
      <c r="F6" s="128" t="s">
        <v>258</v>
      </c>
      <c r="G6" s="51" t="s">
        <v>257</v>
      </c>
      <c r="H6" s="51" t="s">
        <v>257</v>
      </c>
      <c r="I6" s="128" t="s">
        <v>258</v>
      </c>
      <c r="J6" s="128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51" t="s">
        <v>237</v>
      </c>
      <c r="Q6" s="51" t="s">
        <v>237</v>
      </c>
      <c r="R6" s="51" t="s">
        <v>237</v>
      </c>
      <c r="S6" s="51" t="s">
        <v>237</v>
      </c>
      <c r="T6" s="51" t="s">
        <v>237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126">
        <f t="shared" ref="AL6:AL8" si="0">COUNTIF($F6:$AJ6,"ST*")</f>
        <v>0</v>
      </c>
      <c r="AM6" s="126">
        <f t="shared" ref="AM6:AM8" si="1">COUNTIF($F6:$AJ6,"M*")</f>
        <v>18</v>
      </c>
      <c r="AN6" s="126">
        <f t="shared" ref="AN6:AN8" si="2">COUNTIF($F6:$AJ6,"A*")</f>
        <v>0</v>
      </c>
      <c r="AO6" s="126">
        <f t="shared" ref="AO6:AO8" si="3">COUNTIF($F6:$AJ6,"N*")</f>
        <v>0</v>
      </c>
      <c r="AP6" s="126">
        <f t="shared" ref="AP6:AP8" si="4">COUNTIF($F6:$AJ6,"O*")</f>
        <v>10</v>
      </c>
    </row>
    <row r="7" spans="2:42" ht="19.5" customHeight="1" x14ac:dyDescent="0.25">
      <c r="B7" s="37" t="s">
        <v>267</v>
      </c>
      <c r="C7" s="149" t="s">
        <v>188</v>
      </c>
      <c r="D7" s="149"/>
      <c r="F7" s="51" t="s">
        <v>229</v>
      </c>
      <c r="G7" s="51" t="s">
        <v>229</v>
      </c>
      <c r="H7" s="51" t="s">
        <v>230</v>
      </c>
      <c r="I7" s="51" t="s">
        <v>230</v>
      </c>
      <c r="J7" s="51" t="s">
        <v>257</v>
      </c>
      <c r="K7" s="51" t="s">
        <v>257</v>
      </c>
      <c r="L7" s="51" t="s">
        <v>229</v>
      </c>
      <c r="M7" s="51" t="s">
        <v>229</v>
      </c>
      <c r="N7" s="51" t="s">
        <v>229</v>
      </c>
      <c r="O7" s="51" t="s">
        <v>230</v>
      </c>
      <c r="P7" s="51" t="s">
        <v>230</v>
      </c>
      <c r="Q7" s="51" t="s">
        <v>257</v>
      </c>
      <c r="R7" s="51" t="s">
        <v>257</v>
      </c>
      <c r="S7" s="51" t="s">
        <v>229</v>
      </c>
      <c r="T7" s="51" t="s">
        <v>229</v>
      </c>
      <c r="U7" s="51" t="s">
        <v>229</v>
      </c>
      <c r="V7" s="51" t="s">
        <v>230</v>
      </c>
      <c r="W7" s="51" t="s">
        <v>230</v>
      </c>
      <c r="X7" s="51" t="s">
        <v>257</v>
      </c>
      <c r="Y7" s="51" t="s">
        <v>257</v>
      </c>
      <c r="Z7" s="51" t="s">
        <v>229</v>
      </c>
      <c r="AA7" s="51" t="s">
        <v>229</v>
      </c>
      <c r="AB7" s="51" t="s">
        <v>229</v>
      </c>
      <c r="AC7" s="51" t="s">
        <v>230</v>
      </c>
      <c r="AD7" s="51" t="s">
        <v>144</v>
      </c>
      <c r="AE7" s="51" t="s">
        <v>257</v>
      </c>
      <c r="AF7" s="51" t="s">
        <v>257</v>
      </c>
      <c r="AG7" s="51" t="s">
        <v>229</v>
      </c>
      <c r="AH7" s="51" t="s">
        <v>229</v>
      </c>
      <c r="AI7" s="51" t="s">
        <v>229</v>
      </c>
      <c r="AJ7" s="51" t="s">
        <v>229</v>
      </c>
      <c r="AL7" s="126">
        <f t="shared" si="0"/>
        <v>0</v>
      </c>
      <c r="AM7" s="126">
        <f t="shared" si="1"/>
        <v>15</v>
      </c>
      <c r="AN7" s="126">
        <f t="shared" si="2"/>
        <v>7</v>
      </c>
      <c r="AO7" s="126">
        <f t="shared" si="3"/>
        <v>0</v>
      </c>
      <c r="AP7" s="126">
        <f t="shared" si="4"/>
        <v>8</v>
      </c>
    </row>
    <row r="8" spans="2:42" ht="19.5" customHeight="1" thickBot="1" x14ac:dyDescent="0.3">
      <c r="B8" s="37" t="s">
        <v>267</v>
      </c>
      <c r="C8" s="149" t="s">
        <v>189</v>
      </c>
      <c r="D8" s="149"/>
      <c r="F8" s="51" t="s">
        <v>230</v>
      </c>
      <c r="G8" s="51" t="s">
        <v>230</v>
      </c>
      <c r="H8" s="51" t="s">
        <v>257</v>
      </c>
      <c r="I8" s="51" t="s">
        <v>257</v>
      </c>
      <c r="J8" s="51" t="s">
        <v>229</v>
      </c>
      <c r="K8" s="51" t="s">
        <v>229</v>
      </c>
      <c r="L8" s="51" t="s">
        <v>230</v>
      </c>
      <c r="M8" s="51" t="s">
        <v>230</v>
      </c>
      <c r="N8" s="51" t="s">
        <v>230</v>
      </c>
      <c r="O8" s="51" t="s">
        <v>257</v>
      </c>
      <c r="P8" s="51" t="s">
        <v>257</v>
      </c>
      <c r="Q8" s="51" t="s">
        <v>229</v>
      </c>
      <c r="R8" s="51" t="s">
        <v>229</v>
      </c>
      <c r="S8" s="51" t="s">
        <v>230</v>
      </c>
      <c r="T8" s="51" t="s">
        <v>230</v>
      </c>
      <c r="U8" s="51" t="s">
        <v>230</v>
      </c>
      <c r="V8" s="56" t="s">
        <v>257</v>
      </c>
      <c r="W8" s="56" t="s">
        <v>257</v>
      </c>
      <c r="X8" s="51" t="s">
        <v>229</v>
      </c>
      <c r="Y8" s="51" t="s">
        <v>229</v>
      </c>
      <c r="Z8" s="51" t="s">
        <v>230</v>
      </c>
      <c r="AA8" s="51" t="s">
        <v>230</v>
      </c>
      <c r="AB8" s="51" t="s">
        <v>230</v>
      </c>
      <c r="AC8" s="51" t="s">
        <v>257</v>
      </c>
      <c r="AD8" s="51" t="s">
        <v>257</v>
      </c>
      <c r="AE8" s="51" t="s">
        <v>144</v>
      </c>
      <c r="AF8" s="51" t="s">
        <v>229</v>
      </c>
      <c r="AG8" s="51" t="s">
        <v>230</v>
      </c>
      <c r="AH8" s="51" t="s">
        <v>230</v>
      </c>
      <c r="AI8" s="51" t="s">
        <v>230</v>
      </c>
      <c r="AJ8" s="51" t="s">
        <v>230</v>
      </c>
      <c r="AL8" s="126">
        <f t="shared" si="0"/>
        <v>0</v>
      </c>
      <c r="AM8" s="126">
        <f t="shared" si="1"/>
        <v>7</v>
      </c>
      <c r="AN8" s="126">
        <f t="shared" si="2"/>
        <v>15</v>
      </c>
      <c r="AO8" s="126">
        <f t="shared" si="3"/>
        <v>0</v>
      </c>
      <c r="AP8" s="126">
        <f t="shared" si="4"/>
        <v>8</v>
      </c>
    </row>
    <row r="9" spans="2:42" ht="18.75" x14ac:dyDescent="0.25">
      <c r="B9" s="37" t="s">
        <v>246</v>
      </c>
      <c r="C9" s="149" t="s">
        <v>178</v>
      </c>
      <c r="D9" s="149"/>
      <c r="F9" s="44" t="s">
        <v>257</v>
      </c>
      <c r="G9" s="44" t="s">
        <v>258</v>
      </c>
      <c r="H9" s="44" t="s">
        <v>258</v>
      </c>
      <c r="I9" s="44" t="s">
        <v>258</v>
      </c>
      <c r="J9" s="44" t="s">
        <v>258</v>
      </c>
      <c r="K9" s="44" t="s">
        <v>258</v>
      </c>
      <c r="L9" s="44" t="s">
        <v>258</v>
      </c>
      <c r="M9" s="44" t="s">
        <v>257</v>
      </c>
      <c r="N9" s="44" t="s">
        <v>257</v>
      </c>
      <c r="O9" s="44" t="s">
        <v>229</v>
      </c>
      <c r="P9" s="44" t="s">
        <v>229</v>
      </c>
      <c r="Q9" s="44" t="s">
        <v>230</v>
      </c>
      <c r="R9" s="44" t="s">
        <v>230</v>
      </c>
      <c r="S9" s="44" t="s">
        <v>254</v>
      </c>
      <c r="T9" s="44" t="s">
        <v>257</v>
      </c>
      <c r="U9" s="44" t="s">
        <v>257</v>
      </c>
      <c r="V9" s="44" t="s">
        <v>257</v>
      </c>
      <c r="W9" s="44" t="s">
        <v>229</v>
      </c>
      <c r="X9" s="44" t="s">
        <v>229</v>
      </c>
      <c r="Y9" s="44" t="s">
        <v>230</v>
      </c>
      <c r="Z9" s="44" t="s">
        <v>230</v>
      </c>
      <c r="AA9" s="44" t="s">
        <v>254</v>
      </c>
      <c r="AB9" s="44" t="s">
        <v>257</v>
      </c>
      <c r="AC9" s="44" t="s">
        <v>257</v>
      </c>
      <c r="AD9" s="44" t="s">
        <v>257</v>
      </c>
      <c r="AE9" s="44" t="s">
        <v>229</v>
      </c>
      <c r="AF9" s="44" t="s">
        <v>229</v>
      </c>
      <c r="AG9" s="44" t="s">
        <v>230</v>
      </c>
      <c r="AH9" s="44" t="s">
        <v>230</v>
      </c>
      <c r="AI9" s="44" t="s">
        <v>254</v>
      </c>
      <c r="AJ9" s="44" t="s">
        <v>257</v>
      </c>
      <c r="AL9" s="50">
        <f t="shared" ref="AL9:AL14" si="5">COUNTIF($F9:$AJ9,"ST*")</f>
        <v>0</v>
      </c>
      <c r="AM9" s="50">
        <f t="shared" ref="AM9:AM14" si="6">COUNTIF($F9:$AJ9,"M*")</f>
        <v>6</v>
      </c>
      <c r="AN9" s="50">
        <f t="shared" ref="AN9:AN14" si="7">COUNTIF($F9:$AJ9,"A*")</f>
        <v>6</v>
      </c>
      <c r="AO9" s="50">
        <f t="shared" ref="AO9:AO14" si="8">COUNTIF($F9:$AJ9,"N*")</f>
        <v>3</v>
      </c>
      <c r="AP9" s="50">
        <f t="shared" ref="AP9:AP14" si="9">COUNTIF($F9:$AJ9,"O*")</f>
        <v>10</v>
      </c>
    </row>
    <row r="10" spans="2:42" ht="18.75" x14ac:dyDescent="0.25">
      <c r="B10" s="37" t="s">
        <v>246</v>
      </c>
      <c r="C10" s="149" t="s">
        <v>179</v>
      </c>
      <c r="D10" s="149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51" t="s">
        <v>229</v>
      </c>
      <c r="M10" s="51" t="s">
        <v>229</v>
      </c>
      <c r="N10" s="51" t="s">
        <v>230</v>
      </c>
      <c r="O10" s="51" t="s">
        <v>230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1" t="s">
        <v>229</v>
      </c>
      <c r="U10" s="51" t="s">
        <v>229</v>
      </c>
      <c r="V10" s="51" t="s">
        <v>230</v>
      </c>
      <c r="W10" s="51" t="s">
        <v>230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51" t="s">
        <v>229</v>
      </c>
      <c r="AC10" s="51" t="s">
        <v>229</v>
      </c>
      <c r="AD10" s="51" t="s">
        <v>230</v>
      </c>
      <c r="AE10" s="51" t="s">
        <v>230</v>
      </c>
      <c r="AF10" s="51" t="s">
        <v>254</v>
      </c>
      <c r="AG10" s="51" t="s">
        <v>257</v>
      </c>
      <c r="AH10" s="51" t="s">
        <v>257</v>
      </c>
      <c r="AI10" s="51" t="s">
        <v>257</v>
      </c>
      <c r="AJ10" s="51" t="s">
        <v>229</v>
      </c>
      <c r="AL10" s="50">
        <f t="shared" si="5"/>
        <v>0</v>
      </c>
      <c r="AM10" s="50">
        <f t="shared" si="6"/>
        <v>7</v>
      </c>
      <c r="AN10" s="50">
        <f t="shared" si="7"/>
        <v>8</v>
      </c>
      <c r="AO10" s="50">
        <f t="shared" si="8"/>
        <v>4</v>
      </c>
      <c r="AP10" s="50">
        <f t="shared" si="9"/>
        <v>12</v>
      </c>
    </row>
    <row r="11" spans="2:42" ht="18.75" x14ac:dyDescent="0.25">
      <c r="B11" s="37" t="s">
        <v>246</v>
      </c>
      <c r="C11" s="149" t="s">
        <v>180</v>
      </c>
      <c r="D11" s="149"/>
      <c r="F11" s="51" t="s">
        <v>258</v>
      </c>
      <c r="G11" s="51" t="s">
        <v>258</v>
      </c>
      <c r="H11" s="51" t="s">
        <v>258</v>
      </c>
      <c r="I11" s="51" t="s">
        <v>258</v>
      </c>
      <c r="J11" s="51" t="s">
        <v>258</v>
      </c>
      <c r="K11" s="51" t="s">
        <v>258</v>
      </c>
      <c r="L11" s="51" t="s">
        <v>258</v>
      </c>
      <c r="M11" s="51" t="s">
        <v>258</v>
      </c>
      <c r="N11" s="51" t="s">
        <v>258</v>
      </c>
      <c r="O11" s="51" t="s">
        <v>258</v>
      </c>
      <c r="P11" s="51" t="s">
        <v>258</v>
      </c>
      <c r="Q11" s="51" t="s">
        <v>258</v>
      </c>
      <c r="R11" s="51" t="s">
        <v>258</v>
      </c>
      <c r="S11" s="51" t="s">
        <v>258</v>
      </c>
      <c r="T11" s="51" t="s">
        <v>258</v>
      </c>
      <c r="U11" s="51" t="s">
        <v>258</v>
      </c>
      <c r="V11" s="51" t="s">
        <v>258</v>
      </c>
      <c r="W11" s="51" t="s">
        <v>258</v>
      </c>
      <c r="X11" s="51" t="s">
        <v>258</v>
      </c>
      <c r="Y11" s="51" t="s">
        <v>258</v>
      </c>
      <c r="Z11" s="51" t="s">
        <v>258</v>
      </c>
      <c r="AA11" s="51" t="s">
        <v>258</v>
      </c>
      <c r="AB11" s="51" t="s">
        <v>258</v>
      </c>
      <c r="AC11" s="51" t="s">
        <v>258</v>
      </c>
      <c r="AD11" s="51" t="s">
        <v>258</v>
      </c>
      <c r="AE11" s="51" t="s">
        <v>258</v>
      </c>
      <c r="AF11" s="51" t="s">
        <v>258</v>
      </c>
      <c r="AG11" s="51" t="s">
        <v>258</v>
      </c>
      <c r="AH11" s="51" t="s">
        <v>258</v>
      </c>
      <c r="AI11" s="51" t="s">
        <v>258</v>
      </c>
      <c r="AJ11" s="51" t="s">
        <v>258</v>
      </c>
      <c r="AL11" s="50">
        <f t="shared" si="5"/>
        <v>0</v>
      </c>
      <c r="AM11" s="50">
        <f t="shared" si="6"/>
        <v>0</v>
      </c>
      <c r="AN11" s="50">
        <f t="shared" si="7"/>
        <v>0</v>
      </c>
      <c r="AO11" s="50">
        <f t="shared" si="8"/>
        <v>0</v>
      </c>
      <c r="AP11" s="50">
        <f t="shared" si="9"/>
        <v>0</v>
      </c>
    </row>
    <row r="12" spans="2:42" ht="18.75" x14ac:dyDescent="0.25">
      <c r="B12" s="37" t="s">
        <v>246</v>
      </c>
      <c r="C12" s="149" t="s">
        <v>181</v>
      </c>
      <c r="D12" s="149"/>
      <c r="F12" s="51" t="s">
        <v>229</v>
      </c>
      <c r="G12" s="51" t="s">
        <v>229</v>
      </c>
      <c r="H12" s="51" t="s">
        <v>230</v>
      </c>
      <c r="I12" s="51" t="s">
        <v>254</v>
      </c>
      <c r="J12" s="51" t="s">
        <v>254</v>
      </c>
      <c r="K12" s="51" t="s">
        <v>257</v>
      </c>
      <c r="L12" s="51" t="s">
        <v>257</v>
      </c>
      <c r="M12" s="51" t="s">
        <v>257</v>
      </c>
      <c r="N12" s="51" t="s">
        <v>229</v>
      </c>
      <c r="O12" s="51" t="s">
        <v>229</v>
      </c>
      <c r="P12" s="51" t="s">
        <v>230</v>
      </c>
      <c r="Q12" s="51" t="s">
        <v>254</v>
      </c>
      <c r="R12" s="51" t="s">
        <v>254</v>
      </c>
      <c r="S12" s="51" t="s">
        <v>257</v>
      </c>
      <c r="T12" s="51" t="s">
        <v>257</v>
      </c>
      <c r="U12" s="51" t="s">
        <v>257</v>
      </c>
      <c r="V12" s="51" t="s">
        <v>258</v>
      </c>
      <c r="W12" s="51" t="s">
        <v>258</v>
      </c>
      <c r="X12" s="51" t="s">
        <v>258</v>
      </c>
      <c r="Y12" s="51" t="s">
        <v>258</v>
      </c>
      <c r="Z12" s="51" t="s">
        <v>258</v>
      </c>
      <c r="AA12" s="51" t="s">
        <v>258</v>
      </c>
      <c r="AB12" s="51" t="s">
        <v>258</v>
      </c>
      <c r="AC12" s="51" t="s">
        <v>258</v>
      </c>
      <c r="AD12" s="51" t="s">
        <v>258</v>
      </c>
      <c r="AE12" s="51" t="s">
        <v>258</v>
      </c>
      <c r="AF12" s="51" t="s">
        <v>258</v>
      </c>
      <c r="AG12" s="51" t="s">
        <v>258</v>
      </c>
      <c r="AH12" s="51" t="s">
        <v>258</v>
      </c>
      <c r="AI12" s="51" t="s">
        <v>258</v>
      </c>
      <c r="AJ12" s="51" t="s">
        <v>257</v>
      </c>
      <c r="AL12" s="50">
        <f t="shared" si="5"/>
        <v>0</v>
      </c>
      <c r="AM12" s="50">
        <f t="shared" si="6"/>
        <v>4</v>
      </c>
      <c r="AN12" s="50">
        <f t="shared" si="7"/>
        <v>2</v>
      </c>
      <c r="AO12" s="50">
        <f t="shared" si="8"/>
        <v>4</v>
      </c>
      <c r="AP12" s="50">
        <f t="shared" si="9"/>
        <v>7</v>
      </c>
    </row>
    <row r="13" spans="2:42" ht="18.75" x14ac:dyDescent="0.25">
      <c r="B13" s="37" t="s">
        <v>246</v>
      </c>
      <c r="C13" s="149" t="s">
        <v>182</v>
      </c>
      <c r="D13" s="149"/>
      <c r="F13" s="51" t="s">
        <v>257</v>
      </c>
      <c r="G13" s="51" t="s">
        <v>257</v>
      </c>
      <c r="H13" s="51" t="s">
        <v>257</v>
      </c>
      <c r="I13" s="51" t="s">
        <v>229</v>
      </c>
      <c r="J13" s="51" t="s">
        <v>229</v>
      </c>
      <c r="K13" s="51" t="s">
        <v>230</v>
      </c>
      <c r="L13" s="51" t="s">
        <v>254</v>
      </c>
      <c r="M13" s="51" t="s">
        <v>254</v>
      </c>
      <c r="N13" s="51" t="s">
        <v>257</v>
      </c>
      <c r="O13" s="51" t="s">
        <v>257</v>
      </c>
      <c r="P13" s="51" t="s">
        <v>257</v>
      </c>
      <c r="Q13" s="51" t="s">
        <v>229</v>
      </c>
      <c r="R13" s="51" t="s">
        <v>229</v>
      </c>
      <c r="S13" s="51" t="s">
        <v>230</v>
      </c>
      <c r="T13" s="51" t="s">
        <v>254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1" t="s">
        <v>229</v>
      </c>
      <c r="Z13" s="51" t="s">
        <v>229</v>
      </c>
      <c r="AA13" s="51" t="s">
        <v>230</v>
      </c>
      <c r="AB13" s="51" t="s">
        <v>254</v>
      </c>
      <c r="AC13" s="51" t="s">
        <v>254</v>
      </c>
      <c r="AD13" s="51" t="s">
        <v>257</v>
      </c>
      <c r="AE13" s="51" t="s">
        <v>257</v>
      </c>
      <c r="AF13" s="51" t="s">
        <v>257</v>
      </c>
      <c r="AG13" s="51" t="s">
        <v>229</v>
      </c>
      <c r="AH13" s="51" t="s">
        <v>229</v>
      </c>
      <c r="AI13" s="51" t="s">
        <v>230</v>
      </c>
      <c r="AJ13" s="51" t="s">
        <v>254</v>
      </c>
      <c r="AK13" s="99"/>
      <c r="AL13" s="50">
        <f t="shared" si="5"/>
        <v>0</v>
      </c>
      <c r="AM13" s="50">
        <f t="shared" si="6"/>
        <v>8</v>
      </c>
      <c r="AN13" s="50">
        <f t="shared" si="7"/>
        <v>4</v>
      </c>
      <c r="AO13" s="50">
        <f t="shared" si="8"/>
        <v>7</v>
      </c>
      <c r="AP13" s="50">
        <f t="shared" si="9"/>
        <v>12</v>
      </c>
    </row>
    <row r="14" spans="2:42" ht="19.5" thickBot="1" x14ac:dyDescent="0.3">
      <c r="B14" s="37" t="s">
        <v>246</v>
      </c>
      <c r="C14" s="149" t="s">
        <v>183</v>
      </c>
      <c r="D14" s="149"/>
      <c r="F14" s="64" t="s">
        <v>229</v>
      </c>
      <c r="G14" s="64" t="s">
        <v>257</v>
      </c>
      <c r="H14" s="64" t="s">
        <v>257</v>
      </c>
      <c r="I14" s="64" t="s">
        <v>229</v>
      </c>
      <c r="J14" s="64" t="s">
        <v>229</v>
      </c>
      <c r="K14" s="64" t="s">
        <v>144</v>
      </c>
      <c r="L14" s="64" t="s">
        <v>229</v>
      </c>
      <c r="M14" s="64" t="s">
        <v>229</v>
      </c>
      <c r="N14" s="64" t="s">
        <v>257</v>
      </c>
      <c r="O14" s="64" t="s">
        <v>257</v>
      </c>
      <c r="P14" s="64" t="s">
        <v>229</v>
      </c>
      <c r="Q14" s="64" t="s">
        <v>229</v>
      </c>
      <c r="R14" s="64" t="s">
        <v>229</v>
      </c>
      <c r="S14" s="64" t="s">
        <v>144</v>
      </c>
      <c r="T14" s="64" t="s">
        <v>229</v>
      </c>
      <c r="U14" s="64" t="s">
        <v>257</v>
      </c>
      <c r="V14" s="64" t="s">
        <v>257</v>
      </c>
      <c r="W14" s="64" t="s">
        <v>229</v>
      </c>
      <c r="X14" s="64" t="s">
        <v>229</v>
      </c>
      <c r="Y14" s="64" t="s">
        <v>229</v>
      </c>
      <c r="Z14" s="64" t="s">
        <v>229</v>
      </c>
      <c r="AA14" s="64" t="s">
        <v>229</v>
      </c>
      <c r="AB14" s="64" t="s">
        <v>257</v>
      </c>
      <c r="AC14" s="64" t="s">
        <v>257</v>
      </c>
      <c r="AD14" s="64" t="s">
        <v>229</v>
      </c>
      <c r="AE14" s="64" t="s">
        <v>229</v>
      </c>
      <c r="AF14" s="64" t="s">
        <v>229</v>
      </c>
      <c r="AG14" s="64" t="s">
        <v>229</v>
      </c>
      <c r="AH14" s="64" t="s">
        <v>229</v>
      </c>
      <c r="AI14" s="64" t="s">
        <v>257</v>
      </c>
      <c r="AJ14" s="64" t="s">
        <v>257</v>
      </c>
      <c r="AL14" s="50">
        <f t="shared" si="5"/>
        <v>0</v>
      </c>
      <c r="AM14" s="50">
        <f t="shared" si="6"/>
        <v>19</v>
      </c>
      <c r="AN14" s="50">
        <f t="shared" si="7"/>
        <v>0</v>
      </c>
      <c r="AO14" s="50">
        <f t="shared" si="8"/>
        <v>0</v>
      </c>
      <c r="AP14" s="50">
        <f t="shared" si="9"/>
        <v>10</v>
      </c>
    </row>
    <row r="15" spans="2:42" ht="18.75" x14ac:dyDescent="0.25">
      <c r="B15" s="37" t="s">
        <v>247</v>
      </c>
      <c r="C15" s="145" t="s">
        <v>225</v>
      </c>
      <c r="D15" s="181"/>
      <c r="E15" s="97"/>
      <c r="F15" s="44" t="s">
        <v>257</v>
      </c>
      <c r="G15" s="44" t="s">
        <v>257</v>
      </c>
      <c r="H15" s="44" t="s">
        <v>257</v>
      </c>
      <c r="I15" s="105" t="s">
        <v>229</v>
      </c>
      <c r="J15" s="105" t="s">
        <v>229</v>
      </c>
      <c r="K15" s="44" t="s">
        <v>230</v>
      </c>
      <c r="L15" s="44" t="s">
        <v>230</v>
      </c>
      <c r="M15" s="44" t="s">
        <v>254</v>
      </c>
      <c r="N15" s="44" t="s">
        <v>257</v>
      </c>
      <c r="O15" s="44" t="s">
        <v>257</v>
      </c>
      <c r="P15" s="44" t="s">
        <v>257</v>
      </c>
      <c r="Q15" s="105" t="s">
        <v>229</v>
      </c>
      <c r="R15" s="44" t="s">
        <v>255</v>
      </c>
      <c r="S15" s="44" t="s">
        <v>144</v>
      </c>
      <c r="T15" s="44" t="s">
        <v>255</v>
      </c>
      <c r="U15" s="44" t="s">
        <v>254</v>
      </c>
      <c r="V15" s="44" t="s">
        <v>257</v>
      </c>
      <c r="W15" s="44" t="s">
        <v>257</v>
      </c>
      <c r="X15" s="44" t="s">
        <v>257</v>
      </c>
      <c r="Y15" s="109" t="s">
        <v>229</v>
      </c>
      <c r="Z15" s="105" t="s">
        <v>253</v>
      </c>
      <c r="AA15" s="44" t="s">
        <v>229</v>
      </c>
      <c r="AB15" s="44" t="s">
        <v>230</v>
      </c>
      <c r="AC15" s="44" t="s">
        <v>254</v>
      </c>
      <c r="AD15" s="44" t="s">
        <v>257</v>
      </c>
      <c r="AE15" s="44" t="s">
        <v>257</v>
      </c>
      <c r="AF15" s="44" t="s">
        <v>257</v>
      </c>
      <c r="AG15" s="105" t="s">
        <v>229</v>
      </c>
      <c r="AH15" s="105" t="s">
        <v>229</v>
      </c>
      <c r="AI15" s="44" t="s">
        <v>229</v>
      </c>
      <c r="AJ15" s="44" t="s">
        <v>230</v>
      </c>
      <c r="AL15" s="50">
        <f>COUNTIF($F15:$AJ15,"ST*")</f>
        <v>3</v>
      </c>
      <c r="AM15" s="50">
        <f>COUNTIF($F15:$AJ15,"M*")</f>
        <v>8</v>
      </c>
      <c r="AN15" s="50">
        <f>COUNTIF($F15:$AJ15,"A*")</f>
        <v>4</v>
      </c>
      <c r="AO15" s="50">
        <f>COUNTIF($F15:$AJ15,"N*")</f>
        <v>3</v>
      </c>
      <c r="AP15" s="50">
        <f>COUNTIF($F15:$AJ15,"O*")</f>
        <v>12</v>
      </c>
    </row>
    <row r="16" spans="2:42" ht="18.75" x14ac:dyDescent="0.25">
      <c r="B16" s="41" t="s">
        <v>247</v>
      </c>
      <c r="C16" s="145" t="s">
        <v>214</v>
      </c>
      <c r="D16" s="181"/>
      <c r="E16" s="97"/>
      <c r="F16" s="51" t="s">
        <v>257</v>
      </c>
      <c r="G16" s="51" t="s">
        <v>257</v>
      </c>
      <c r="H16" s="56" t="s">
        <v>253</v>
      </c>
      <c r="I16" s="56" t="s">
        <v>230</v>
      </c>
      <c r="J16" s="56" t="s">
        <v>230</v>
      </c>
      <c r="K16" s="56" t="s">
        <v>144</v>
      </c>
      <c r="L16" s="56" t="s">
        <v>254</v>
      </c>
      <c r="M16" s="51" t="s">
        <v>257</v>
      </c>
      <c r="N16" s="51" t="s">
        <v>257</v>
      </c>
      <c r="O16" s="51" t="s">
        <v>257</v>
      </c>
      <c r="P16" s="56" t="s">
        <v>229</v>
      </c>
      <c r="Q16" s="51" t="s">
        <v>253</v>
      </c>
      <c r="R16" s="51" t="s">
        <v>230</v>
      </c>
      <c r="S16" s="51" t="s">
        <v>230</v>
      </c>
      <c r="T16" s="51" t="s">
        <v>254</v>
      </c>
      <c r="U16" s="51" t="s">
        <v>257</v>
      </c>
      <c r="V16" s="51" t="s">
        <v>257</v>
      </c>
      <c r="W16" s="51" t="s">
        <v>257</v>
      </c>
      <c r="X16" s="56" t="s">
        <v>229</v>
      </c>
      <c r="Y16" s="51" t="s">
        <v>255</v>
      </c>
      <c r="Z16" s="51" t="s">
        <v>230</v>
      </c>
      <c r="AA16" s="51" t="s">
        <v>256</v>
      </c>
      <c r="AB16" s="51" t="s">
        <v>254</v>
      </c>
      <c r="AC16" s="51" t="s">
        <v>257</v>
      </c>
      <c r="AD16" s="51" t="s">
        <v>257</v>
      </c>
      <c r="AE16" s="51" t="s">
        <v>257</v>
      </c>
      <c r="AF16" s="56" t="s">
        <v>229</v>
      </c>
      <c r="AG16" s="56" t="s">
        <v>253</v>
      </c>
      <c r="AH16" s="56" t="s">
        <v>230</v>
      </c>
      <c r="AI16" s="56" t="s">
        <v>230</v>
      </c>
      <c r="AJ16" s="56" t="s">
        <v>254</v>
      </c>
      <c r="AL16" s="50">
        <f t="shared" ref="AL16:AL29" si="10">COUNTIF($F16:$AJ16,"ST*")</f>
        <v>5</v>
      </c>
      <c r="AM16" s="50">
        <f t="shared" ref="AM16:AM29" si="11">COUNTIF($F16:$AJ16,"M*")</f>
        <v>3</v>
      </c>
      <c r="AN16" s="50">
        <f t="shared" ref="AN16:AN29" si="12">COUNTIF($F16:$AJ16,"A*")</f>
        <v>7</v>
      </c>
      <c r="AO16" s="50">
        <f t="shared" ref="AO16:AO29" si="13">COUNTIF($F16:$AJ16,"N*")</f>
        <v>4</v>
      </c>
      <c r="AP16" s="50">
        <f t="shared" ref="AP16:AP29" si="14">COUNTIF($F16:$AJ16,"O*")</f>
        <v>11</v>
      </c>
    </row>
    <row r="17" spans="2:42" ht="18.75" x14ac:dyDescent="0.25">
      <c r="B17" s="41" t="s">
        <v>247</v>
      </c>
      <c r="C17" s="145" t="s">
        <v>215</v>
      </c>
      <c r="D17" s="181"/>
      <c r="E17" s="97"/>
      <c r="F17" s="51" t="s">
        <v>257</v>
      </c>
      <c r="G17" s="56" t="s">
        <v>253</v>
      </c>
      <c r="H17" s="98" t="s">
        <v>230</v>
      </c>
      <c r="I17" s="51" t="s">
        <v>255</v>
      </c>
      <c r="J17" s="51" t="s">
        <v>254</v>
      </c>
      <c r="K17" s="51" t="s">
        <v>254</v>
      </c>
      <c r="L17" s="51" t="s">
        <v>257</v>
      </c>
      <c r="M17" s="51" t="s">
        <v>257</v>
      </c>
      <c r="N17" s="51" t="s">
        <v>257</v>
      </c>
      <c r="O17" s="56" t="s">
        <v>253</v>
      </c>
      <c r="P17" s="98" t="s">
        <v>229</v>
      </c>
      <c r="Q17" s="51" t="s">
        <v>230</v>
      </c>
      <c r="R17" s="51" t="s">
        <v>254</v>
      </c>
      <c r="S17" s="51" t="s">
        <v>254</v>
      </c>
      <c r="T17" s="51" t="s">
        <v>257</v>
      </c>
      <c r="U17" s="51" t="s">
        <v>257</v>
      </c>
      <c r="V17" s="51" t="s">
        <v>257</v>
      </c>
      <c r="W17" s="56" t="s">
        <v>229</v>
      </c>
      <c r="X17" s="98" t="s">
        <v>229</v>
      </c>
      <c r="Y17" s="51" t="s">
        <v>255</v>
      </c>
      <c r="Z17" s="51" t="s">
        <v>256</v>
      </c>
      <c r="AA17" s="51" t="s">
        <v>254</v>
      </c>
      <c r="AB17" s="51" t="s">
        <v>257</v>
      </c>
      <c r="AC17" s="51" t="s">
        <v>257</v>
      </c>
      <c r="AD17" s="51" t="s">
        <v>257</v>
      </c>
      <c r="AE17" s="56" t="s">
        <v>229</v>
      </c>
      <c r="AF17" s="98" t="s">
        <v>253</v>
      </c>
      <c r="AG17" s="51" t="s">
        <v>230</v>
      </c>
      <c r="AH17" s="51" t="s">
        <v>255</v>
      </c>
      <c r="AI17" s="51" t="s">
        <v>254</v>
      </c>
      <c r="AJ17" s="51" t="s">
        <v>257</v>
      </c>
      <c r="AL17" s="50">
        <f t="shared" si="10"/>
        <v>7</v>
      </c>
      <c r="AM17" s="50">
        <f t="shared" si="11"/>
        <v>4</v>
      </c>
      <c r="AN17" s="50">
        <f t="shared" si="12"/>
        <v>3</v>
      </c>
      <c r="AO17" s="50">
        <f t="shared" si="13"/>
        <v>6</v>
      </c>
      <c r="AP17" s="50">
        <f t="shared" si="14"/>
        <v>11</v>
      </c>
    </row>
    <row r="18" spans="2:42" ht="18.75" x14ac:dyDescent="0.25">
      <c r="B18" s="41" t="s">
        <v>247</v>
      </c>
      <c r="C18" s="145" t="s">
        <v>216</v>
      </c>
      <c r="D18" s="181"/>
      <c r="E18" s="97"/>
      <c r="F18" s="56" t="s">
        <v>229</v>
      </c>
      <c r="G18" s="98" t="s">
        <v>229</v>
      </c>
      <c r="H18" s="51" t="s">
        <v>255</v>
      </c>
      <c r="I18" s="51" t="s">
        <v>254</v>
      </c>
      <c r="J18" s="51" t="s">
        <v>254</v>
      </c>
      <c r="K18" s="51" t="s">
        <v>257</v>
      </c>
      <c r="L18" s="51" t="s">
        <v>257</v>
      </c>
      <c r="M18" s="51" t="s">
        <v>257</v>
      </c>
      <c r="N18" s="56" t="s">
        <v>229</v>
      </c>
      <c r="O18" s="98" t="s">
        <v>230</v>
      </c>
      <c r="P18" s="51" t="s">
        <v>230</v>
      </c>
      <c r="Q18" s="51" t="s">
        <v>254</v>
      </c>
      <c r="R18" s="51" t="s">
        <v>229</v>
      </c>
      <c r="S18" s="51" t="s">
        <v>257</v>
      </c>
      <c r="T18" s="51" t="s">
        <v>257</v>
      </c>
      <c r="U18" s="51" t="s">
        <v>257</v>
      </c>
      <c r="V18" s="51" t="s">
        <v>229</v>
      </c>
      <c r="W18" s="98" t="s">
        <v>255</v>
      </c>
      <c r="X18" s="51" t="s">
        <v>230</v>
      </c>
      <c r="Y18" s="51" t="s">
        <v>256</v>
      </c>
      <c r="Z18" s="51" t="s">
        <v>254</v>
      </c>
      <c r="AA18" s="51" t="s">
        <v>257</v>
      </c>
      <c r="AB18" s="51" t="s">
        <v>257</v>
      </c>
      <c r="AC18" s="51" t="s">
        <v>257</v>
      </c>
      <c r="AD18" s="56" t="s">
        <v>229</v>
      </c>
      <c r="AE18" s="98" t="s">
        <v>253</v>
      </c>
      <c r="AF18" s="51" t="s">
        <v>230</v>
      </c>
      <c r="AG18" s="51" t="s">
        <v>255</v>
      </c>
      <c r="AH18" s="51" t="s">
        <v>254</v>
      </c>
      <c r="AI18" s="51" t="s">
        <v>257</v>
      </c>
      <c r="AJ18" s="51" t="s">
        <v>257</v>
      </c>
      <c r="AL18" s="50">
        <f t="shared" si="10"/>
        <v>5</v>
      </c>
      <c r="AM18" s="50">
        <f t="shared" si="11"/>
        <v>6</v>
      </c>
      <c r="AN18" s="50">
        <f t="shared" si="12"/>
        <v>4</v>
      </c>
      <c r="AO18" s="50">
        <f t="shared" si="13"/>
        <v>5</v>
      </c>
      <c r="AP18" s="50">
        <f t="shared" si="14"/>
        <v>11</v>
      </c>
    </row>
    <row r="19" spans="2:42" ht="18.75" x14ac:dyDescent="0.25">
      <c r="B19" s="41" t="s">
        <v>247</v>
      </c>
      <c r="C19" s="145" t="s">
        <v>217</v>
      </c>
      <c r="D19" s="181"/>
      <c r="E19" s="97"/>
      <c r="F19" s="98" t="s">
        <v>229</v>
      </c>
      <c r="G19" s="51" t="s">
        <v>255</v>
      </c>
      <c r="H19" s="51" t="s">
        <v>254</v>
      </c>
      <c r="I19" s="51" t="s">
        <v>254</v>
      </c>
      <c r="J19" s="51" t="s">
        <v>257</v>
      </c>
      <c r="K19" s="51" t="s">
        <v>257</v>
      </c>
      <c r="L19" s="51" t="s">
        <v>257</v>
      </c>
      <c r="M19" s="56" t="s">
        <v>229</v>
      </c>
      <c r="N19" s="98" t="s">
        <v>230</v>
      </c>
      <c r="O19" s="51" t="s">
        <v>230</v>
      </c>
      <c r="P19" s="51" t="s">
        <v>254</v>
      </c>
      <c r="Q19" s="51" t="s">
        <v>254</v>
      </c>
      <c r="R19" s="51" t="s">
        <v>257</v>
      </c>
      <c r="S19" s="51" t="s">
        <v>257</v>
      </c>
      <c r="T19" s="51" t="s">
        <v>257</v>
      </c>
      <c r="U19" s="56" t="s">
        <v>229</v>
      </c>
      <c r="V19" s="98" t="s">
        <v>253</v>
      </c>
      <c r="W19" s="51" t="s">
        <v>230</v>
      </c>
      <c r="X19" s="51" t="s">
        <v>255</v>
      </c>
      <c r="Y19" s="51" t="s">
        <v>254</v>
      </c>
      <c r="Z19" s="51" t="s">
        <v>257</v>
      </c>
      <c r="AA19" s="51" t="s">
        <v>257</v>
      </c>
      <c r="AB19" s="51" t="s">
        <v>257</v>
      </c>
      <c r="AC19" s="56" t="s">
        <v>229</v>
      </c>
      <c r="AD19" s="98" t="s">
        <v>230</v>
      </c>
      <c r="AE19" s="51" t="s">
        <v>230</v>
      </c>
      <c r="AF19" s="51" t="s">
        <v>254</v>
      </c>
      <c r="AG19" s="51" t="s">
        <v>254</v>
      </c>
      <c r="AH19" s="51" t="s">
        <v>257</v>
      </c>
      <c r="AI19" s="51" t="s">
        <v>257</v>
      </c>
      <c r="AJ19" s="51" t="s">
        <v>257</v>
      </c>
      <c r="AL19" s="50">
        <f t="shared" si="10"/>
        <v>3</v>
      </c>
      <c r="AM19" s="50">
        <f t="shared" si="11"/>
        <v>4</v>
      </c>
      <c r="AN19" s="50">
        <f t="shared" si="12"/>
        <v>5</v>
      </c>
      <c r="AO19" s="50">
        <f t="shared" si="13"/>
        <v>7</v>
      </c>
      <c r="AP19" s="50">
        <f t="shared" si="14"/>
        <v>12</v>
      </c>
    </row>
    <row r="20" spans="2:42" ht="18.75" x14ac:dyDescent="0.25">
      <c r="B20" s="41" t="s">
        <v>247</v>
      </c>
      <c r="C20" s="145" t="s">
        <v>218</v>
      </c>
      <c r="D20" s="181"/>
      <c r="E20" s="97"/>
      <c r="F20" s="51" t="s">
        <v>230</v>
      </c>
      <c r="G20" s="51" t="s">
        <v>230</v>
      </c>
      <c r="H20" s="51" t="s">
        <v>254</v>
      </c>
      <c r="I20" s="51" t="s">
        <v>257</v>
      </c>
      <c r="J20" s="51" t="s">
        <v>257</v>
      </c>
      <c r="K20" s="51" t="s">
        <v>257</v>
      </c>
      <c r="L20" s="98" t="s">
        <v>229</v>
      </c>
      <c r="M20" s="51" t="s">
        <v>229</v>
      </c>
      <c r="N20" s="51" t="s">
        <v>230</v>
      </c>
      <c r="O20" s="51" t="s">
        <v>254</v>
      </c>
      <c r="P20" s="51" t="s">
        <v>254</v>
      </c>
      <c r="Q20" s="51" t="s">
        <v>257</v>
      </c>
      <c r="R20" s="51" t="s">
        <v>257</v>
      </c>
      <c r="S20" s="51" t="s">
        <v>257</v>
      </c>
      <c r="T20" s="56" t="s">
        <v>229</v>
      </c>
      <c r="U20" s="98" t="s">
        <v>253</v>
      </c>
      <c r="V20" s="51" t="s">
        <v>230</v>
      </c>
      <c r="W20" s="51" t="s">
        <v>254</v>
      </c>
      <c r="X20" s="51" t="s">
        <v>254</v>
      </c>
      <c r="Y20" s="51" t="s">
        <v>257</v>
      </c>
      <c r="Z20" s="51" t="s">
        <v>257</v>
      </c>
      <c r="AA20" s="51" t="s">
        <v>257</v>
      </c>
      <c r="AB20" s="98" t="s">
        <v>258</v>
      </c>
      <c r="AC20" s="51" t="s">
        <v>258</v>
      </c>
      <c r="AD20" s="51" t="s">
        <v>258</v>
      </c>
      <c r="AE20" s="51" t="s">
        <v>258</v>
      </c>
      <c r="AF20" s="51" t="s">
        <v>258</v>
      </c>
      <c r="AG20" s="51" t="s">
        <v>258</v>
      </c>
      <c r="AH20" s="51" t="s">
        <v>257</v>
      </c>
      <c r="AI20" s="51" t="s">
        <v>257</v>
      </c>
      <c r="AJ20" s="98" t="s">
        <v>229</v>
      </c>
      <c r="AL20" s="50">
        <f t="shared" si="10"/>
        <v>1</v>
      </c>
      <c r="AM20" s="50">
        <f t="shared" si="11"/>
        <v>4</v>
      </c>
      <c r="AN20" s="50">
        <f t="shared" si="12"/>
        <v>4</v>
      </c>
      <c r="AO20" s="50">
        <f t="shared" si="13"/>
        <v>5</v>
      </c>
      <c r="AP20" s="50">
        <f t="shared" si="14"/>
        <v>11</v>
      </c>
    </row>
    <row r="21" spans="2:42" ht="18.75" x14ac:dyDescent="0.25">
      <c r="B21" s="41" t="s">
        <v>247</v>
      </c>
      <c r="C21" s="145" t="s">
        <v>219</v>
      </c>
      <c r="D21" s="181"/>
      <c r="E21" s="97"/>
      <c r="F21" s="51" t="s">
        <v>256</v>
      </c>
      <c r="G21" s="51" t="s">
        <v>254</v>
      </c>
      <c r="H21" s="51" t="s">
        <v>257</v>
      </c>
      <c r="I21" s="51" t="s">
        <v>257</v>
      </c>
      <c r="J21" s="51" t="s">
        <v>257</v>
      </c>
      <c r="K21" s="56" t="s">
        <v>229</v>
      </c>
      <c r="L21" s="56" t="s">
        <v>230</v>
      </c>
      <c r="M21" s="56" t="s">
        <v>230</v>
      </c>
      <c r="N21" s="56" t="s">
        <v>254</v>
      </c>
      <c r="O21" s="56" t="s">
        <v>254</v>
      </c>
      <c r="P21" s="51" t="s">
        <v>257</v>
      </c>
      <c r="Q21" s="51" t="s">
        <v>257</v>
      </c>
      <c r="R21" s="51" t="s">
        <v>257</v>
      </c>
      <c r="S21" s="56" t="s">
        <v>229</v>
      </c>
      <c r="T21" s="98" t="s">
        <v>230</v>
      </c>
      <c r="U21" s="51" t="s">
        <v>230</v>
      </c>
      <c r="V21" s="51" t="s">
        <v>254</v>
      </c>
      <c r="W21" s="51" t="s">
        <v>254</v>
      </c>
      <c r="X21" s="51" t="s">
        <v>257</v>
      </c>
      <c r="Y21" s="51" t="s">
        <v>257</v>
      </c>
      <c r="Z21" s="51" t="s">
        <v>257</v>
      </c>
      <c r="AA21" s="98" t="s">
        <v>229</v>
      </c>
      <c r="AB21" s="51" t="s">
        <v>230</v>
      </c>
      <c r="AC21" s="51" t="s">
        <v>230</v>
      </c>
      <c r="AD21" s="51" t="s">
        <v>254</v>
      </c>
      <c r="AE21" s="51" t="s">
        <v>254</v>
      </c>
      <c r="AF21" s="51" t="s">
        <v>257</v>
      </c>
      <c r="AG21" s="51" t="s">
        <v>257</v>
      </c>
      <c r="AH21" s="51" t="s">
        <v>257</v>
      </c>
      <c r="AI21" s="56" t="s">
        <v>258</v>
      </c>
      <c r="AJ21" s="56" t="s">
        <v>258</v>
      </c>
      <c r="AL21" s="50">
        <f t="shared" si="10"/>
        <v>1</v>
      </c>
      <c r="AM21" s="50">
        <f t="shared" si="11"/>
        <v>3</v>
      </c>
      <c r="AN21" s="50">
        <f t="shared" si="12"/>
        <v>6</v>
      </c>
      <c r="AO21" s="50">
        <f t="shared" si="13"/>
        <v>7</v>
      </c>
      <c r="AP21" s="50">
        <f t="shared" si="14"/>
        <v>12</v>
      </c>
    </row>
    <row r="22" spans="2:42" ht="18.75" x14ac:dyDescent="0.25">
      <c r="B22" s="41" t="s">
        <v>247</v>
      </c>
      <c r="C22" s="145" t="s">
        <v>220</v>
      </c>
      <c r="D22" s="181"/>
      <c r="E22" s="97"/>
      <c r="F22" s="56" t="s">
        <v>254</v>
      </c>
      <c r="G22" s="51" t="s">
        <v>257</v>
      </c>
      <c r="H22" s="51" t="s">
        <v>257</v>
      </c>
      <c r="I22" s="51" t="s">
        <v>257</v>
      </c>
      <c r="J22" s="98" t="s">
        <v>258</v>
      </c>
      <c r="K22" s="98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257</v>
      </c>
      <c r="Q22" s="51" t="s">
        <v>257</v>
      </c>
      <c r="R22" s="98" t="s">
        <v>229</v>
      </c>
      <c r="S22" s="98" t="s">
        <v>229</v>
      </c>
      <c r="T22" s="51" t="s">
        <v>230</v>
      </c>
      <c r="U22" s="51" t="s">
        <v>230</v>
      </c>
      <c r="V22" s="51" t="s">
        <v>254</v>
      </c>
      <c r="W22" s="51" t="s">
        <v>257</v>
      </c>
      <c r="X22" s="51" t="s">
        <v>257</v>
      </c>
      <c r="Y22" s="51" t="s">
        <v>257</v>
      </c>
      <c r="Z22" s="56" t="s">
        <v>229</v>
      </c>
      <c r="AA22" s="56" t="s">
        <v>229</v>
      </c>
      <c r="AB22" s="56" t="s">
        <v>229</v>
      </c>
      <c r="AC22" s="56" t="s">
        <v>230</v>
      </c>
      <c r="AD22" s="56" t="s">
        <v>254</v>
      </c>
      <c r="AE22" s="51" t="s">
        <v>257</v>
      </c>
      <c r="AF22" s="51" t="s">
        <v>257</v>
      </c>
      <c r="AG22" s="51" t="s">
        <v>257</v>
      </c>
      <c r="AH22" s="98" t="s">
        <v>229</v>
      </c>
      <c r="AI22" s="98" t="s">
        <v>229</v>
      </c>
      <c r="AJ22" s="51" t="s">
        <v>230</v>
      </c>
      <c r="AL22" s="50">
        <f t="shared" si="10"/>
        <v>0</v>
      </c>
      <c r="AM22" s="50">
        <f t="shared" si="11"/>
        <v>7</v>
      </c>
      <c r="AN22" s="50">
        <f t="shared" si="12"/>
        <v>4</v>
      </c>
      <c r="AO22" s="50">
        <f t="shared" si="13"/>
        <v>3</v>
      </c>
      <c r="AP22" s="50">
        <f t="shared" si="14"/>
        <v>11</v>
      </c>
    </row>
    <row r="23" spans="2:42" ht="18.75" x14ac:dyDescent="0.25">
      <c r="B23" s="41" t="s">
        <v>247</v>
      </c>
      <c r="C23" s="145" t="s">
        <v>221</v>
      </c>
      <c r="D23" s="181"/>
      <c r="E23" s="97"/>
      <c r="F23" s="56" t="s">
        <v>257</v>
      </c>
      <c r="G23" s="56" t="s">
        <v>257</v>
      </c>
      <c r="H23" s="56" t="s">
        <v>257</v>
      </c>
      <c r="I23" s="56" t="s">
        <v>258</v>
      </c>
      <c r="J23" s="56" t="s">
        <v>258</v>
      </c>
      <c r="K23" s="56" t="s">
        <v>230</v>
      </c>
      <c r="L23" s="56" t="s">
        <v>258</v>
      </c>
      <c r="M23" s="56" t="s">
        <v>254</v>
      </c>
      <c r="N23" s="51" t="s">
        <v>257</v>
      </c>
      <c r="O23" s="51" t="s">
        <v>257</v>
      </c>
      <c r="P23" s="51" t="s">
        <v>257</v>
      </c>
      <c r="Q23" s="98" t="s">
        <v>144</v>
      </c>
      <c r="R23" s="98" t="s">
        <v>253</v>
      </c>
      <c r="S23" s="51" t="s">
        <v>230</v>
      </c>
      <c r="T23" s="51" t="s">
        <v>256</v>
      </c>
      <c r="U23" s="51" t="s">
        <v>254</v>
      </c>
      <c r="V23" s="51" t="s">
        <v>257</v>
      </c>
      <c r="W23" s="51" t="s">
        <v>257</v>
      </c>
      <c r="X23" s="51" t="s">
        <v>257</v>
      </c>
      <c r="Y23" s="56" t="s">
        <v>253</v>
      </c>
      <c r="Z23" s="56" t="s">
        <v>229</v>
      </c>
      <c r="AA23" s="56" t="s">
        <v>230</v>
      </c>
      <c r="AB23" s="56" t="s">
        <v>230</v>
      </c>
      <c r="AC23" s="56" t="s">
        <v>254</v>
      </c>
      <c r="AD23" s="56" t="s">
        <v>257</v>
      </c>
      <c r="AE23" s="56" t="s">
        <v>257</v>
      </c>
      <c r="AF23" s="56" t="s">
        <v>257</v>
      </c>
      <c r="AG23" s="56" t="s">
        <v>258</v>
      </c>
      <c r="AH23" s="56" t="s">
        <v>258</v>
      </c>
      <c r="AI23" s="56" t="s">
        <v>258</v>
      </c>
      <c r="AJ23" s="56" t="s">
        <v>258</v>
      </c>
      <c r="AL23" s="50">
        <f t="shared" si="10"/>
        <v>3</v>
      </c>
      <c r="AM23" s="50">
        <f t="shared" si="11"/>
        <v>1</v>
      </c>
      <c r="AN23" s="50">
        <f t="shared" si="12"/>
        <v>4</v>
      </c>
      <c r="AO23" s="50">
        <f t="shared" si="13"/>
        <v>3</v>
      </c>
      <c r="AP23" s="50">
        <f t="shared" si="14"/>
        <v>12</v>
      </c>
    </row>
    <row r="24" spans="2:42" ht="18.75" x14ac:dyDescent="0.25">
      <c r="B24" s="41" t="s">
        <v>247</v>
      </c>
      <c r="C24" s="145" t="s">
        <v>145</v>
      </c>
      <c r="D24" s="181"/>
      <c r="E24" s="97"/>
      <c r="F24" s="51" t="s">
        <v>257</v>
      </c>
      <c r="G24" s="51" t="s">
        <v>257</v>
      </c>
      <c r="H24" s="56" t="s">
        <v>229</v>
      </c>
      <c r="I24" s="98" t="s">
        <v>229</v>
      </c>
      <c r="J24" s="51" t="s">
        <v>229</v>
      </c>
      <c r="K24" s="51" t="s">
        <v>144</v>
      </c>
      <c r="L24" s="51" t="s">
        <v>254</v>
      </c>
      <c r="M24" s="51" t="s">
        <v>257</v>
      </c>
      <c r="N24" s="51" t="s">
        <v>257</v>
      </c>
      <c r="O24" s="51" t="s">
        <v>257</v>
      </c>
      <c r="P24" s="56" t="s">
        <v>253</v>
      </c>
      <c r="Q24" s="51" t="s">
        <v>229</v>
      </c>
      <c r="R24" s="51" t="s">
        <v>255</v>
      </c>
      <c r="S24" s="51" t="s">
        <v>254</v>
      </c>
      <c r="T24" s="51" t="s">
        <v>254</v>
      </c>
      <c r="U24" s="51" t="s">
        <v>257</v>
      </c>
      <c r="V24" s="51" t="s">
        <v>257</v>
      </c>
      <c r="W24" s="51" t="s">
        <v>257</v>
      </c>
      <c r="X24" s="56" t="s">
        <v>253</v>
      </c>
      <c r="Y24" s="98" t="s">
        <v>229</v>
      </c>
      <c r="Z24" s="98" t="s">
        <v>230</v>
      </c>
      <c r="AA24" s="51" t="s">
        <v>230</v>
      </c>
      <c r="AB24" s="51" t="s">
        <v>254</v>
      </c>
      <c r="AC24" s="51" t="s">
        <v>257</v>
      </c>
      <c r="AD24" s="51" t="s">
        <v>257</v>
      </c>
      <c r="AE24" s="51" t="s">
        <v>257</v>
      </c>
      <c r="AF24" s="56" t="s">
        <v>229</v>
      </c>
      <c r="AG24" s="98" t="s">
        <v>229</v>
      </c>
      <c r="AH24" s="51" t="s">
        <v>230</v>
      </c>
      <c r="AI24" s="51" t="s">
        <v>230</v>
      </c>
      <c r="AJ24" s="51" t="s">
        <v>254</v>
      </c>
      <c r="AL24" s="50">
        <f t="shared" si="10"/>
        <v>3</v>
      </c>
      <c r="AM24" s="50">
        <f t="shared" si="11"/>
        <v>7</v>
      </c>
      <c r="AN24" s="50">
        <f t="shared" si="12"/>
        <v>4</v>
      </c>
      <c r="AO24" s="50">
        <f t="shared" si="13"/>
        <v>5</v>
      </c>
      <c r="AP24" s="50">
        <f t="shared" si="14"/>
        <v>11</v>
      </c>
    </row>
    <row r="25" spans="2:42" ht="18.75" x14ac:dyDescent="0.25">
      <c r="B25" s="41" t="s">
        <v>247</v>
      </c>
      <c r="C25" s="145" t="s">
        <v>147</v>
      </c>
      <c r="D25" s="181"/>
      <c r="E25" s="97"/>
      <c r="F25" s="51" t="s">
        <v>257</v>
      </c>
      <c r="G25" s="56" t="s">
        <v>229</v>
      </c>
      <c r="H25" s="98" t="s">
        <v>229</v>
      </c>
      <c r="I25" s="51" t="s">
        <v>230</v>
      </c>
      <c r="J25" s="51" t="s">
        <v>230</v>
      </c>
      <c r="K25" s="51" t="s">
        <v>254</v>
      </c>
      <c r="L25" s="51" t="s">
        <v>257</v>
      </c>
      <c r="M25" s="51" t="s">
        <v>257</v>
      </c>
      <c r="N25" s="51" t="s">
        <v>257</v>
      </c>
      <c r="O25" s="56" t="s">
        <v>229</v>
      </c>
      <c r="P25" s="98" t="s">
        <v>253</v>
      </c>
      <c r="Q25" s="51" t="s">
        <v>230</v>
      </c>
      <c r="R25" s="51" t="s">
        <v>230</v>
      </c>
      <c r="S25" s="51" t="s">
        <v>144</v>
      </c>
      <c r="T25" s="51" t="s">
        <v>257</v>
      </c>
      <c r="U25" s="51" t="s">
        <v>257</v>
      </c>
      <c r="V25" s="51" t="s">
        <v>257</v>
      </c>
      <c r="W25" s="98" t="s">
        <v>229</v>
      </c>
      <c r="X25" s="98" t="s">
        <v>253</v>
      </c>
      <c r="Y25" s="98" t="s">
        <v>230</v>
      </c>
      <c r="Z25" s="51" t="s">
        <v>255</v>
      </c>
      <c r="AA25" s="51" t="s">
        <v>254</v>
      </c>
      <c r="AB25" s="51" t="s">
        <v>257</v>
      </c>
      <c r="AC25" s="51" t="s">
        <v>257</v>
      </c>
      <c r="AD25" s="51" t="s">
        <v>257</v>
      </c>
      <c r="AE25" s="56" t="s">
        <v>229</v>
      </c>
      <c r="AF25" s="98" t="s">
        <v>255</v>
      </c>
      <c r="AG25" s="51" t="s">
        <v>230</v>
      </c>
      <c r="AH25" s="51" t="s">
        <v>256</v>
      </c>
      <c r="AI25" s="51" t="s">
        <v>254</v>
      </c>
      <c r="AJ25" s="51" t="s">
        <v>257</v>
      </c>
      <c r="AL25" s="50">
        <f t="shared" si="10"/>
        <v>5</v>
      </c>
      <c r="AM25" s="50">
        <f t="shared" si="11"/>
        <v>5</v>
      </c>
      <c r="AN25" s="50">
        <f t="shared" si="12"/>
        <v>6</v>
      </c>
      <c r="AO25" s="50">
        <f t="shared" si="13"/>
        <v>3</v>
      </c>
      <c r="AP25" s="50">
        <f t="shared" si="14"/>
        <v>11</v>
      </c>
    </row>
    <row r="26" spans="2:42" ht="18.75" x14ac:dyDescent="0.25">
      <c r="B26" s="41" t="s">
        <v>247</v>
      </c>
      <c r="C26" s="145" t="s">
        <v>170</v>
      </c>
      <c r="D26" s="181"/>
      <c r="E26" s="97"/>
      <c r="F26" s="56" t="s">
        <v>258</v>
      </c>
      <c r="G26" s="98" t="s">
        <v>258</v>
      </c>
      <c r="H26" s="51" t="s">
        <v>230</v>
      </c>
      <c r="I26" s="51" t="s">
        <v>256</v>
      </c>
      <c r="J26" s="51" t="s">
        <v>256</v>
      </c>
      <c r="K26" s="51" t="s">
        <v>257</v>
      </c>
      <c r="L26" s="51" t="s">
        <v>257</v>
      </c>
      <c r="M26" s="51" t="s">
        <v>257</v>
      </c>
      <c r="N26" s="56" t="s">
        <v>229</v>
      </c>
      <c r="O26" s="98" t="s">
        <v>229</v>
      </c>
      <c r="P26" s="51" t="s">
        <v>230</v>
      </c>
      <c r="Q26" s="51" t="s">
        <v>144</v>
      </c>
      <c r="R26" s="51" t="s">
        <v>254</v>
      </c>
      <c r="S26" s="51" t="s">
        <v>257</v>
      </c>
      <c r="T26" s="51" t="s">
        <v>257</v>
      </c>
      <c r="U26" s="51" t="s">
        <v>257</v>
      </c>
      <c r="V26" s="56" t="s">
        <v>229</v>
      </c>
      <c r="W26" s="56" t="s">
        <v>253</v>
      </c>
      <c r="X26" s="56" t="s">
        <v>230</v>
      </c>
      <c r="Y26" s="56" t="s">
        <v>230</v>
      </c>
      <c r="Z26" s="56" t="s">
        <v>254</v>
      </c>
      <c r="AA26" s="51" t="s">
        <v>257</v>
      </c>
      <c r="AB26" s="51" t="s">
        <v>257</v>
      </c>
      <c r="AC26" s="51" t="s">
        <v>257</v>
      </c>
      <c r="AD26" s="56" t="s">
        <v>229</v>
      </c>
      <c r="AE26" s="98" t="s">
        <v>255</v>
      </c>
      <c r="AF26" s="51" t="s">
        <v>230</v>
      </c>
      <c r="AG26" s="51" t="s">
        <v>256</v>
      </c>
      <c r="AH26" s="51" t="s">
        <v>254</v>
      </c>
      <c r="AI26" s="51" t="s">
        <v>257</v>
      </c>
      <c r="AJ26" s="51" t="s">
        <v>257</v>
      </c>
      <c r="AL26" s="50">
        <f t="shared" si="10"/>
        <v>5</v>
      </c>
      <c r="AM26" s="50">
        <f t="shared" si="11"/>
        <v>4</v>
      </c>
      <c r="AN26" s="50">
        <f t="shared" si="12"/>
        <v>5</v>
      </c>
      <c r="AO26" s="50">
        <f t="shared" si="13"/>
        <v>3</v>
      </c>
      <c r="AP26" s="50">
        <f t="shared" si="14"/>
        <v>11</v>
      </c>
    </row>
    <row r="27" spans="2:42" ht="18.75" x14ac:dyDescent="0.25">
      <c r="B27" s="41" t="s">
        <v>247</v>
      </c>
      <c r="C27" s="145" t="s">
        <v>222</v>
      </c>
      <c r="D27" s="181"/>
      <c r="E27" s="97"/>
      <c r="F27" s="98" t="s">
        <v>258</v>
      </c>
      <c r="G27" s="98" t="s">
        <v>258</v>
      </c>
      <c r="H27" s="98" t="s">
        <v>258</v>
      </c>
      <c r="I27" s="98" t="s">
        <v>258</v>
      </c>
      <c r="J27" s="98" t="s">
        <v>258</v>
      </c>
      <c r="K27" s="98" t="s">
        <v>258</v>
      </c>
      <c r="L27" s="98" t="s">
        <v>258</v>
      </c>
      <c r="M27" s="98" t="s">
        <v>258</v>
      </c>
      <c r="N27" s="98" t="s">
        <v>258</v>
      </c>
      <c r="O27" s="98" t="s">
        <v>258</v>
      </c>
      <c r="P27" s="98" t="s">
        <v>258</v>
      </c>
      <c r="Q27" s="98" t="s">
        <v>258</v>
      </c>
      <c r="R27" s="98" t="s">
        <v>258</v>
      </c>
      <c r="S27" s="51" t="s">
        <v>257</v>
      </c>
      <c r="T27" s="51" t="s">
        <v>257</v>
      </c>
      <c r="U27" s="56" t="s">
        <v>229</v>
      </c>
      <c r="V27" s="98" t="s">
        <v>230</v>
      </c>
      <c r="W27" s="51" t="s">
        <v>230</v>
      </c>
      <c r="X27" s="51" t="s">
        <v>256</v>
      </c>
      <c r="Y27" s="51" t="s">
        <v>254</v>
      </c>
      <c r="Z27" s="51" t="s">
        <v>257</v>
      </c>
      <c r="AA27" s="51" t="s">
        <v>257</v>
      </c>
      <c r="AB27" s="51" t="s">
        <v>257</v>
      </c>
      <c r="AC27" s="98" t="s">
        <v>229</v>
      </c>
      <c r="AD27" s="98" t="s">
        <v>253</v>
      </c>
      <c r="AE27" s="51" t="s">
        <v>230</v>
      </c>
      <c r="AF27" s="51" t="s">
        <v>256</v>
      </c>
      <c r="AG27" s="51" t="s">
        <v>254</v>
      </c>
      <c r="AH27" s="51" t="s">
        <v>257</v>
      </c>
      <c r="AI27" s="51" t="s">
        <v>257</v>
      </c>
      <c r="AJ27" s="51" t="s">
        <v>257</v>
      </c>
      <c r="AL27" s="50">
        <f t="shared" si="10"/>
        <v>3</v>
      </c>
      <c r="AM27" s="50">
        <f t="shared" si="11"/>
        <v>2</v>
      </c>
      <c r="AN27" s="50">
        <f t="shared" si="12"/>
        <v>3</v>
      </c>
      <c r="AO27" s="50">
        <f t="shared" si="13"/>
        <v>2</v>
      </c>
      <c r="AP27" s="50">
        <f t="shared" si="14"/>
        <v>8</v>
      </c>
    </row>
    <row r="28" spans="2:42" ht="18.75" x14ac:dyDescent="0.25">
      <c r="B28" s="41" t="s">
        <v>247</v>
      </c>
      <c r="C28" s="145" t="s">
        <v>223</v>
      </c>
      <c r="D28" s="181"/>
      <c r="E28" s="97"/>
      <c r="F28" s="51" t="s">
        <v>230</v>
      </c>
      <c r="G28" s="51" t="s">
        <v>230</v>
      </c>
      <c r="H28" s="51" t="s">
        <v>256</v>
      </c>
      <c r="I28" s="51" t="s">
        <v>257</v>
      </c>
      <c r="J28" s="51" t="s">
        <v>257</v>
      </c>
      <c r="K28" s="51" t="s">
        <v>257</v>
      </c>
      <c r="L28" s="98" t="s">
        <v>258</v>
      </c>
      <c r="M28" s="98" t="s">
        <v>258</v>
      </c>
      <c r="N28" s="51" t="s">
        <v>258</v>
      </c>
      <c r="O28" s="51" t="s">
        <v>258</v>
      </c>
      <c r="P28" s="51" t="s">
        <v>258</v>
      </c>
      <c r="Q28" s="51" t="s">
        <v>257</v>
      </c>
      <c r="R28" s="51" t="s">
        <v>257</v>
      </c>
      <c r="S28" s="51" t="s">
        <v>257</v>
      </c>
      <c r="T28" s="56" t="s">
        <v>229</v>
      </c>
      <c r="U28" s="98" t="s">
        <v>230</v>
      </c>
      <c r="V28" s="51" t="s">
        <v>254</v>
      </c>
      <c r="W28" s="51" t="s">
        <v>254</v>
      </c>
      <c r="X28" s="51" t="s">
        <v>254</v>
      </c>
      <c r="Y28" s="51" t="s">
        <v>257</v>
      </c>
      <c r="Z28" s="51" t="s">
        <v>257</v>
      </c>
      <c r="AA28" s="51" t="s">
        <v>257</v>
      </c>
      <c r="AB28" s="98" t="s">
        <v>229</v>
      </c>
      <c r="AC28" s="98" t="s">
        <v>230</v>
      </c>
      <c r="AD28" s="51" t="s">
        <v>230</v>
      </c>
      <c r="AE28" s="51" t="s">
        <v>254</v>
      </c>
      <c r="AF28" s="51" t="s">
        <v>254</v>
      </c>
      <c r="AG28" s="51" t="s">
        <v>257</v>
      </c>
      <c r="AH28" s="51" t="s">
        <v>257</v>
      </c>
      <c r="AI28" s="51" t="s">
        <v>257</v>
      </c>
      <c r="AJ28" s="98" t="s">
        <v>229</v>
      </c>
      <c r="AL28" s="50">
        <f t="shared" si="10"/>
        <v>1</v>
      </c>
      <c r="AM28" s="50">
        <f t="shared" si="11"/>
        <v>3</v>
      </c>
      <c r="AN28" s="50">
        <f t="shared" si="12"/>
        <v>5</v>
      </c>
      <c r="AO28" s="50">
        <f t="shared" si="13"/>
        <v>5</v>
      </c>
      <c r="AP28" s="50">
        <f t="shared" si="14"/>
        <v>12</v>
      </c>
    </row>
    <row r="29" spans="2:42" ht="19.5" thickBot="1" x14ac:dyDescent="0.3">
      <c r="B29" s="41" t="s">
        <v>247</v>
      </c>
      <c r="C29" s="182" t="s">
        <v>224</v>
      </c>
      <c r="D29" s="183"/>
      <c r="E29" s="97"/>
      <c r="F29" s="64" t="s">
        <v>254</v>
      </c>
      <c r="G29" s="64" t="s">
        <v>254</v>
      </c>
      <c r="H29" s="64" t="s">
        <v>257</v>
      </c>
      <c r="I29" s="64" t="s">
        <v>257</v>
      </c>
      <c r="J29" s="64" t="s">
        <v>257</v>
      </c>
      <c r="K29" s="265" t="s">
        <v>271</v>
      </c>
      <c r="L29" s="265" t="s">
        <v>271</v>
      </c>
      <c r="M29" s="265" t="s">
        <v>271</v>
      </c>
      <c r="N29" s="265" t="s">
        <v>271</v>
      </c>
      <c r="O29" s="265" t="s">
        <v>271</v>
      </c>
      <c r="P29" s="265" t="s">
        <v>271</v>
      </c>
      <c r="Q29" s="265" t="s">
        <v>271</v>
      </c>
      <c r="R29" s="265" t="s">
        <v>271</v>
      </c>
      <c r="S29" s="265" t="s">
        <v>271</v>
      </c>
      <c r="T29" s="265" t="s">
        <v>271</v>
      </c>
      <c r="U29" s="265" t="s">
        <v>271</v>
      </c>
      <c r="V29" s="265" t="s">
        <v>271</v>
      </c>
      <c r="W29" s="265" t="s">
        <v>271</v>
      </c>
      <c r="X29" s="265" t="s">
        <v>271</v>
      </c>
      <c r="Y29" s="265" t="s">
        <v>271</v>
      </c>
      <c r="Z29" s="265" t="s">
        <v>271</v>
      </c>
      <c r="AA29" s="265" t="s">
        <v>271</v>
      </c>
      <c r="AB29" s="265" t="s">
        <v>271</v>
      </c>
      <c r="AC29" s="265" t="s">
        <v>271</v>
      </c>
      <c r="AD29" s="265" t="s">
        <v>271</v>
      </c>
      <c r="AE29" s="265" t="s">
        <v>271</v>
      </c>
      <c r="AF29" s="265" t="s">
        <v>271</v>
      </c>
      <c r="AG29" s="265" t="s">
        <v>271</v>
      </c>
      <c r="AH29" s="265" t="s">
        <v>271</v>
      </c>
      <c r="AI29" s="265" t="s">
        <v>271</v>
      </c>
      <c r="AJ29" s="265" t="s">
        <v>271</v>
      </c>
      <c r="AL29" s="50">
        <f t="shared" si="10"/>
        <v>0</v>
      </c>
      <c r="AM29" s="50">
        <f t="shared" si="11"/>
        <v>0</v>
      </c>
      <c r="AN29" s="50">
        <f t="shared" si="12"/>
        <v>0</v>
      </c>
      <c r="AO29" s="50">
        <f t="shared" si="13"/>
        <v>2</v>
      </c>
      <c r="AP29" s="50">
        <f t="shared" si="14"/>
        <v>3</v>
      </c>
    </row>
    <row r="30" spans="2:42" ht="18.75" x14ac:dyDescent="0.25">
      <c r="B30" s="37" t="s">
        <v>248</v>
      </c>
      <c r="C30" s="149" t="s">
        <v>146</v>
      </c>
      <c r="D30" s="149"/>
      <c r="E30" s="69"/>
      <c r="F30" s="44" t="s">
        <v>257</v>
      </c>
      <c r="G30" s="44" t="s">
        <v>257</v>
      </c>
      <c r="H30" s="44" t="s">
        <v>229</v>
      </c>
      <c r="I30" s="44" t="s">
        <v>229</v>
      </c>
      <c r="J30" s="44" t="s">
        <v>230</v>
      </c>
      <c r="K30" s="44" t="s">
        <v>230</v>
      </c>
      <c r="L30" s="44" t="s">
        <v>254</v>
      </c>
      <c r="M30" s="44" t="s">
        <v>257</v>
      </c>
      <c r="N30" s="44" t="s">
        <v>257</v>
      </c>
      <c r="O30" s="44" t="s">
        <v>257</v>
      </c>
      <c r="P30" s="44" t="s">
        <v>229</v>
      </c>
      <c r="Q30" s="44" t="s">
        <v>229</v>
      </c>
      <c r="R30" s="44" t="s">
        <v>230</v>
      </c>
      <c r="S30" s="44" t="s">
        <v>254</v>
      </c>
      <c r="T30" s="44" t="s">
        <v>254</v>
      </c>
      <c r="U30" s="44" t="s">
        <v>257</v>
      </c>
      <c r="V30" s="44" t="s">
        <v>257</v>
      </c>
      <c r="W30" s="44" t="s">
        <v>257</v>
      </c>
      <c r="X30" s="44" t="s">
        <v>229</v>
      </c>
      <c r="Y30" s="44" t="s">
        <v>230</v>
      </c>
      <c r="Z30" s="44" t="s">
        <v>230</v>
      </c>
      <c r="AA30" s="44" t="s">
        <v>254</v>
      </c>
      <c r="AB30" s="44" t="s">
        <v>254</v>
      </c>
      <c r="AC30" s="44" t="s">
        <v>257</v>
      </c>
      <c r="AD30" s="44" t="s">
        <v>257</v>
      </c>
      <c r="AE30" s="44" t="s">
        <v>257</v>
      </c>
      <c r="AF30" s="44" t="s">
        <v>258</v>
      </c>
      <c r="AG30" s="44" t="s">
        <v>258</v>
      </c>
      <c r="AH30" s="44" t="s">
        <v>258</v>
      </c>
      <c r="AI30" s="44" t="s">
        <v>258</v>
      </c>
      <c r="AJ30" s="44" t="s">
        <v>258</v>
      </c>
      <c r="AL30" s="50">
        <f t="shared" ref="AL30:AL65" si="15">COUNTIF($F30:$AJ30,"ST*")</f>
        <v>0</v>
      </c>
      <c r="AM30" s="50">
        <f t="shared" ref="AM30:AM65" si="16">COUNTIF($F30:$AJ30,"M*")</f>
        <v>5</v>
      </c>
      <c r="AN30" s="50">
        <f t="shared" ref="AN30:AN65" si="17">COUNTIF($F30:$AJ30,"A*")</f>
        <v>5</v>
      </c>
      <c r="AO30" s="50">
        <f t="shared" ref="AO30:AO65" si="18">COUNTIF($F30:$AJ30,"N*")</f>
        <v>5</v>
      </c>
      <c r="AP30" s="50">
        <f t="shared" ref="AP30:AP65" si="19">COUNTIF($F30:$AJ30,"O*")</f>
        <v>11</v>
      </c>
    </row>
    <row r="31" spans="2:42" ht="18.75" x14ac:dyDescent="0.25">
      <c r="B31" s="37" t="s">
        <v>248</v>
      </c>
      <c r="C31" s="149" t="s">
        <v>149</v>
      </c>
      <c r="D31" s="149"/>
      <c r="F31" s="51" t="s">
        <v>229</v>
      </c>
      <c r="G31" s="51" t="s">
        <v>230</v>
      </c>
      <c r="H31" s="51" t="s">
        <v>254</v>
      </c>
      <c r="I31" s="51" t="s">
        <v>254</v>
      </c>
      <c r="J31" s="51" t="s">
        <v>257</v>
      </c>
      <c r="K31" s="51" t="s">
        <v>257</v>
      </c>
      <c r="L31" s="51" t="s">
        <v>257</v>
      </c>
      <c r="M31" s="51" t="s">
        <v>229</v>
      </c>
      <c r="N31" s="51" t="s">
        <v>229</v>
      </c>
      <c r="O31" s="51" t="s">
        <v>230</v>
      </c>
      <c r="P31" s="51" t="s">
        <v>254</v>
      </c>
      <c r="Q31" s="51" t="s">
        <v>254</v>
      </c>
      <c r="R31" s="51" t="s">
        <v>257</v>
      </c>
      <c r="S31" s="51" t="s">
        <v>257</v>
      </c>
      <c r="T31" s="51" t="s">
        <v>257</v>
      </c>
      <c r="U31" s="51" t="s">
        <v>229</v>
      </c>
      <c r="V31" s="51" t="s">
        <v>229</v>
      </c>
      <c r="W31" s="51" t="s">
        <v>230</v>
      </c>
      <c r="X31" s="51" t="s">
        <v>254</v>
      </c>
      <c r="Y31" s="51" t="s">
        <v>254</v>
      </c>
      <c r="Z31" s="51" t="s">
        <v>257</v>
      </c>
      <c r="AA31" s="51" t="s">
        <v>257</v>
      </c>
      <c r="AB31" s="51" t="s">
        <v>257</v>
      </c>
      <c r="AC31" s="51" t="s">
        <v>229</v>
      </c>
      <c r="AD31" s="51" t="s">
        <v>229</v>
      </c>
      <c r="AE31" s="51" t="s">
        <v>229</v>
      </c>
      <c r="AF31" s="51" t="s">
        <v>230</v>
      </c>
      <c r="AG31" s="51" t="s">
        <v>254</v>
      </c>
      <c r="AH31" s="51" t="s">
        <v>257</v>
      </c>
      <c r="AI31" s="51" t="s">
        <v>257</v>
      </c>
      <c r="AJ31" s="51" t="s">
        <v>257</v>
      </c>
      <c r="AL31" s="50">
        <f t="shared" si="15"/>
        <v>0</v>
      </c>
      <c r="AM31" s="50">
        <f t="shared" si="16"/>
        <v>8</v>
      </c>
      <c r="AN31" s="50">
        <f t="shared" si="17"/>
        <v>4</v>
      </c>
      <c r="AO31" s="50">
        <f t="shared" si="18"/>
        <v>7</v>
      </c>
      <c r="AP31" s="50">
        <f t="shared" si="19"/>
        <v>12</v>
      </c>
    </row>
    <row r="32" spans="2:42" ht="18.75" x14ac:dyDescent="0.25">
      <c r="B32" s="37" t="s">
        <v>248</v>
      </c>
      <c r="C32" s="149" t="s">
        <v>150</v>
      </c>
      <c r="D32" s="149"/>
      <c r="F32" s="51" t="s">
        <v>230</v>
      </c>
      <c r="G32" s="51" t="s">
        <v>254</v>
      </c>
      <c r="H32" s="51" t="s">
        <v>254</v>
      </c>
      <c r="I32" s="51" t="s">
        <v>257</v>
      </c>
      <c r="J32" s="51" t="s">
        <v>257</v>
      </c>
      <c r="K32" s="51" t="s">
        <v>257</v>
      </c>
      <c r="L32" s="51" t="s">
        <v>229</v>
      </c>
      <c r="M32" s="51" t="s">
        <v>230</v>
      </c>
      <c r="N32" s="51" t="s">
        <v>230</v>
      </c>
      <c r="O32" s="51" t="s">
        <v>254</v>
      </c>
      <c r="P32" s="51" t="s">
        <v>254</v>
      </c>
      <c r="Q32" s="51" t="s">
        <v>257</v>
      </c>
      <c r="R32" s="51" t="s">
        <v>257</v>
      </c>
      <c r="S32" s="51" t="s">
        <v>257</v>
      </c>
      <c r="T32" s="51" t="s">
        <v>229</v>
      </c>
      <c r="U32" s="51" t="s">
        <v>229</v>
      </c>
      <c r="V32" s="51" t="s">
        <v>230</v>
      </c>
      <c r="W32" s="51" t="s">
        <v>254</v>
      </c>
      <c r="X32" s="51" t="s">
        <v>254</v>
      </c>
      <c r="Y32" s="51" t="s">
        <v>257</v>
      </c>
      <c r="Z32" s="51" t="s">
        <v>257</v>
      </c>
      <c r="AA32" s="51" t="s">
        <v>257</v>
      </c>
      <c r="AB32" s="51" t="s">
        <v>229</v>
      </c>
      <c r="AC32" s="51" t="s">
        <v>229</v>
      </c>
      <c r="AD32" s="51" t="s">
        <v>230</v>
      </c>
      <c r="AE32" s="51" t="s">
        <v>230</v>
      </c>
      <c r="AF32" s="51" t="s">
        <v>254</v>
      </c>
      <c r="AG32" s="51" t="s">
        <v>257</v>
      </c>
      <c r="AH32" s="51" t="s">
        <v>257</v>
      </c>
      <c r="AI32" s="51" t="s">
        <v>257</v>
      </c>
      <c r="AJ32" s="51" t="s">
        <v>229</v>
      </c>
      <c r="AL32" s="50">
        <f t="shared" si="15"/>
        <v>0</v>
      </c>
      <c r="AM32" s="50">
        <f t="shared" si="16"/>
        <v>6</v>
      </c>
      <c r="AN32" s="50">
        <f t="shared" si="17"/>
        <v>6</v>
      </c>
      <c r="AO32" s="50">
        <f t="shared" si="18"/>
        <v>7</v>
      </c>
      <c r="AP32" s="50">
        <f t="shared" si="19"/>
        <v>12</v>
      </c>
    </row>
    <row r="33" spans="2:42" ht="18.75" x14ac:dyDescent="0.25">
      <c r="B33" s="37" t="s">
        <v>248</v>
      </c>
      <c r="C33" s="149" t="s">
        <v>151</v>
      </c>
      <c r="D33" s="149"/>
      <c r="F33" s="51" t="s">
        <v>254</v>
      </c>
      <c r="G33" s="51" t="s">
        <v>254</v>
      </c>
      <c r="H33" s="51" t="s">
        <v>257</v>
      </c>
      <c r="I33" s="51" t="s">
        <v>257</v>
      </c>
      <c r="J33" s="51" t="s">
        <v>257</v>
      </c>
      <c r="K33" s="56" t="s">
        <v>258</v>
      </c>
      <c r="L33" s="56" t="s">
        <v>258</v>
      </c>
      <c r="M33" s="56" t="s">
        <v>258</v>
      </c>
      <c r="N33" s="56" t="s">
        <v>258</v>
      </c>
      <c r="O33" s="56" t="s">
        <v>258</v>
      </c>
      <c r="P33" s="56" t="s">
        <v>258</v>
      </c>
      <c r="Q33" s="56" t="s">
        <v>257</v>
      </c>
      <c r="R33" s="56" t="s">
        <v>257</v>
      </c>
      <c r="S33" s="51" t="s">
        <v>229</v>
      </c>
      <c r="T33" s="51" t="s">
        <v>229</v>
      </c>
      <c r="U33" s="51" t="s">
        <v>230</v>
      </c>
      <c r="V33" s="51" t="s">
        <v>230</v>
      </c>
      <c r="W33" s="51" t="s">
        <v>254</v>
      </c>
      <c r="X33" s="51" t="s">
        <v>257</v>
      </c>
      <c r="Y33" s="51" t="s">
        <v>257</v>
      </c>
      <c r="Z33" s="51" t="s">
        <v>257</v>
      </c>
      <c r="AA33" s="51" t="s">
        <v>229</v>
      </c>
      <c r="AB33" s="51" t="s">
        <v>253</v>
      </c>
      <c r="AC33" s="51" t="s">
        <v>230</v>
      </c>
      <c r="AD33" s="51" t="s">
        <v>254</v>
      </c>
      <c r="AE33" s="51" t="s">
        <v>254</v>
      </c>
      <c r="AF33" s="51" t="s">
        <v>257</v>
      </c>
      <c r="AG33" s="51" t="s">
        <v>257</v>
      </c>
      <c r="AH33" s="51" t="s">
        <v>257</v>
      </c>
      <c r="AI33" s="56" t="s">
        <v>229</v>
      </c>
      <c r="AJ33" s="56" t="s">
        <v>230</v>
      </c>
      <c r="AL33" s="50">
        <f t="shared" si="15"/>
        <v>1</v>
      </c>
      <c r="AM33" s="50">
        <f t="shared" si="16"/>
        <v>4</v>
      </c>
      <c r="AN33" s="50">
        <f t="shared" si="17"/>
        <v>4</v>
      </c>
      <c r="AO33" s="50">
        <f t="shared" si="18"/>
        <v>5</v>
      </c>
      <c r="AP33" s="50">
        <f t="shared" si="19"/>
        <v>11</v>
      </c>
    </row>
    <row r="34" spans="2:42" ht="18.75" x14ac:dyDescent="0.25">
      <c r="B34" s="37" t="s">
        <v>248</v>
      </c>
      <c r="C34" s="149" t="s">
        <v>152</v>
      </c>
      <c r="D34" s="149"/>
      <c r="F34" s="51" t="s">
        <v>254</v>
      </c>
      <c r="G34" s="51" t="s">
        <v>257</v>
      </c>
      <c r="H34" s="51" t="s">
        <v>257</v>
      </c>
      <c r="I34" s="51" t="s">
        <v>257</v>
      </c>
      <c r="J34" s="51" t="s">
        <v>229</v>
      </c>
      <c r="K34" s="51" t="s">
        <v>229</v>
      </c>
      <c r="L34" s="51" t="s">
        <v>230</v>
      </c>
      <c r="M34" s="51" t="s">
        <v>254</v>
      </c>
      <c r="N34" s="51" t="s">
        <v>254</v>
      </c>
      <c r="O34" s="51" t="s">
        <v>257</v>
      </c>
      <c r="P34" s="51" t="s">
        <v>257</v>
      </c>
      <c r="Q34" s="51" t="s">
        <v>257</v>
      </c>
      <c r="R34" s="51" t="s">
        <v>229</v>
      </c>
      <c r="S34" s="51" t="s">
        <v>230</v>
      </c>
      <c r="T34" s="51" t="s">
        <v>230</v>
      </c>
      <c r="U34" s="51" t="s">
        <v>254</v>
      </c>
      <c r="V34" s="51" t="s">
        <v>254</v>
      </c>
      <c r="W34" s="51" t="s">
        <v>257</v>
      </c>
      <c r="X34" s="51" t="s">
        <v>257</v>
      </c>
      <c r="Y34" s="51" t="s">
        <v>257</v>
      </c>
      <c r="Z34" s="51" t="s">
        <v>229</v>
      </c>
      <c r="AA34" s="51" t="s">
        <v>229</v>
      </c>
      <c r="AB34" s="51" t="s">
        <v>230</v>
      </c>
      <c r="AC34" s="51" t="s">
        <v>254</v>
      </c>
      <c r="AD34" s="51" t="s">
        <v>254</v>
      </c>
      <c r="AE34" s="51" t="s">
        <v>257</v>
      </c>
      <c r="AF34" s="51" t="s">
        <v>257</v>
      </c>
      <c r="AG34" s="51" t="s">
        <v>257</v>
      </c>
      <c r="AH34" s="51" t="s">
        <v>229</v>
      </c>
      <c r="AI34" s="51" t="s">
        <v>230</v>
      </c>
      <c r="AJ34" s="51" t="s">
        <v>230</v>
      </c>
      <c r="AL34" s="50">
        <f t="shared" si="15"/>
        <v>0</v>
      </c>
      <c r="AM34" s="50">
        <f t="shared" si="16"/>
        <v>6</v>
      </c>
      <c r="AN34" s="50">
        <f t="shared" si="17"/>
        <v>6</v>
      </c>
      <c r="AO34" s="50">
        <f t="shared" si="18"/>
        <v>7</v>
      </c>
      <c r="AP34" s="50">
        <f t="shared" si="19"/>
        <v>12</v>
      </c>
    </row>
    <row r="35" spans="2:42" ht="18.75" x14ac:dyDescent="0.25">
      <c r="B35" s="37" t="s">
        <v>248</v>
      </c>
      <c r="C35" s="149" t="s">
        <v>153</v>
      </c>
      <c r="D35" s="149"/>
      <c r="F35" s="51" t="s">
        <v>257</v>
      </c>
      <c r="G35" s="51" t="s">
        <v>257</v>
      </c>
      <c r="H35" s="51" t="s">
        <v>257</v>
      </c>
      <c r="I35" s="51" t="s">
        <v>229</v>
      </c>
      <c r="J35" s="51" t="s">
        <v>144</v>
      </c>
      <c r="K35" s="51" t="s">
        <v>230</v>
      </c>
      <c r="L35" s="51" t="s">
        <v>254</v>
      </c>
      <c r="M35" s="51" t="s">
        <v>254</v>
      </c>
      <c r="N35" s="51" t="s">
        <v>257</v>
      </c>
      <c r="O35" s="51" t="s">
        <v>257</v>
      </c>
      <c r="P35" s="51" t="s">
        <v>257</v>
      </c>
      <c r="Q35" s="51" t="s">
        <v>229</v>
      </c>
      <c r="R35" s="51" t="s">
        <v>230</v>
      </c>
      <c r="S35" s="51" t="s">
        <v>230</v>
      </c>
      <c r="T35" s="51" t="s">
        <v>254</v>
      </c>
      <c r="U35" s="51" t="s">
        <v>254</v>
      </c>
      <c r="V35" s="51" t="s">
        <v>257</v>
      </c>
      <c r="W35" s="51" t="s">
        <v>257</v>
      </c>
      <c r="X35" s="51" t="s">
        <v>257</v>
      </c>
      <c r="Y35" s="51" t="s">
        <v>229</v>
      </c>
      <c r="Z35" s="51" t="s">
        <v>230</v>
      </c>
      <c r="AA35" s="51" t="s">
        <v>230</v>
      </c>
      <c r="AB35" s="51" t="s">
        <v>254</v>
      </c>
      <c r="AC35" s="51" t="s">
        <v>254</v>
      </c>
      <c r="AD35" s="51" t="s">
        <v>257</v>
      </c>
      <c r="AE35" s="51" t="s">
        <v>257</v>
      </c>
      <c r="AF35" s="51" t="s">
        <v>257</v>
      </c>
      <c r="AG35" s="51" t="s">
        <v>229</v>
      </c>
      <c r="AH35" s="51" t="s">
        <v>230</v>
      </c>
      <c r="AI35" s="51" t="s">
        <v>230</v>
      </c>
      <c r="AJ35" s="51" t="s">
        <v>254</v>
      </c>
      <c r="AL35" s="50">
        <f t="shared" si="15"/>
        <v>0</v>
      </c>
      <c r="AM35" s="50">
        <f t="shared" si="16"/>
        <v>4</v>
      </c>
      <c r="AN35" s="50">
        <f t="shared" si="17"/>
        <v>7</v>
      </c>
      <c r="AO35" s="50">
        <f t="shared" si="18"/>
        <v>7</v>
      </c>
      <c r="AP35" s="50">
        <f t="shared" si="19"/>
        <v>12</v>
      </c>
    </row>
    <row r="36" spans="2:42" ht="18.75" x14ac:dyDescent="0.25">
      <c r="B36" s="37" t="s">
        <v>248</v>
      </c>
      <c r="C36" s="149" t="s">
        <v>154</v>
      </c>
      <c r="D36" s="149"/>
      <c r="F36" s="51" t="s">
        <v>257</v>
      </c>
      <c r="G36" s="51" t="s">
        <v>257</v>
      </c>
      <c r="H36" s="51" t="s">
        <v>229</v>
      </c>
      <c r="I36" s="51" t="s">
        <v>229</v>
      </c>
      <c r="J36" s="51" t="s">
        <v>230</v>
      </c>
      <c r="K36" s="51" t="s">
        <v>254</v>
      </c>
      <c r="L36" s="51" t="s">
        <v>254</v>
      </c>
      <c r="M36" s="51" t="s">
        <v>257</v>
      </c>
      <c r="N36" s="51" t="s">
        <v>257</v>
      </c>
      <c r="O36" s="51" t="s">
        <v>257</v>
      </c>
      <c r="P36" s="103" t="s">
        <v>229</v>
      </c>
      <c r="Q36" s="104" t="s">
        <v>144</v>
      </c>
      <c r="R36" s="104" t="s">
        <v>230</v>
      </c>
      <c r="S36" s="104" t="s">
        <v>254</v>
      </c>
      <c r="T36" s="104" t="s">
        <v>254</v>
      </c>
      <c r="U36" s="56" t="s">
        <v>257</v>
      </c>
      <c r="V36" s="57" t="s">
        <v>257</v>
      </c>
      <c r="W36" s="51" t="s">
        <v>257</v>
      </c>
      <c r="X36" s="51" t="s">
        <v>229</v>
      </c>
      <c r="Y36" s="51" t="s">
        <v>230</v>
      </c>
      <c r="Z36" s="51" t="s">
        <v>230</v>
      </c>
      <c r="AA36" s="51" t="s">
        <v>230</v>
      </c>
      <c r="AB36" s="51" t="s">
        <v>254</v>
      </c>
      <c r="AC36" s="51" t="s">
        <v>257</v>
      </c>
      <c r="AD36" s="51" t="s">
        <v>257</v>
      </c>
      <c r="AE36" s="51" t="s">
        <v>257</v>
      </c>
      <c r="AF36" s="51" t="s">
        <v>229</v>
      </c>
      <c r="AG36" s="51" t="s">
        <v>230</v>
      </c>
      <c r="AH36" s="51" t="s">
        <v>230</v>
      </c>
      <c r="AI36" s="51" t="s">
        <v>254</v>
      </c>
      <c r="AJ36" s="51" t="s">
        <v>254</v>
      </c>
      <c r="AL36" s="50">
        <f t="shared" si="15"/>
        <v>0</v>
      </c>
      <c r="AM36" s="50">
        <f t="shared" si="16"/>
        <v>5</v>
      </c>
      <c r="AN36" s="50">
        <f t="shared" si="17"/>
        <v>7</v>
      </c>
      <c r="AO36" s="50">
        <f t="shared" si="18"/>
        <v>7</v>
      </c>
      <c r="AP36" s="50">
        <f t="shared" si="19"/>
        <v>11</v>
      </c>
    </row>
    <row r="37" spans="2:42" ht="18.75" x14ac:dyDescent="0.25">
      <c r="B37" s="37" t="s">
        <v>248</v>
      </c>
      <c r="C37" s="149" t="s">
        <v>155</v>
      </c>
      <c r="D37" s="149"/>
      <c r="F37" s="51" t="s">
        <v>257</v>
      </c>
      <c r="G37" s="51" t="s">
        <v>258</v>
      </c>
      <c r="H37" s="51" t="s">
        <v>258</v>
      </c>
      <c r="I37" s="51" t="s">
        <v>258</v>
      </c>
      <c r="J37" s="51" t="s">
        <v>258</v>
      </c>
      <c r="K37" s="51" t="s">
        <v>258</v>
      </c>
      <c r="L37" s="51" t="s">
        <v>258</v>
      </c>
      <c r="M37" s="51" t="s">
        <v>257</v>
      </c>
      <c r="N37" s="51" t="s">
        <v>257</v>
      </c>
      <c r="O37" s="103" t="s">
        <v>229</v>
      </c>
      <c r="P37" s="104" t="s">
        <v>230</v>
      </c>
      <c r="Q37" s="104" t="s">
        <v>230</v>
      </c>
      <c r="R37" s="104" t="s">
        <v>254</v>
      </c>
      <c r="S37" s="104" t="s">
        <v>254</v>
      </c>
      <c r="T37" s="56" t="s">
        <v>257</v>
      </c>
      <c r="U37" s="56" t="s">
        <v>257</v>
      </c>
      <c r="V37" s="57" t="s">
        <v>257</v>
      </c>
      <c r="W37" s="51" t="s">
        <v>229</v>
      </c>
      <c r="X37" s="51" t="s">
        <v>230</v>
      </c>
      <c r="Y37" s="51" t="s">
        <v>254</v>
      </c>
      <c r="Z37" s="51" t="s">
        <v>254</v>
      </c>
      <c r="AA37" s="51" t="s">
        <v>254</v>
      </c>
      <c r="AB37" s="51" t="s">
        <v>257</v>
      </c>
      <c r="AC37" s="51" t="s">
        <v>257</v>
      </c>
      <c r="AD37" s="51" t="s">
        <v>257</v>
      </c>
      <c r="AE37" s="51" t="s">
        <v>229</v>
      </c>
      <c r="AF37" s="51" t="s">
        <v>230</v>
      </c>
      <c r="AG37" s="51" t="s">
        <v>230</v>
      </c>
      <c r="AH37" s="51" t="s">
        <v>254</v>
      </c>
      <c r="AI37" s="51" t="s">
        <v>254</v>
      </c>
      <c r="AJ37" s="51" t="s">
        <v>257</v>
      </c>
      <c r="AL37" s="50">
        <f t="shared" si="15"/>
        <v>0</v>
      </c>
      <c r="AM37" s="50">
        <f t="shared" si="16"/>
        <v>3</v>
      </c>
      <c r="AN37" s="50">
        <f t="shared" si="17"/>
        <v>5</v>
      </c>
      <c r="AO37" s="50">
        <f t="shared" si="18"/>
        <v>7</v>
      </c>
      <c r="AP37" s="50">
        <f t="shared" si="19"/>
        <v>10</v>
      </c>
    </row>
    <row r="38" spans="2:42" ht="18.75" x14ac:dyDescent="0.25">
      <c r="B38" s="37" t="s">
        <v>248</v>
      </c>
      <c r="C38" s="149" t="s">
        <v>156</v>
      </c>
      <c r="D38" s="149"/>
      <c r="F38" s="51" t="s">
        <v>229</v>
      </c>
      <c r="G38" s="51" t="s">
        <v>230</v>
      </c>
      <c r="H38" s="51" t="s">
        <v>230</v>
      </c>
      <c r="I38" s="51" t="s">
        <v>230</v>
      </c>
      <c r="J38" s="51" t="s">
        <v>254</v>
      </c>
      <c r="K38" s="51" t="s">
        <v>257</v>
      </c>
      <c r="L38" s="51" t="s">
        <v>257</v>
      </c>
      <c r="M38" s="51" t="s">
        <v>257</v>
      </c>
      <c r="N38" s="103" t="s">
        <v>229</v>
      </c>
      <c r="O38" s="104" t="s">
        <v>230</v>
      </c>
      <c r="P38" s="104" t="s">
        <v>230</v>
      </c>
      <c r="Q38" s="104" t="s">
        <v>254</v>
      </c>
      <c r="R38" s="104" t="s">
        <v>254</v>
      </c>
      <c r="S38" s="56" t="s">
        <v>257</v>
      </c>
      <c r="T38" s="56" t="s">
        <v>257</v>
      </c>
      <c r="U38" s="56" t="s">
        <v>257</v>
      </c>
      <c r="V38" s="51" t="s">
        <v>258</v>
      </c>
      <c r="W38" s="51" t="s">
        <v>258</v>
      </c>
      <c r="X38" s="51" t="s">
        <v>258</v>
      </c>
      <c r="Y38" s="51" t="s">
        <v>258</v>
      </c>
      <c r="Z38" s="51" t="s">
        <v>258</v>
      </c>
      <c r="AA38" s="51" t="s">
        <v>258</v>
      </c>
      <c r="AB38" s="51" t="s">
        <v>257</v>
      </c>
      <c r="AC38" s="51" t="s">
        <v>257</v>
      </c>
      <c r="AD38" s="51" t="s">
        <v>229</v>
      </c>
      <c r="AE38" s="51" t="s">
        <v>230</v>
      </c>
      <c r="AF38" s="51" t="s">
        <v>230</v>
      </c>
      <c r="AG38" s="51" t="s">
        <v>254</v>
      </c>
      <c r="AH38" s="51" t="s">
        <v>254</v>
      </c>
      <c r="AI38" s="51" t="s">
        <v>257</v>
      </c>
      <c r="AJ38" s="51" t="s">
        <v>257</v>
      </c>
      <c r="AL38" s="50">
        <f t="shared" si="15"/>
        <v>0</v>
      </c>
      <c r="AM38" s="50">
        <f t="shared" si="16"/>
        <v>3</v>
      </c>
      <c r="AN38" s="50">
        <f t="shared" si="17"/>
        <v>7</v>
      </c>
      <c r="AO38" s="50">
        <f t="shared" si="18"/>
        <v>5</v>
      </c>
      <c r="AP38" s="50">
        <f t="shared" si="19"/>
        <v>10</v>
      </c>
    </row>
    <row r="39" spans="2:42" ht="18.75" x14ac:dyDescent="0.25">
      <c r="B39" s="37" t="s">
        <v>248</v>
      </c>
      <c r="C39" s="149" t="s">
        <v>157</v>
      </c>
      <c r="D39" s="149"/>
      <c r="F39" s="51" t="s">
        <v>230</v>
      </c>
      <c r="G39" s="51" t="s">
        <v>230</v>
      </c>
      <c r="H39" s="51" t="s">
        <v>254</v>
      </c>
      <c r="I39" s="51" t="s">
        <v>254</v>
      </c>
      <c r="J39" s="51" t="s">
        <v>257</v>
      </c>
      <c r="K39" s="51" t="s">
        <v>257</v>
      </c>
      <c r="L39" s="51" t="s">
        <v>257</v>
      </c>
      <c r="M39" s="103" t="s">
        <v>229</v>
      </c>
      <c r="N39" s="104" t="s">
        <v>230</v>
      </c>
      <c r="O39" s="104" t="s">
        <v>230</v>
      </c>
      <c r="P39" s="104" t="s">
        <v>254</v>
      </c>
      <c r="Q39" s="104" t="s">
        <v>254</v>
      </c>
      <c r="R39" s="51" t="s">
        <v>257</v>
      </c>
      <c r="S39" s="51" t="s">
        <v>257</v>
      </c>
      <c r="T39" s="51" t="s">
        <v>257</v>
      </c>
      <c r="U39" s="51" t="s">
        <v>229</v>
      </c>
      <c r="V39" s="51" t="s">
        <v>229</v>
      </c>
      <c r="W39" s="51" t="s">
        <v>230</v>
      </c>
      <c r="X39" s="51" t="s">
        <v>230</v>
      </c>
      <c r="Y39" s="51" t="s">
        <v>254</v>
      </c>
      <c r="Z39" s="51" t="s">
        <v>257</v>
      </c>
      <c r="AA39" s="51" t="s">
        <v>257</v>
      </c>
      <c r="AB39" s="51" t="s">
        <v>257</v>
      </c>
      <c r="AC39" s="51" t="s">
        <v>229</v>
      </c>
      <c r="AD39" s="51" t="s">
        <v>229</v>
      </c>
      <c r="AE39" s="51" t="s">
        <v>230</v>
      </c>
      <c r="AF39" s="51" t="s">
        <v>254</v>
      </c>
      <c r="AG39" s="51" t="s">
        <v>254</v>
      </c>
      <c r="AH39" s="51" t="s">
        <v>257</v>
      </c>
      <c r="AI39" s="51" t="s">
        <v>257</v>
      </c>
      <c r="AJ39" s="51" t="s">
        <v>257</v>
      </c>
      <c r="AL39" s="50">
        <f t="shared" si="15"/>
        <v>0</v>
      </c>
      <c r="AM39" s="50">
        <f t="shared" si="16"/>
        <v>5</v>
      </c>
      <c r="AN39" s="50">
        <f t="shared" si="17"/>
        <v>7</v>
      </c>
      <c r="AO39" s="50">
        <f t="shared" si="18"/>
        <v>7</v>
      </c>
      <c r="AP39" s="50">
        <f t="shared" si="19"/>
        <v>12</v>
      </c>
    </row>
    <row r="40" spans="2:42" ht="18.75" x14ac:dyDescent="0.25">
      <c r="B40" s="37" t="s">
        <v>248</v>
      </c>
      <c r="C40" s="149" t="s">
        <v>158</v>
      </c>
      <c r="D40" s="149"/>
      <c r="F40" s="51" t="s">
        <v>258</v>
      </c>
      <c r="G40" s="51" t="s">
        <v>258</v>
      </c>
      <c r="H40" s="51" t="s">
        <v>258</v>
      </c>
      <c r="I40" s="51" t="s">
        <v>258</v>
      </c>
      <c r="J40" s="51" t="s">
        <v>258</v>
      </c>
      <c r="K40" s="51" t="s">
        <v>258</v>
      </c>
      <c r="L40" s="51" t="s">
        <v>258</v>
      </c>
      <c r="M40" s="51" t="s">
        <v>258</v>
      </c>
      <c r="N40" s="51" t="s">
        <v>258</v>
      </c>
      <c r="O40" s="51" t="s">
        <v>258</v>
      </c>
      <c r="P40" s="51" t="s">
        <v>258</v>
      </c>
      <c r="Q40" s="51" t="s">
        <v>258</v>
      </c>
      <c r="R40" s="51" t="s">
        <v>257</v>
      </c>
      <c r="S40" s="51" t="s">
        <v>257</v>
      </c>
      <c r="T40" s="51" t="s">
        <v>229</v>
      </c>
      <c r="U40" s="51" t="s">
        <v>229</v>
      </c>
      <c r="V40" s="130" t="s">
        <v>230</v>
      </c>
      <c r="W40" s="51" t="s">
        <v>230</v>
      </c>
      <c r="X40" s="51" t="s">
        <v>254</v>
      </c>
      <c r="Y40" s="51" t="s">
        <v>257</v>
      </c>
      <c r="Z40" s="51" t="s">
        <v>257</v>
      </c>
      <c r="AA40" s="51" t="s">
        <v>257</v>
      </c>
      <c r="AB40" s="51" t="s">
        <v>229</v>
      </c>
      <c r="AC40" s="51" t="s">
        <v>230</v>
      </c>
      <c r="AD40" s="51" t="s">
        <v>230</v>
      </c>
      <c r="AE40" s="51" t="s">
        <v>144</v>
      </c>
      <c r="AF40" s="51" t="s">
        <v>254</v>
      </c>
      <c r="AG40" s="51" t="s">
        <v>257</v>
      </c>
      <c r="AH40" s="51" t="s">
        <v>257</v>
      </c>
      <c r="AI40" s="51" t="s">
        <v>257</v>
      </c>
      <c r="AJ40" s="51" t="s">
        <v>229</v>
      </c>
      <c r="AL40" s="50">
        <f t="shared" si="15"/>
        <v>0</v>
      </c>
      <c r="AM40" s="50">
        <f t="shared" si="16"/>
        <v>4</v>
      </c>
      <c r="AN40" s="50">
        <f t="shared" si="17"/>
        <v>4</v>
      </c>
      <c r="AO40" s="50">
        <f t="shared" si="18"/>
        <v>2</v>
      </c>
      <c r="AP40" s="50">
        <f t="shared" si="19"/>
        <v>8</v>
      </c>
    </row>
    <row r="41" spans="2:42" ht="18.75" x14ac:dyDescent="0.25">
      <c r="B41" s="37" t="s">
        <v>248</v>
      </c>
      <c r="C41" s="149" t="s">
        <v>166</v>
      </c>
      <c r="D41" s="149"/>
      <c r="F41" s="51" t="s">
        <v>254</v>
      </c>
      <c r="G41" s="51" t="s">
        <v>254</v>
      </c>
      <c r="H41" s="51" t="s">
        <v>257</v>
      </c>
      <c r="I41" s="51" t="s">
        <v>257</v>
      </c>
      <c r="J41" s="51" t="s">
        <v>257</v>
      </c>
      <c r="K41" s="51" t="s">
        <v>229</v>
      </c>
      <c r="L41" s="51" t="s">
        <v>229</v>
      </c>
      <c r="M41" s="51" t="s">
        <v>230</v>
      </c>
      <c r="N41" s="51" t="s">
        <v>254</v>
      </c>
      <c r="O41" s="51" t="s">
        <v>254</v>
      </c>
      <c r="P41" s="51" t="s">
        <v>257</v>
      </c>
      <c r="Q41" s="51" t="s">
        <v>257</v>
      </c>
      <c r="R41" s="51" t="s">
        <v>257</v>
      </c>
      <c r="S41" s="51" t="s">
        <v>229</v>
      </c>
      <c r="T41" s="51" t="s">
        <v>230</v>
      </c>
      <c r="U41" s="51" t="s">
        <v>230</v>
      </c>
      <c r="V41" s="51" t="s">
        <v>254</v>
      </c>
      <c r="W41" s="51" t="s">
        <v>254</v>
      </c>
      <c r="X41" s="51" t="s">
        <v>257</v>
      </c>
      <c r="Y41" s="51" t="s">
        <v>257</v>
      </c>
      <c r="Z41" s="51" t="s">
        <v>257</v>
      </c>
      <c r="AA41" s="51" t="s">
        <v>229</v>
      </c>
      <c r="AB41" s="51" t="s">
        <v>230</v>
      </c>
      <c r="AC41" s="51" t="s">
        <v>230</v>
      </c>
      <c r="AD41" s="51" t="s">
        <v>254</v>
      </c>
      <c r="AE41" s="51" t="s">
        <v>254</v>
      </c>
      <c r="AF41" s="51" t="s">
        <v>257</v>
      </c>
      <c r="AG41" s="51" t="s">
        <v>257</v>
      </c>
      <c r="AH41" s="51" t="s">
        <v>257</v>
      </c>
      <c r="AI41" s="51" t="s">
        <v>258</v>
      </c>
      <c r="AJ41" s="51" t="s">
        <v>258</v>
      </c>
      <c r="AL41" s="50">
        <f t="shared" si="15"/>
        <v>0</v>
      </c>
      <c r="AM41" s="50">
        <f t="shared" si="16"/>
        <v>4</v>
      </c>
      <c r="AN41" s="50">
        <f t="shared" si="17"/>
        <v>5</v>
      </c>
      <c r="AO41" s="50">
        <f t="shared" si="18"/>
        <v>8</v>
      </c>
      <c r="AP41" s="50">
        <f t="shared" si="19"/>
        <v>12</v>
      </c>
    </row>
    <row r="42" spans="2:42" ht="18.75" x14ac:dyDescent="0.25">
      <c r="B42" s="37" t="s">
        <v>248</v>
      </c>
      <c r="C42" s="149" t="s">
        <v>159</v>
      </c>
      <c r="D42" s="149"/>
      <c r="F42" s="51" t="s">
        <v>254</v>
      </c>
      <c r="G42" s="51" t="s">
        <v>257</v>
      </c>
      <c r="H42" s="51" t="s">
        <v>257</v>
      </c>
      <c r="I42" s="51" t="s">
        <v>257</v>
      </c>
      <c r="J42" s="51" t="s">
        <v>144</v>
      </c>
      <c r="K42" s="51" t="s">
        <v>229</v>
      </c>
      <c r="L42" s="51" t="s">
        <v>229</v>
      </c>
      <c r="M42" s="51" t="s">
        <v>230</v>
      </c>
      <c r="N42" s="51" t="s">
        <v>254</v>
      </c>
      <c r="O42" s="51" t="s">
        <v>257</v>
      </c>
      <c r="P42" s="51" t="s">
        <v>257</v>
      </c>
      <c r="Q42" s="51" t="s">
        <v>257</v>
      </c>
      <c r="R42" s="51" t="s">
        <v>229</v>
      </c>
      <c r="S42" s="51" t="s">
        <v>229</v>
      </c>
      <c r="T42" s="51" t="s">
        <v>229</v>
      </c>
      <c r="U42" s="51" t="s">
        <v>230</v>
      </c>
      <c r="V42" s="51" t="s">
        <v>254</v>
      </c>
      <c r="W42" s="51" t="s">
        <v>257</v>
      </c>
      <c r="X42" s="51" t="s">
        <v>257</v>
      </c>
      <c r="Y42" s="51" t="s">
        <v>257</v>
      </c>
      <c r="Z42" s="51" t="s">
        <v>229</v>
      </c>
      <c r="AA42" s="51" t="s">
        <v>229</v>
      </c>
      <c r="AB42" s="51" t="s">
        <v>230</v>
      </c>
      <c r="AC42" s="51" t="s">
        <v>254</v>
      </c>
      <c r="AD42" s="51" t="s">
        <v>254</v>
      </c>
      <c r="AE42" s="51" t="s">
        <v>257</v>
      </c>
      <c r="AF42" s="51" t="s">
        <v>257</v>
      </c>
      <c r="AG42" s="51" t="s">
        <v>257</v>
      </c>
      <c r="AH42" s="51" t="s">
        <v>229</v>
      </c>
      <c r="AI42" s="51" t="s">
        <v>229</v>
      </c>
      <c r="AJ42" s="51" t="s">
        <v>230</v>
      </c>
      <c r="AL42" s="50">
        <f t="shared" si="15"/>
        <v>0</v>
      </c>
      <c r="AM42" s="50">
        <f t="shared" si="16"/>
        <v>9</v>
      </c>
      <c r="AN42" s="50">
        <f t="shared" si="17"/>
        <v>4</v>
      </c>
      <c r="AO42" s="50">
        <f t="shared" si="18"/>
        <v>5</v>
      </c>
      <c r="AP42" s="50">
        <f t="shared" si="19"/>
        <v>12</v>
      </c>
    </row>
    <row r="43" spans="2:42" ht="18.75" x14ac:dyDescent="0.25">
      <c r="B43" s="37" t="s">
        <v>248</v>
      </c>
      <c r="C43" s="149" t="s">
        <v>160</v>
      </c>
      <c r="D43" s="149"/>
      <c r="F43" s="51" t="s">
        <v>257</v>
      </c>
      <c r="G43" s="51" t="s">
        <v>257</v>
      </c>
      <c r="H43" s="51" t="s">
        <v>257</v>
      </c>
      <c r="I43" s="51" t="s">
        <v>258</v>
      </c>
      <c r="J43" s="51" t="s">
        <v>229</v>
      </c>
      <c r="K43" s="51" t="s">
        <v>258</v>
      </c>
      <c r="L43" s="51" t="s">
        <v>230</v>
      </c>
      <c r="M43" s="51" t="s">
        <v>254</v>
      </c>
      <c r="N43" s="51" t="s">
        <v>257</v>
      </c>
      <c r="O43" s="51" t="s">
        <v>257</v>
      </c>
      <c r="P43" s="51" t="s">
        <v>257</v>
      </c>
      <c r="Q43" s="51" t="s">
        <v>229</v>
      </c>
      <c r="R43" s="51" t="s">
        <v>144</v>
      </c>
      <c r="S43" s="51" t="s">
        <v>230</v>
      </c>
      <c r="T43" s="51" t="s">
        <v>254</v>
      </c>
      <c r="U43" s="51" t="s">
        <v>254</v>
      </c>
      <c r="V43" s="51" t="s">
        <v>257</v>
      </c>
      <c r="W43" s="51" t="s">
        <v>257</v>
      </c>
      <c r="X43" s="51" t="s">
        <v>257</v>
      </c>
      <c r="Y43" s="51" t="s">
        <v>229</v>
      </c>
      <c r="Z43" s="51" t="s">
        <v>229</v>
      </c>
      <c r="AA43" s="51" t="s">
        <v>230</v>
      </c>
      <c r="AB43" s="51" t="s">
        <v>230</v>
      </c>
      <c r="AC43" s="51" t="s">
        <v>254</v>
      </c>
      <c r="AD43" s="51" t="s">
        <v>257</v>
      </c>
      <c r="AE43" s="51" t="s">
        <v>257</v>
      </c>
      <c r="AF43" s="51" t="s">
        <v>257</v>
      </c>
      <c r="AG43" s="51" t="s">
        <v>229</v>
      </c>
      <c r="AH43" s="51" t="s">
        <v>229</v>
      </c>
      <c r="AI43" s="51" t="s">
        <v>230</v>
      </c>
      <c r="AJ43" s="51" t="s">
        <v>254</v>
      </c>
      <c r="AL43" s="50">
        <f t="shared" si="15"/>
        <v>0</v>
      </c>
      <c r="AM43" s="50">
        <f t="shared" si="16"/>
        <v>6</v>
      </c>
      <c r="AN43" s="50">
        <f t="shared" si="17"/>
        <v>5</v>
      </c>
      <c r="AO43" s="50">
        <f t="shared" si="18"/>
        <v>5</v>
      </c>
      <c r="AP43" s="50">
        <f t="shared" si="19"/>
        <v>12</v>
      </c>
    </row>
    <row r="44" spans="2:42" ht="18.75" x14ac:dyDescent="0.25">
      <c r="B44" s="37" t="s">
        <v>248</v>
      </c>
      <c r="C44" s="149" t="s">
        <v>161</v>
      </c>
      <c r="D44" s="149"/>
      <c r="F44" s="51" t="s">
        <v>257</v>
      </c>
      <c r="G44" s="51" t="s">
        <v>257</v>
      </c>
      <c r="H44" s="51" t="s">
        <v>229</v>
      </c>
      <c r="I44" s="51" t="s">
        <v>229</v>
      </c>
      <c r="J44" s="51" t="s">
        <v>229</v>
      </c>
      <c r="K44" s="51" t="s">
        <v>144</v>
      </c>
      <c r="L44" s="51" t="s">
        <v>254</v>
      </c>
      <c r="M44" s="51" t="s">
        <v>257</v>
      </c>
      <c r="N44" s="51" t="s">
        <v>257</v>
      </c>
      <c r="O44" s="51" t="s">
        <v>257</v>
      </c>
      <c r="P44" s="51" t="s">
        <v>229</v>
      </c>
      <c r="Q44" s="51" t="s">
        <v>230</v>
      </c>
      <c r="R44" s="51" t="s">
        <v>230</v>
      </c>
      <c r="S44" s="51" t="s">
        <v>254</v>
      </c>
      <c r="T44" s="51" t="s">
        <v>254</v>
      </c>
      <c r="U44" s="51" t="s">
        <v>257</v>
      </c>
      <c r="V44" s="51" t="s">
        <v>257</v>
      </c>
      <c r="W44" s="51" t="s">
        <v>257</v>
      </c>
      <c r="X44" s="51" t="s">
        <v>258</v>
      </c>
      <c r="Y44" s="51" t="s">
        <v>258</v>
      </c>
      <c r="Z44" s="51" t="s">
        <v>258</v>
      </c>
      <c r="AA44" s="51" t="s">
        <v>258</v>
      </c>
      <c r="AB44" s="51" t="s">
        <v>258</v>
      </c>
      <c r="AC44" s="51" t="s">
        <v>258</v>
      </c>
      <c r="AD44" s="51" t="s">
        <v>257</v>
      </c>
      <c r="AE44" s="51" t="s">
        <v>257</v>
      </c>
      <c r="AF44" s="51" t="s">
        <v>229</v>
      </c>
      <c r="AG44" s="51" t="s">
        <v>230</v>
      </c>
      <c r="AH44" s="51" t="s">
        <v>230</v>
      </c>
      <c r="AI44" s="51" t="s">
        <v>254</v>
      </c>
      <c r="AJ44" s="51" t="s">
        <v>254</v>
      </c>
      <c r="AL44" s="50">
        <f t="shared" si="15"/>
        <v>0</v>
      </c>
      <c r="AM44" s="50">
        <f t="shared" si="16"/>
        <v>5</v>
      </c>
      <c r="AN44" s="50">
        <f t="shared" si="17"/>
        <v>4</v>
      </c>
      <c r="AO44" s="50">
        <f t="shared" si="18"/>
        <v>5</v>
      </c>
      <c r="AP44" s="50">
        <f t="shared" si="19"/>
        <v>10</v>
      </c>
    </row>
    <row r="45" spans="2:42" ht="18.75" x14ac:dyDescent="0.25">
      <c r="B45" s="37" t="s">
        <v>248</v>
      </c>
      <c r="C45" s="149" t="s">
        <v>162</v>
      </c>
      <c r="D45" s="149"/>
      <c r="F45" s="104" t="s">
        <v>257</v>
      </c>
      <c r="G45" s="51" t="s">
        <v>229</v>
      </c>
      <c r="H45" s="51" t="s">
        <v>229</v>
      </c>
      <c r="I45" s="51" t="s">
        <v>230</v>
      </c>
      <c r="J45" s="51" t="s">
        <v>230</v>
      </c>
      <c r="K45" s="51" t="s">
        <v>254</v>
      </c>
      <c r="L45" s="51" t="s">
        <v>257</v>
      </c>
      <c r="M45" s="51" t="s">
        <v>257</v>
      </c>
      <c r="N45" s="51" t="s">
        <v>257</v>
      </c>
      <c r="O45" s="51" t="s">
        <v>258</v>
      </c>
      <c r="P45" s="51" t="s">
        <v>258</v>
      </c>
      <c r="Q45" s="51" t="s">
        <v>258</v>
      </c>
      <c r="R45" s="51" t="s">
        <v>258</v>
      </c>
      <c r="S45" s="51" t="s">
        <v>258</v>
      </c>
      <c r="T45" s="51" t="s">
        <v>258</v>
      </c>
      <c r="U45" s="51" t="s">
        <v>257</v>
      </c>
      <c r="V45" s="51" t="s">
        <v>257</v>
      </c>
      <c r="W45" s="103" t="s">
        <v>229</v>
      </c>
      <c r="X45" s="104" t="s">
        <v>230</v>
      </c>
      <c r="Y45" s="104" t="s">
        <v>230</v>
      </c>
      <c r="Z45" s="104" t="s">
        <v>254</v>
      </c>
      <c r="AA45" s="104" t="s">
        <v>254</v>
      </c>
      <c r="AB45" s="103" t="s">
        <v>257</v>
      </c>
      <c r="AC45" s="104" t="s">
        <v>257</v>
      </c>
      <c r="AD45" s="104" t="s">
        <v>257</v>
      </c>
      <c r="AE45" s="51" t="s">
        <v>229</v>
      </c>
      <c r="AF45" s="51" t="s">
        <v>229</v>
      </c>
      <c r="AG45" s="51" t="s">
        <v>230</v>
      </c>
      <c r="AH45" s="51" t="s">
        <v>254</v>
      </c>
      <c r="AI45" s="51" t="s">
        <v>254</v>
      </c>
      <c r="AJ45" s="51" t="s">
        <v>257</v>
      </c>
      <c r="AL45" s="50">
        <f t="shared" si="15"/>
        <v>0</v>
      </c>
      <c r="AM45" s="50">
        <f t="shared" si="16"/>
        <v>5</v>
      </c>
      <c r="AN45" s="50">
        <f t="shared" si="17"/>
        <v>5</v>
      </c>
      <c r="AO45" s="50">
        <f t="shared" si="18"/>
        <v>5</v>
      </c>
      <c r="AP45" s="50">
        <f t="shared" si="19"/>
        <v>10</v>
      </c>
    </row>
    <row r="46" spans="2:42" ht="18.75" x14ac:dyDescent="0.25">
      <c r="B46" s="37" t="s">
        <v>248</v>
      </c>
      <c r="C46" s="149" t="s">
        <v>163</v>
      </c>
      <c r="D46" s="149"/>
      <c r="F46" s="51" t="s">
        <v>229</v>
      </c>
      <c r="G46" s="51" t="s">
        <v>229</v>
      </c>
      <c r="H46" s="51" t="s">
        <v>230</v>
      </c>
      <c r="I46" s="51" t="s">
        <v>254</v>
      </c>
      <c r="J46" s="51" t="s">
        <v>254</v>
      </c>
      <c r="K46" s="51" t="s">
        <v>257</v>
      </c>
      <c r="L46" s="51" t="s">
        <v>257</v>
      </c>
      <c r="M46" s="51" t="s">
        <v>257</v>
      </c>
      <c r="N46" s="51" t="s">
        <v>229</v>
      </c>
      <c r="O46" s="51" t="s">
        <v>230</v>
      </c>
      <c r="P46" s="51" t="s">
        <v>230</v>
      </c>
      <c r="Q46" s="51" t="s">
        <v>254</v>
      </c>
      <c r="R46" s="51" t="s">
        <v>254</v>
      </c>
      <c r="S46" s="51" t="s">
        <v>257</v>
      </c>
      <c r="T46" s="51" t="s">
        <v>257</v>
      </c>
      <c r="U46" s="51" t="s">
        <v>257</v>
      </c>
      <c r="V46" s="57" t="s">
        <v>258</v>
      </c>
      <c r="W46" s="51" t="s">
        <v>258</v>
      </c>
      <c r="X46" s="51" t="s">
        <v>258</v>
      </c>
      <c r="Y46" s="51" t="s">
        <v>258</v>
      </c>
      <c r="Z46" s="51" t="s">
        <v>258</v>
      </c>
      <c r="AA46" s="51" t="s">
        <v>258</v>
      </c>
      <c r="AB46" s="51" t="s">
        <v>258</v>
      </c>
      <c r="AC46" s="51" t="s">
        <v>258</v>
      </c>
      <c r="AD46" s="51" t="s">
        <v>258</v>
      </c>
      <c r="AE46" s="51" t="s">
        <v>258</v>
      </c>
      <c r="AF46" s="51" t="s">
        <v>258</v>
      </c>
      <c r="AG46" s="51" t="s">
        <v>258</v>
      </c>
      <c r="AH46" s="51" t="s">
        <v>258</v>
      </c>
      <c r="AI46" s="51" t="s">
        <v>258</v>
      </c>
      <c r="AJ46" s="51" t="s">
        <v>257</v>
      </c>
      <c r="AL46" s="50">
        <f t="shared" si="15"/>
        <v>0</v>
      </c>
      <c r="AM46" s="50">
        <f t="shared" si="16"/>
        <v>3</v>
      </c>
      <c r="AN46" s="50">
        <f t="shared" si="17"/>
        <v>3</v>
      </c>
      <c r="AO46" s="50">
        <f t="shared" si="18"/>
        <v>4</v>
      </c>
      <c r="AP46" s="50">
        <f t="shared" si="19"/>
        <v>7</v>
      </c>
    </row>
    <row r="47" spans="2:42" ht="18.75" x14ac:dyDescent="0.25">
      <c r="B47" s="37" t="s">
        <v>248</v>
      </c>
      <c r="C47" s="149" t="s">
        <v>164</v>
      </c>
      <c r="D47" s="149"/>
      <c r="F47" s="51" t="s">
        <v>258</v>
      </c>
      <c r="G47" s="51" t="s">
        <v>258</v>
      </c>
      <c r="H47" s="51" t="s">
        <v>258</v>
      </c>
      <c r="I47" s="51" t="s">
        <v>258</v>
      </c>
      <c r="J47" s="51" t="s">
        <v>258</v>
      </c>
      <c r="K47" s="51" t="s">
        <v>258</v>
      </c>
      <c r="L47" s="51" t="s">
        <v>258</v>
      </c>
      <c r="M47" s="51" t="s">
        <v>258</v>
      </c>
      <c r="N47" s="51" t="s">
        <v>258</v>
      </c>
      <c r="O47" s="51" t="s">
        <v>258</v>
      </c>
      <c r="P47" s="51" t="s">
        <v>258</v>
      </c>
      <c r="Q47" s="51" t="s">
        <v>258</v>
      </c>
      <c r="R47" s="51" t="s">
        <v>258</v>
      </c>
      <c r="S47" s="51" t="s">
        <v>258</v>
      </c>
      <c r="T47" s="51" t="s">
        <v>258</v>
      </c>
      <c r="U47" s="51" t="s">
        <v>258</v>
      </c>
      <c r="V47" s="51" t="s">
        <v>258</v>
      </c>
      <c r="W47" s="51" t="s">
        <v>230</v>
      </c>
      <c r="X47" s="51" t="s">
        <v>254</v>
      </c>
      <c r="Y47" s="51" t="s">
        <v>257</v>
      </c>
      <c r="Z47" s="51" t="s">
        <v>257</v>
      </c>
      <c r="AA47" s="51" t="s">
        <v>257</v>
      </c>
      <c r="AB47" s="51" t="s">
        <v>229</v>
      </c>
      <c r="AC47" s="51" t="s">
        <v>253</v>
      </c>
      <c r="AD47" s="51" t="s">
        <v>230</v>
      </c>
      <c r="AE47" s="51" t="s">
        <v>254</v>
      </c>
      <c r="AF47" s="51" t="s">
        <v>254</v>
      </c>
      <c r="AG47" s="51" t="s">
        <v>257</v>
      </c>
      <c r="AH47" s="51" t="s">
        <v>257</v>
      </c>
      <c r="AI47" s="51" t="s">
        <v>257</v>
      </c>
      <c r="AJ47" s="51" t="s">
        <v>229</v>
      </c>
      <c r="AL47" s="50">
        <f t="shared" si="15"/>
        <v>1</v>
      </c>
      <c r="AM47" s="50">
        <f t="shared" si="16"/>
        <v>2</v>
      </c>
      <c r="AN47" s="50">
        <f t="shared" si="17"/>
        <v>2</v>
      </c>
      <c r="AO47" s="50">
        <f t="shared" si="18"/>
        <v>3</v>
      </c>
      <c r="AP47" s="50">
        <f t="shared" si="19"/>
        <v>6</v>
      </c>
    </row>
    <row r="48" spans="2:42" ht="18.75" x14ac:dyDescent="0.25">
      <c r="B48" s="37" t="s">
        <v>248</v>
      </c>
      <c r="C48" s="149" t="s">
        <v>165</v>
      </c>
      <c r="D48" s="149"/>
      <c r="F48" s="51" t="s">
        <v>258</v>
      </c>
      <c r="G48" s="51" t="s">
        <v>258</v>
      </c>
      <c r="H48" s="51" t="s">
        <v>258</v>
      </c>
      <c r="I48" s="51" t="s">
        <v>257</v>
      </c>
      <c r="J48" s="51" t="s">
        <v>257</v>
      </c>
      <c r="K48" s="51" t="s">
        <v>229</v>
      </c>
      <c r="L48" s="51" t="s">
        <v>144</v>
      </c>
      <c r="M48" s="51" t="s">
        <v>230</v>
      </c>
      <c r="N48" s="51" t="s">
        <v>254</v>
      </c>
      <c r="O48" s="51" t="s">
        <v>254</v>
      </c>
      <c r="P48" s="51" t="s">
        <v>257</v>
      </c>
      <c r="Q48" s="51" t="s">
        <v>257</v>
      </c>
      <c r="R48" s="51" t="s">
        <v>257</v>
      </c>
      <c r="S48" s="51" t="s">
        <v>229</v>
      </c>
      <c r="T48" s="51" t="s">
        <v>230</v>
      </c>
      <c r="U48" s="51" t="s">
        <v>230</v>
      </c>
      <c r="V48" s="51" t="s">
        <v>230</v>
      </c>
      <c r="W48" s="51" t="s">
        <v>254</v>
      </c>
      <c r="X48" s="51" t="s">
        <v>257</v>
      </c>
      <c r="Y48" s="51" t="s">
        <v>257</v>
      </c>
      <c r="Z48" s="51" t="s">
        <v>257</v>
      </c>
      <c r="AA48" s="51" t="s">
        <v>144</v>
      </c>
      <c r="AB48" s="51" t="s">
        <v>230</v>
      </c>
      <c r="AC48" s="51" t="s">
        <v>230</v>
      </c>
      <c r="AD48" s="51" t="s">
        <v>254</v>
      </c>
      <c r="AE48" s="51" t="s">
        <v>254</v>
      </c>
      <c r="AF48" s="51" t="s">
        <v>257</v>
      </c>
      <c r="AG48" s="51" t="s">
        <v>257</v>
      </c>
      <c r="AH48" s="51" t="s">
        <v>257</v>
      </c>
      <c r="AI48" s="51" t="s">
        <v>229</v>
      </c>
      <c r="AJ48" s="51" t="s">
        <v>230</v>
      </c>
      <c r="AL48" s="50">
        <f t="shared" si="15"/>
        <v>0</v>
      </c>
      <c r="AM48" s="50">
        <f t="shared" si="16"/>
        <v>3</v>
      </c>
      <c r="AN48" s="50">
        <f t="shared" si="17"/>
        <v>7</v>
      </c>
      <c r="AO48" s="50">
        <f t="shared" si="18"/>
        <v>5</v>
      </c>
      <c r="AP48" s="50">
        <f t="shared" si="19"/>
        <v>11</v>
      </c>
    </row>
    <row r="49" spans="2:42" ht="18.75" x14ac:dyDescent="0.25">
      <c r="B49" s="37" t="s">
        <v>248</v>
      </c>
      <c r="C49" s="149" t="s">
        <v>167</v>
      </c>
      <c r="D49" s="149"/>
      <c r="F49" s="104" t="s">
        <v>257</v>
      </c>
      <c r="G49" s="104" t="s">
        <v>257</v>
      </c>
      <c r="H49" s="103" t="s">
        <v>257</v>
      </c>
      <c r="I49" s="104" t="s">
        <v>229</v>
      </c>
      <c r="J49" s="104" t="s">
        <v>144</v>
      </c>
      <c r="K49" s="104" t="s">
        <v>230</v>
      </c>
      <c r="L49" s="104" t="s">
        <v>230</v>
      </c>
      <c r="M49" s="103" t="s">
        <v>254</v>
      </c>
      <c r="N49" s="104" t="s">
        <v>257</v>
      </c>
      <c r="O49" s="104" t="s">
        <v>257</v>
      </c>
      <c r="P49" s="104" t="s">
        <v>257</v>
      </c>
      <c r="Q49" s="104" t="s">
        <v>144</v>
      </c>
      <c r="R49" s="103" t="s">
        <v>229</v>
      </c>
      <c r="S49" s="104" t="s">
        <v>144</v>
      </c>
      <c r="T49" s="104" t="s">
        <v>254</v>
      </c>
      <c r="U49" s="104" t="s">
        <v>254</v>
      </c>
      <c r="V49" s="104" t="s">
        <v>257</v>
      </c>
      <c r="W49" s="104" t="s">
        <v>257</v>
      </c>
      <c r="X49" s="104" t="s">
        <v>257</v>
      </c>
      <c r="Y49" s="104" t="s">
        <v>229</v>
      </c>
      <c r="Z49" s="104" t="s">
        <v>229</v>
      </c>
      <c r="AA49" s="103" t="s">
        <v>230</v>
      </c>
      <c r="AB49" s="104" t="s">
        <v>254</v>
      </c>
      <c r="AC49" s="104" t="s">
        <v>254</v>
      </c>
      <c r="AD49" s="104" t="s">
        <v>257</v>
      </c>
      <c r="AE49" s="104" t="s">
        <v>257</v>
      </c>
      <c r="AF49" s="103" t="s">
        <v>257</v>
      </c>
      <c r="AG49" s="104" t="s">
        <v>229</v>
      </c>
      <c r="AH49" s="104" t="s">
        <v>230</v>
      </c>
      <c r="AI49" s="104" t="s">
        <v>230</v>
      </c>
      <c r="AJ49" s="104" t="s">
        <v>254</v>
      </c>
      <c r="AL49" s="50">
        <f t="shared" si="15"/>
        <v>0</v>
      </c>
      <c r="AM49" s="50">
        <f t="shared" si="16"/>
        <v>5</v>
      </c>
      <c r="AN49" s="50">
        <f t="shared" si="17"/>
        <v>5</v>
      </c>
      <c r="AO49" s="50">
        <f t="shared" si="18"/>
        <v>6</v>
      </c>
      <c r="AP49" s="50">
        <f t="shared" si="19"/>
        <v>12</v>
      </c>
    </row>
    <row r="50" spans="2:42" ht="18.75" x14ac:dyDescent="0.25">
      <c r="B50" s="37" t="s">
        <v>248</v>
      </c>
      <c r="C50" s="149" t="s">
        <v>168</v>
      </c>
      <c r="D50" s="149"/>
      <c r="F50" s="104" t="s">
        <v>257</v>
      </c>
      <c r="G50" s="104" t="s">
        <v>257</v>
      </c>
      <c r="H50" s="104" t="s">
        <v>258</v>
      </c>
      <c r="I50" s="104" t="s">
        <v>258</v>
      </c>
      <c r="J50" s="56" t="s">
        <v>258</v>
      </c>
      <c r="K50" s="56" t="s">
        <v>258</v>
      </c>
      <c r="L50" s="56" t="s">
        <v>258</v>
      </c>
      <c r="M50" s="56" t="s">
        <v>258</v>
      </c>
      <c r="N50" s="51" t="s">
        <v>258</v>
      </c>
      <c r="O50" s="51" t="s">
        <v>258</v>
      </c>
      <c r="P50" s="51" t="s">
        <v>258</v>
      </c>
      <c r="Q50" s="51" t="s">
        <v>258</v>
      </c>
      <c r="R50" s="51" t="s">
        <v>258</v>
      </c>
      <c r="S50" s="51" t="s">
        <v>258</v>
      </c>
      <c r="T50" s="51" t="s">
        <v>258</v>
      </c>
      <c r="U50" s="51" t="s">
        <v>258</v>
      </c>
      <c r="V50" s="51" t="s">
        <v>257</v>
      </c>
      <c r="W50" s="51" t="s">
        <v>257</v>
      </c>
      <c r="X50" s="103" t="s">
        <v>229</v>
      </c>
      <c r="Y50" s="104" t="s">
        <v>230</v>
      </c>
      <c r="Z50" s="104" t="s">
        <v>230</v>
      </c>
      <c r="AA50" s="104" t="s">
        <v>254</v>
      </c>
      <c r="AB50" s="104" t="s">
        <v>254</v>
      </c>
      <c r="AC50" s="103" t="s">
        <v>257</v>
      </c>
      <c r="AD50" s="104" t="s">
        <v>257</v>
      </c>
      <c r="AE50" s="104" t="s">
        <v>257</v>
      </c>
      <c r="AF50" s="104" t="s">
        <v>229</v>
      </c>
      <c r="AG50" s="104" t="s">
        <v>230</v>
      </c>
      <c r="AH50" s="56" t="s">
        <v>230</v>
      </c>
      <c r="AI50" s="56" t="s">
        <v>254</v>
      </c>
      <c r="AJ50" s="56" t="s">
        <v>254</v>
      </c>
      <c r="AL50" s="50">
        <f t="shared" si="15"/>
        <v>0</v>
      </c>
      <c r="AM50" s="50">
        <f t="shared" si="16"/>
        <v>2</v>
      </c>
      <c r="AN50" s="50">
        <f t="shared" si="17"/>
        <v>4</v>
      </c>
      <c r="AO50" s="50">
        <f t="shared" si="18"/>
        <v>4</v>
      </c>
      <c r="AP50" s="50">
        <f t="shared" si="19"/>
        <v>7</v>
      </c>
    </row>
    <row r="51" spans="2:42" ht="18.75" x14ac:dyDescent="0.25">
      <c r="B51" s="37" t="s">
        <v>248</v>
      </c>
      <c r="C51" s="149" t="s">
        <v>169</v>
      </c>
      <c r="D51" s="149"/>
      <c r="F51" s="51" t="s">
        <v>257</v>
      </c>
      <c r="G51" s="51" t="s">
        <v>229</v>
      </c>
      <c r="H51" s="51" t="s">
        <v>230</v>
      </c>
      <c r="I51" s="51" t="s">
        <v>230</v>
      </c>
      <c r="J51" s="51" t="s">
        <v>230</v>
      </c>
      <c r="K51" s="51" t="s">
        <v>254</v>
      </c>
      <c r="L51" s="51" t="s">
        <v>257</v>
      </c>
      <c r="M51" s="51" t="s">
        <v>257</v>
      </c>
      <c r="N51" s="51" t="s">
        <v>257</v>
      </c>
      <c r="O51" s="51" t="s">
        <v>229</v>
      </c>
      <c r="P51" s="51" t="s">
        <v>229</v>
      </c>
      <c r="Q51" s="51" t="s">
        <v>230</v>
      </c>
      <c r="R51" s="51" t="s">
        <v>230</v>
      </c>
      <c r="S51" s="51" t="s">
        <v>254</v>
      </c>
      <c r="T51" s="51" t="s">
        <v>257</v>
      </c>
      <c r="U51" s="51" t="s">
        <v>257</v>
      </c>
      <c r="V51" s="51" t="s">
        <v>257</v>
      </c>
      <c r="W51" s="51" t="s">
        <v>258</v>
      </c>
      <c r="X51" s="51" t="s">
        <v>258</v>
      </c>
      <c r="Y51" s="51" t="s">
        <v>258</v>
      </c>
      <c r="Z51" s="51" t="s">
        <v>258</v>
      </c>
      <c r="AA51" s="51" t="s">
        <v>258</v>
      </c>
      <c r="AB51" s="51" t="s">
        <v>258</v>
      </c>
      <c r="AC51" s="51" t="s">
        <v>258</v>
      </c>
      <c r="AD51" s="51" t="s">
        <v>258</v>
      </c>
      <c r="AE51" s="51" t="s">
        <v>258</v>
      </c>
      <c r="AF51" s="51" t="s">
        <v>258</v>
      </c>
      <c r="AG51" s="51" t="s">
        <v>258</v>
      </c>
      <c r="AH51" s="51" t="s">
        <v>258</v>
      </c>
      <c r="AI51" s="51" t="s">
        <v>258</v>
      </c>
      <c r="AJ51" s="51" t="s">
        <v>258</v>
      </c>
      <c r="AL51" s="50">
        <f t="shared" si="15"/>
        <v>0</v>
      </c>
      <c r="AM51" s="50">
        <f t="shared" si="16"/>
        <v>3</v>
      </c>
      <c r="AN51" s="50">
        <f t="shared" si="17"/>
        <v>5</v>
      </c>
      <c r="AO51" s="50">
        <f t="shared" si="18"/>
        <v>2</v>
      </c>
      <c r="AP51" s="50">
        <f t="shared" si="19"/>
        <v>7</v>
      </c>
    </row>
    <row r="52" spans="2:42" ht="18.75" x14ac:dyDescent="0.25">
      <c r="B52" s="37" t="s">
        <v>248</v>
      </c>
      <c r="C52" s="149" t="s">
        <v>148</v>
      </c>
      <c r="D52" s="149"/>
      <c r="F52" s="51" t="s">
        <v>229</v>
      </c>
      <c r="G52" s="51" t="s">
        <v>230</v>
      </c>
      <c r="H52" s="51" t="s">
        <v>230</v>
      </c>
      <c r="I52" s="51" t="s">
        <v>254</v>
      </c>
      <c r="J52" s="51" t="s">
        <v>254</v>
      </c>
      <c r="K52" s="51" t="s">
        <v>257</v>
      </c>
      <c r="L52" s="51" t="s">
        <v>257</v>
      </c>
      <c r="M52" s="51" t="s">
        <v>257</v>
      </c>
      <c r="N52" s="51" t="s">
        <v>229</v>
      </c>
      <c r="O52" s="51" t="s">
        <v>229</v>
      </c>
      <c r="P52" s="51" t="s">
        <v>230</v>
      </c>
      <c r="Q52" s="51" t="s">
        <v>230</v>
      </c>
      <c r="R52" s="51" t="s">
        <v>254</v>
      </c>
      <c r="S52" s="51" t="s">
        <v>257</v>
      </c>
      <c r="T52" s="51" t="s">
        <v>257</v>
      </c>
      <c r="U52" s="51" t="s">
        <v>257</v>
      </c>
      <c r="V52" s="51" t="s">
        <v>229</v>
      </c>
      <c r="W52" s="104" t="s">
        <v>229</v>
      </c>
      <c r="X52" s="104" t="s">
        <v>230</v>
      </c>
      <c r="Y52" s="104" t="s">
        <v>254</v>
      </c>
      <c r="Z52" s="104" t="s">
        <v>254</v>
      </c>
      <c r="AA52" s="51" t="s">
        <v>257</v>
      </c>
      <c r="AB52" s="51" t="s">
        <v>257</v>
      </c>
      <c r="AC52" s="51" t="s">
        <v>257</v>
      </c>
      <c r="AD52" s="51" t="s">
        <v>229</v>
      </c>
      <c r="AE52" s="51" t="s">
        <v>230</v>
      </c>
      <c r="AF52" s="51" t="s">
        <v>230</v>
      </c>
      <c r="AG52" s="51" t="s">
        <v>254</v>
      </c>
      <c r="AH52" s="51" t="s">
        <v>254</v>
      </c>
      <c r="AI52" s="51" t="s">
        <v>257</v>
      </c>
      <c r="AJ52" s="51" t="s">
        <v>257</v>
      </c>
      <c r="AL52" s="50">
        <f t="shared" si="15"/>
        <v>0</v>
      </c>
      <c r="AM52" s="50">
        <f t="shared" si="16"/>
        <v>6</v>
      </c>
      <c r="AN52" s="50">
        <f t="shared" si="17"/>
        <v>7</v>
      </c>
      <c r="AO52" s="50">
        <f t="shared" si="18"/>
        <v>7</v>
      </c>
      <c r="AP52" s="50">
        <f t="shared" si="19"/>
        <v>11</v>
      </c>
    </row>
    <row r="53" spans="2:42" ht="18.75" x14ac:dyDescent="0.25">
      <c r="B53" s="37" t="s">
        <v>248</v>
      </c>
      <c r="C53" s="149" t="s">
        <v>171</v>
      </c>
      <c r="D53" s="149"/>
      <c r="F53" s="51" t="s">
        <v>230</v>
      </c>
      <c r="G53" s="51" t="s">
        <v>230</v>
      </c>
      <c r="H53" s="51" t="s">
        <v>254</v>
      </c>
      <c r="I53" s="51" t="s">
        <v>254</v>
      </c>
      <c r="J53" s="51" t="s">
        <v>257</v>
      </c>
      <c r="K53" s="51" t="s">
        <v>257</v>
      </c>
      <c r="L53" s="51" t="s">
        <v>257</v>
      </c>
      <c r="M53" s="51" t="s">
        <v>229</v>
      </c>
      <c r="N53" s="51" t="s">
        <v>230</v>
      </c>
      <c r="O53" s="51" t="s">
        <v>230</v>
      </c>
      <c r="P53" s="51" t="s">
        <v>254</v>
      </c>
      <c r="Q53" s="51" t="s">
        <v>254</v>
      </c>
      <c r="R53" s="51" t="s">
        <v>257</v>
      </c>
      <c r="S53" s="51" t="s">
        <v>257</v>
      </c>
      <c r="T53" s="51" t="s">
        <v>257</v>
      </c>
      <c r="U53" s="51" t="s">
        <v>258</v>
      </c>
      <c r="V53" s="51" t="s">
        <v>258</v>
      </c>
      <c r="W53" s="51" t="s">
        <v>258</v>
      </c>
      <c r="X53" s="51" t="s">
        <v>258</v>
      </c>
      <c r="Y53" s="51" t="s">
        <v>258</v>
      </c>
      <c r="Z53" s="51" t="s">
        <v>258</v>
      </c>
      <c r="AA53" s="51" t="s">
        <v>258</v>
      </c>
      <c r="AB53" s="51" t="s">
        <v>258</v>
      </c>
      <c r="AC53" s="51" t="s">
        <v>258</v>
      </c>
      <c r="AD53" s="51" t="s">
        <v>258</v>
      </c>
      <c r="AE53" s="51" t="s">
        <v>258</v>
      </c>
      <c r="AF53" s="51" t="s">
        <v>258</v>
      </c>
      <c r="AG53" s="51" t="s">
        <v>258</v>
      </c>
      <c r="AH53" s="51" t="s">
        <v>258</v>
      </c>
      <c r="AI53" s="51" t="s">
        <v>257</v>
      </c>
      <c r="AJ53" s="51" t="s">
        <v>257</v>
      </c>
      <c r="AL53" s="50">
        <f t="shared" si="15"/>
        <v>0</v>
      </c>
      <c r="AM53" s="50">
        <f t="shared" si="16"/>
        <v>1</v>
      </c>
      <c r="AN53" s="50">
        <f t="shared" si="17"/>
        <v>4</v>
      </c>
      <c r="AO53" s="50">
        <f t="shared" si="18"/>
        <v>4</v>
      </c>
      <c r="AP53" s="50">
        <f t="shared" si="19"/>
        <v>8</v>
      </c>
    </row>
    <row r="54" spans="2:42" ht="18.75" x14ac:dyDescent="0.25">
      <c r="B54" s="37" t="s">
        <v>248</v>
      </c>
      <c r="C54" s="149" t="s">
        <v>172</v>
      </c>
      <c r="D54" s="149"/>
      <c r="F54" s="51" t="s">
        <v>230</v>
      </c>
      <c r="G54" s="51" t="s">
        <v>254</v>
      </c>
      <c r="H54" s="51" t="s">
        <v>254</v>
      </c>
      <c r="I54" s="51" t="s">
        <v>257</v>
      </c>
      <c r="J54" s="51" t="s">
        <v>257</v>
      </c>
      <c r="K54" s="51" t="s">
        <v>257</v>
      </c>
      <c r="L54" s="51" t="s">
        <v>144</v>
      </c>
      <c r="M54" s="51" t="s">
        <v>144</v>
      </c>
      <c r="N54" s="51" t="s">
        <v>230</v>
      </c>
      <c r="O54" s="51" t="s">
        <v>254</v>
      </c>
      <c r="P54" s="51" t="s">
        <v>254</v>
      </c>
      <c r="Q54" s="51" t="s">
        <v>257</v>
      </c>
      <c r="R54" s="51" t="s">
        <v>257</v>
      </c>
      <c r="S54" s="51" t="s">
        <v>257</v>
      </c>
      <c r="T54" s="51" t="s">
        <v>258</v>
      </c>
      <c r="U54" s="51" t="s">
        <v>258</v>
      </c>
      <c r="V54" s="51" t="s">
        <v>258</v>
      </c>
      <c r="W54" s="51" t="s">
        <v>258</v>
      </c>
      <c r="X54" s="51" t="s">
        <v>258</v>
      </c>
      <c r="Y54" s="51" t="s">
        <v>258</v>
      </c>
      <c r="Z54" s="51" t="s">
        <v>257</v>
      </c>
      <c r="AA54" s="51" t="s">
        <v>257</v>
      </c>
      <c r="AB54" s="51" t="s">
        <v>229</v>
      </c>
      <c r="AC54" s="51" t="s">
        <v>230</v>
      </c>
      <c r="AD54" s="51" t="s">
        <v>230</v>
      </c>
      <c r="AE54" s="51" t="s">
        <v>230</v>
      </c>
      <c r="AF54" s="51" t="s">
        <v>254</v>
      </c>
      <c r="AG54" s="51" t="s">
        <v>257</v>
      </c>
      <c r="AH54" s="51" t="s">
        <v>257</v>
      </c>
      <c r="AI54" s="51" t="s">
        <v>257</v>
      </c>
      <c r="AJ54" s="51" t="s">
        <v>229</v>
      </c>
      <c r="AL54" s="50">
        <f t="shared" si="15"/>
        <v>0</v>
      </c>
      <c r="AM54" s="50">
        <f t="shared" si="16"/>
        <v>2</v>
      </c>
      <c r="AN54" s="50">
        <f t="shared" si="17"/>
        <v>5</v>
      </c>
      <c r="AO54" s="50">
        <f t="shared" si="18"/>
        <v>5</v>
      </c>
      <c r="AP54" s="50">
        <f t="shared" si="19"/>
        <v>11</v>
      </c>
    </row>
    <row r="55" spans="2:42" ht="18.75" x14ac:dyDescent="0.25">
      <c r="B55" s="37" t="s">
        <v>248</v>
      </c>
      <c r="C55" s="145" t="s">
        <v>173</v>
      </c>
      <c r="D55" s="146"/>
      <c r="F55" s="51" t="s">
        <v>254</v>
      </c>
      <c r="G55" s="51" t="s">
        <v>254</v>
      </c>
      <c r="H55" s="51" t="s">
        <v>257</v>
      </c>
      <c r="I55" s="51" t="s">
        <v>257</v>
      </c>
      <c r="J55" s="51" t="s">
        <v>257</v>
      </c>
      <c r="K55" s="51" t="s">
        <v>229</v>
      </c>
      <c r="L55" s="51" t="s">
        <v>230</v>
      </c>
      <c r="M55" s="51" t="s">
        <v>230</v>
      </c>
      <c r="N55" s="51" t="s">
        <v>254</v>
      </c>
      <c r="O55" s="51" t="s">
        <v>254</v>
      </c>
      <c r="P55" s="51" t="s">
        <v>257</v>
      </c>
      <c r="Q55" s="51" t="s">
        <v>257</v>
      </c>
      <c r="R55" s="51" t="s">
        <v>257</v>
      </c>
      <c r="S55" s="51" t="s">
        <v>229</v>
      </c>
      <c r="T55" s="51" t="s">
        <v>230</v>
      </c>
      <c r="U55" s="51" t="s">
        <v>230</v>
      </c>
      <c r="V55" s="51" t="s">
        <v>254</v>
      </c>
      <c r="W55" s="51" t="s">
        <v>254</v>
      </c>
      <c r="X55" s="51" t="s">
        <v>257</v>
      </c>
      <c r="Y55" s="51" t="s">
        <v>257</v>
      </c>
      <c r="Z55" s="51" t="s">
        <v>257</v>
      </c>
      <c r="AA55" s="51" t="s">
        <v>229</v>
      </c>
      <c r="AB55" s="51" t="s">
        <v>255</v>
      </c>
      <c r="AC55" s="51" t="s">
        <v>230</v>
      </c>
      <c r="AD55" s="51" t="s">
        <v>254</v>
      </c>
      <c r="AE55" s="51" t="s">
        <v>254</v>
      </c>
      <c r="AF55" s="51" t="s">
        <v>257</v>
      </c>
      <c r="AG55" s="51" t="s">
        <v>257</v>
      </c>
      <c r="AH55" s="51" t="s">
        <v>257</v>
      </c>
      <c r="AI55" s="51" t="s">
        <v>229</v>
      </c>
      <c r="AJ55" s="51" t="s">
        <v>230</v>
      </c>
      <c r="AL55" s="50">
        <f t="shared" si="15"/>
        <v>1</v>
      </c>
      <c r="AM55" s="50">
        <f t="shared" si="16"/>
        <v>4</v>
      </c>
      <c r="AN55" s="50">
        <f t="shared" si="17"/>
        <v>6</v>
      </c>
      <c r="AO55" s="50">
        <f t="shared" si="18"/>
        <v>8</v>
      </c>
      <c r="AP55" s="50">
        <f t="shared" si="19"/>
        <v>12</v>
      </c>
    </row>
    <row r="56" spans="2:42" ht="18.75" x14ac:dyDescent="0.25">
      <c r="B56" s="37" t="s">
        <v>248</v>
      </c>
      <c r="C56" s="145" t="s">
        <v>211</v>
      </c>
      <c r="D56" s="146"/>
      <c r="F56" s="51" t="s">
        <v>254</v>
      </c>
      <c r="G56" s="51" t="s">
        <v>257</v>
      </c>
      <c r="H56" s="51" t="s">
        <v>257</v>
      </c>
      <c r="I56" s="51" t="s">
        <v>257</v>
      </c>
      <c r="J56" s="51" t="s">
        <v>229</v>
      </c>
      <c r="K56" s="51" t="s">
        <v>230</v>
      </c>
      <c r="L56" s="51" t="s">
        <v>144</v>
      </c>
      <c r="M56" s="51" t="s">
        <v>144</v>
      </c>
      <c r="N56" s="51" t="s">
        <v>254</v>
      </c>
      <c r="O56" s="51" t="s">
        <v>257</v>
      </c>
      <c r="P56" s="51" t="s">
        <v>257</v>
      </c>
      <c r="Q56" s="51" t="s">
        <v>257</v>
      </c>
      <c r="R56" s="51" t="s">
        <v>229</v>
      </c>
      <c r="S56" s="51" t="s">
        <v>230</v>
      </c>
      <c r="T56" s="51" t="s">
        <v>230</v>
      </c>
      <c r="U56" s="51" t="s">
        <v>254</v>
      </c>
      <c r="V56" s="51" t="s">
        <v>254</v>
      </c>
      <c r="W56" s="51" t="s">
        <v>257</v>
      </c>
      <c r="X56" s="51" t="s">
        <v>257</v>
      </c>
      <c r="Y56" s="51" t="s">
        <v>257</v>
      </c>
      <c r="Z56" s="51" t="s">
        <v>144</v>
      </c>
      <c r="AA56" s="51" t="s">
        <v>144</v>
      </c>
      <c r="AB56" s="51" t="s">
        <v>230</v>
      </c>
      <c r="AC56" s="51" t="s">
        <v>254</v>
      </c>
      <c r="AD56" s="51" t="s">
        <v>254</v>
      </c>
      <c r="AE56" s="51" t="s">
        <v>257</v>
      </c>
      <c r="AF56" s="51" t="s">
        <v>257</v>
      </c>
      <c r="AG56" s="51" t="s">
        <v>257</v>
      </c>
      <c r="AH56" s="51" t="s">
        <v>229</v>
      </c>
      <c r="AI56" s="51" t="s">
        <v>229</v>
      </c>
      <c r="AJ56" s="51" t="s">
        <v>255</v>
      </c>
      <c r="AL56" s="50">
        <f t="shared" si="15"/>
        <v>1</v>
      </c>
      <c r="AM56" s="50">
        <f t="shared" si="16"/>
        <v>4</v>
      </c>
      <c r="AN56" s="50">
        <f t="shared" si="17"/>
        <v>4</v>
      </c>
      <c r="AO56" s="50">
        <f t="shared" si="18"/>
        <v>6</v>
      </c>
      <c r="AP56" s="50">
        <f t="shared" si="19"/>
        <v>12</v>
      </c>
    </row>
    <row r="57" spans="2:42" ht="18.75" x14ac:dyDescent="0.25">
      <c r="B57" s="37" t="s">
        <v>248</v>
      </c>
      <c r="C57" s="145" t="s">
        <v>213</v>
      </c>
      <c r="D57" s="146"/>
      <c r="F57" s="51" t="s">
        <v>257</v>
      </c>
      <c r="G57" s="51" t="s">
        <v>257</v>
      </c>
      <c r="H57" s="51" t="s">
        <v>257</v>
      </c>
      <c r="I57" s="51" t="s">
        <v>229</v>
      </c>
      <c r="J57" s="51" t="s">
        <v>144</v>
      </c>
      <c r="K57" s="51" t="s">
        <v>230</v>
      </c>
      <c r="L57" s="51" t="s">
        <v>230</v>
      </c>
      <c r="M57" s="51" t="s">
        <v>254</v>
      </c>
      <c r="N57" s="51" t="s">
        <v>257</v>
      </c>
      <c r="O57" s="51" t="s">
        <v>257</v>
      </c>
      <c r="P57" s="51" t="s">
        <v>257</v>
      </c>
      <c r="Q57" s="51" t="s">
        <v>229</v>
      </c>
      <c r="R57" s="51" t="s">
        <v>144</v>
      </c>
      <c r="S57" s="51" t="s">
        <v>230</v>
      </c>
      <c r="T57" s="51" t="s">
        <v>230</v>
      </c>
      <c r="U57" s="51" t="s">
        <v>254</v>
      </c>
      <c r="V57" s="51" t="s">
        <v>257</v>
      </c>
      <c r="W57" s="51" t="s">
        <v>257</v>
      </c>
      <c r="X57" s="51" t="s">
        <v>257</v>
      </c>
      <c r="Y57" s="51" t="s">
        <v>229</v>
      </c>
      <c r="Z57" s="51" t="s">
        <v>229</v>
      </c>
      <c r="AA57" s="51" t="s">
        <v>230</v>
      </c>
      <c r="AB57" s="51" t="s">
        <v>254</v>
      </c>
      <c r="AC57" s="51" t="s">
        <v>254</v>
      </c>
      <c r="AD57" s="51" t="s">
        <v>257</v>
      </c>
      <c r="AE57" s="51" t="s">
        <v>257</v>
      </c>
      <c r="AF57" s="51" t="s">
        <v>257</v>
      </c>
      <c r="AG57" s="51" t="s">
        <v>229</v>
      </c>
      <c r="AH57" s="51" t="s">
        <v>229</v>
      </c>
      <c r="AI57" s="51" t="s">
        <v>230</v>
      </c>
      <c r="AJ57" s="51" t="s">
        <v>230</v>
      </c>
      <c r="AL57" s="50">
        <f t="shared" si="15"/>
        <v>0</v>
      </c>
      <c r="AM57" s="50">
        <f t="shared" si="16"/>
        <v>6</v>
      </c>
      <c r="AN57" s="50">
        <f t="shared" si="17"/>
        <v>7</v>
      </c>
      <c r="AO57" s="50">
        <f t="shared" si="18"/>
        <v>4</v>
      </c>
      <c r="AP57" s="50">
        <f t="shared" si="19"/>
        <v>12</v>
      </c>
    </row>
    <row r="58" spans="2:42" ht="18.75" x14ac:dyDescent="0.25">
      <c r="B58" s="37" t="s">
        <v>248</v>
      </c>
      <c r="C58" s="145" t="s">
        <v>212</v>
      </c>
      <c r="D58" s="146"/>
      <c r="F58" s="51" t="s">
        <v>257</v>
      </c>
      <c r="G58" s="51" t="s">
        <v>257</v>
      </c>
      <c r="H58" s="51" t="s">
        <v>229</v>
      </c>
      <c r="I58" s="51" t="s">
        <v>230</v>
      </c>
      <c r="J58" s="51" t="s">
        <v>230</v>
      </c>
      <c r="K58" s="51" t="s">
        <v>254</v>
      </c>
      <c r="L58" s="51" t="s">
        <v>254</v>
      </c>
      <c r="M58" s="51" t="s">
        <v>257</v>
      </c>
      <c r="N58" s="51" t="s">
        <v>257</v>
      </c>
      <c r="O58" s="51" t="s">
        <v>257</v>
      </c>
      <c r="P58" s="51" t="s">
        <v>258</v>
      </c>
      <c r="Q58" s="51" t="s">
        <v>258</v>
      </c>
      <c r="R58" s="51" t="s">
        <v>258</v>
      </c>
      <c r="S58" s="51" t="s">
        <v>258</v>
      </c>
      <c r="T58" s="51" t="s">
        <v>258</v>
      </c>
      <c r="U58" s="51" t="s">
        <v>258</v>
      </c>
      <c r="V58" s="51" t="s">
        <v>257</v>
      </c>
      <c r="W58" s="51" t="s">
        <v>257</v>
      </c>
      <c r="X58" s="51" t="s">
        <v>229</v>
      </c>
      <c r="Y58" s="51" t="s">
        <v>229</v>
      </c>
      <c r="Z58" s="51" t="s">
        <v>230</v>
      </c>
      <c r="AA58" s="51" t="s">
        <v>254</v>
      </c>
      <c r="AB58" s="51" t="s">
        <v>254</v>
      </c>
      <c r="AC58" s="51" t="s">
        <v>257</v>
      </c>
      <c r="AD58" s="51" t="s">
        <v>257</v>
      </c>
      <c r="AE58" s="51" t="s">
        <v>257</v>
      </c>
      <c r="AF58" s="51" t="s">
        <v>229</v>
      </c>
      <c r="AG58" s="51" t="s">
        <v>229</v>
      </c>
      <c r="AH58" s="51" t="s">
        <v>230</v>
      </c>
      <c r="AI58" s="51" t="s">
        <v>230</v>
      </c>
      <c r="AJ58" s="51" t="s">
        <v>254</v>
      </c>
      <c r="AL58" s="50">
        <f t="shared" si="15"/>
        <v>0</v>
      </c>
      <c r="AM58" s="50">
        <f t="shared" si="16"/>
        <v>5</v>
      </c>
      <c r="AN58" s="50">
        <f t="shared" si="17"/>
        <v>5</v>
      </c>
      <c r="AO58" s="50">
        <f t="shared" si="18"/>
        <v>5</v>
      </c>
      <c r="AP58" s="50">
        <f t="shared" si="19"/>
        <v>10</v>
      </c>
    </row>
    <row r="59" spans="2:42" ht="18.75" x14ac:dyDescent="0.25">
      <c r="B59" s="37" t="s">
        <v>248</v>
      </c>
      <c r="C59" s="149" t="s">
        <v>174</v>
      </c>
      <c r="D59" s="149"/>
      <c r="F59" s="51" t="s">
        <v>257</v>
      </c>
      <c r="G59" s="51" t="s">
        <v>229</v>
      </c>
      <c r="H59" s="51" t="s">
        <v>230</v>
      </c>
      <c r="I59" s="51" t="s">
        <v>230</v>
      </c>
      <c r="J59" s="51" t="s">
        <v>254</v>
      </c>
      <c r="K59" s="51" t="s">
        <v>254</v>
      </c>
      <c r="L59" s="51" t="s">
        <v>257</v>
      </c>
      <c r="M59" s="51" t="s">
        <v>257</v>
      </c>
      <c r="N59" s="51" t="s">
        <v>257</v>
      </c>
      <c r="O59" s="103" t="s">
        <v>229</v>
      </c>
      <c r="P59" s="104" t="s">
        <v>229</v>
      </c>
      <c r="Q59" s="104" t="s">
        <v>230</v>
      </c>
      <c r="R59" s="104" t="s">
        <v>254</v>
      </c>
      <c r="S59" s="104" t="s">
        <v>254</v>
      </c>
      <c r="T59" s="51" t="s">
        <v>257</v>
      </c>
      <c r="U59" s="51" t="s">
        <v>257</v>
      </c>
      <c r="V59" s="51" t="s">
        <v>257</v>
      </c>
      <c r="W59" s="51" t="s">
        <v>229</v>
      </c>
      <c r="X59" s="51" t="s">
        <v>229</v>
      </c>
      <c r="Y59" s="51" t="s">
        <v>230</v>
      </c>
      <c r="Z59" s="51" t="s">
        <v>254</v>
      </c>
      <c r="AA59" s="51" t="s">
        <v>254</v>
      </c>
      <c r="AB59" s="51" t="s">
        <v>257</v>
      </c>
      <c r="AC59" s="51" t="s">
        <v>257</v>
      </c>
      <c r="AD59" s="51" t="s">
        <v>257</v>
      </c>
      <c r="AE59" s="51" t="s">
        <v>229</v>
      </c>
      <c r="AF59" s="51" t="s">
        <v>230</v>
      </c>
      <c r="AG59" s="51" t="s">
        <v>230</v>
      </c>
      <c r="AH59" s="51" t="s">
        <v>254</v>
      </c>
      <c r="AI59" s="51" t="s">
        <v>254</v>
      </c>
      <c r="AJ59" s="51" t="s">
        <v>257</v>
      </c>
      <c r="AL59" s="50">
        <f t="shared" si="15"/>
        <v>0</v>
      </c>
      <c r="AM59" s="50">
        <f t="shared" si="16"/>
        <v>6</v>
      </c>
      <c r="AN59" s="50">
        <f t="shared" si="17"/>
        <v>6</v>
      </c>
      <c r="AO59" s="50">
        <f t="shared" si="18"/>
        <v>8</v>
      </c>
      <c r="AP59" s="50">
        <f t="shared" si="19"/>
        <v>11</v>
      </c>
    </row>
    <row r="60" spans="2:42" ht="18.75" x14ac:dyDescent="0.25">
      <c r="B60" s="37" t="s">
        <v>248</v>
      </c>
      <c r="C60" s="149" t="s">
        <v>175</v>
      </c>
      <c r="D60" s="149"/>
      <c r="F60" s="51" t="s">
        <v>229</v>
      </c>
      <c r="G60" s="51" t="s">
        <v>229</v>
      </c>
      <c r="H60" s="51" t="s">
        <v>230</v>
      </c>
      <c r="I60" s="51" t="s">
        <v>254</v>
      </c>
      <c r="J60" s="51" t="s">
        <v>254</v>
      </c>
      <c r="K60" s="51" t="s">
        <v>257</v>
      </c>
      <c r="L60" s="51" t="s">
        <v>257</v>
      </c>
      <c r="M60" s="51" t="s">
        <v>257</v>
      </c>
      <c r="N60" s="51" t="s">
        <v>229</v>
      </c>
      <c r="O60" s="51" t="s">
        <v>229</v>
      </c>
      <c r="P60" s="51" t="s">
        <v>230</v>
      </c>
      <c r="Q60" s="51" t="s">
        <v>254</v>
      </c>
      <c r="R60" s="51" t="s">
        <v>254</v>
      </c>
      <c r="S60" s="51" t="s">
        <v>257</v>
      </c>
      <c r="T60" s="51" t="s">
        <v>257</v>
      </c>
      <c r="U60" s="51" t="s">
        <v>257</v>
      </c>
      <c r="V60" s="51" t="s">
        <v>229</v>
      </c>
      <c r="W60" s="51" t="s">
        <v>229</v>
      </c>
      <c r="X60" s="51" t="s">
        <v>230</v>
      </c>
      <c r="Y60" s="51" t="s">
        <v>254</v>
      </c>
      <c r="Z60" s="51" t="s">
        <v>254</v>
      </c>
      <c r="AA60" s="51" t="s">
        <v>257</v>
      </c>
      <c r="AB60" s="51" t="s">
        <v>257</v>
      </c>
      <c r="AC60" s="51" t="s">
        <v>257</v>
      </c>
      <c r="AD60" s="51" t="s">
        <v>229</v>
      </c>
      <c r="AE60" s="51" t="s">
        <v>229</v>
      </c>
      <c r="AF60" s="51" t="s">
        <v>230</v>
      </c>
      <c r="AG60" s="51" t="s">
        <v>254</v>
      </c>
      <c r="AH60" s="51" t="s">
        <v>254</v>
      </c>
      <c r="AI60" s="51" t="s">
        <v>257</v>
      </c>
      <c r="AJ60" s="51" t="s">
        <v>257</v>
      </c>
      <c r="AL60" s="50">
        <f t="shared" si="15"/>
        <v>0</v>
      </c>
      <c r="AM60" s="50">
        <f t="shared" si="16"/>
        <v>8</v>
      </c>
      <c r="AN60" s="50">
        <f t="shared" si="17"/>
        <v>4</v>
      </c>
      <c r="AO60" s="50">
        <f t="shared" si="18"/>
        <v>8</v>
      </c>
      <c r="AP60" s="50">
        <f t="shared" si="19"/>
        <v>11</v>
      </c>
    </row>
    <row r="61" spans="2:42" ht="18.75" x14ac:dyDescent="0.25">
      <c r="B61" s="37" t="s">
        <v>248</v>
      </c>
      <c r="C61" s="145" t="s">
        <v>176</v>
      </c>
      <c r="D61" s="146"/>
      <c r="F61" s="51" t="s">
        <v>258</v>
      </c>
      <c r="G61" s="51" t="s">
        <v>258</v>
      </c>
      <c r="H61" s="51" t="s">
        <v>258</v>
      </c>
      <c r="I61" s="51" t="s">
        <v>258</v>
      </c>
      <c r="J61" s="51" t="s">
        <v>258</v>
      </c>
      <c r="K61" s="51" t="s">
        <v>258</v>
      </c>
      <c r="L61" s="51" t="s">
        <v>258</v>
      </c>
      <c r="M61" s="51" t="s">
        <v>258</v>
      </c>
      <c r="N61" s="51" t="s">
        <v>258</v>
      </c>
      <c r="O61" s="51" t="s">
        <v>258</v>
      </c>
      <c r="P61" s="51" t="s">
        <v>258</v>
      </c>
      <c r="Q61" s="51" t="s">
        <v>258</v>
      </c>
      <c r="R61" s="51" t="s">
        <v>258</v>
      </c>
      <c r="S61" s="51" t="s">
        <v>257</v>
      </c>
      <c r="T61" s="51" t="s">
        <v>257</v>
      </c>
      <c r="U61" s="51" t="s">
        <v>229</v>
      </c>
      <c r="V61" s="51" t="s">
        <v>229</v>
      </c>
      <c r="W61" s="51" t="s">
        <v>230</v>
      </c>
      <c r="X61" s="51" t="s">
        <v>254</v>
      </c>
      <c r="Y61" s="51" t="s">
        <v>254</v>
      </c>
      <c r="Z61" s="51" t="s">
        <v>257</v>
      </c>
      <c r="AA61" s="51" t="s">
        <v>257</v>
      </c>
      <c r="AB61" s="51" t="s">
        <v>257</v>
      </c>
      <c r="AC61" s="51" t="s">
        <v>229</v>
      </c>
      <c r="AD61" s="51" t="s">
        <v>230</v>
      </c>
      <c r="AE61" s="51" t="s">
        <v>230</v>
      </c>
      <c r="AF61" s="51" t="s">
        <v>254</v>
      </c>
      <c r="AG61" s="51" t="s">
        <v>254</v>
      </c>
      <c r="AH61" s="51" t="s">
        <v>257</v>
      </c>
      <c r="AI61" s="51" t="s">
        <v>257</v>
      </c>
      <c r="AJ61" s="51" t="s">
        <v>257</v>
      </c>
      <c r="AL61" s="50">
        <f t="shared" si="15"/>
        <v>0</v>
      </c>
      <c r="AM61" s="50">
        <f t="shared" si="16"/>
        <v>3</v>
      </c>
      <c r="AN61" s="50">
        <f t="shared" si="17"/>
        <v>3</v>
      </c>
      <c r="AO61" s="50">
        <f t="shared" si="18"/>
        <v>4</v>
      </c>
      <c r="AP61" s="50">
        <f t="shared" si="19"/>
        <v>8</v>
      </c>
    </row>
    <row r="62" spans="2:42" ht="18.75" x14ac:dyDescent="0.25">
      <c r="B62" s="37" t="s">
        <v>248</v>
      </c>
      <c r="C62" s="149" t="s">
        <v>177</v>
      </c>
      <c r="D62" s="149"/>
      <c r="F62" s="51" t="s">
        <v>230</v>
      </c>
      <c r="G62" s="51" t="s">
        <v>254</v>
      </c>
      <c r="H62" s="51" t="s">
        <v>254</v>
      </c>
      <c r="I62" s="51" t="s">
        <v>257</v>
      </c>
      <c r="J62" s="51" t="s">
        <v>257</v>
      </c>
      <c r="K62" s="51" t="s">
        <v>257</v>
      </c>
      <c r="L62" s="51" t="s">
        <v>229</v>
      </c>
      <c r="M62" s="51" t="s">
        <v>229</v>
      </c>
      <c r="N62" s="51" t="s">
        <v>230</v>
      </c>
      <c r="O62" s="51" t="s">
        <v>254</v>
      </c>
      <c r="P62" s="51" t="s">
        <v>254</v>
      </c>
      <c r="Q62" s="51" t="s">
        <v>257</v>
      </c>
      <c r="R62" s="51" t="s">
        <v>257</v>
      </c>
      <c r="S62" s="51" t="s">
        <v>257</v>
      </c>
      <c r="T62" s="51" t="s">
        <v>229</v>
      </c>
      <c r="U62" s="51" t="s">
        <v>230</v>
      </c>
      <c r="V62" s="130" t="s">
        <v>230</v>
      </c>
      <c r="W62" s="51" t="s">
        <v>254</v>
      </c>
      <c r="X62" s="51" t="s">
        <v>254</v>
      </c>
      <c r="Y62" s="51" t="s">
        <v>257</v>
      </c>
      <c r="Z62" s="51" t="s">
        <v>257</v>
      </c>
      <c r="AA62" s="51" t="s">
        <v>257</v>
      </c>
      <c r="AB62" s="51" t="s">
        <v>229</v>
      </c>
      <c r="AC62" s="51" t="s">
        <v>229</v>
      </c>
      <c r="AD62" s="51" t="s">
        <v>230</v>
      </c>
      <c r="AE62" s="51" t="s">
        <v>254</v>
      </c>
      <c r="AF62" s="51" t="s">
        <v>254</v>
      </c>
      <c r="AG62" s="51" t="s">
        <v>257</v>
      </c>
      <c r="AH62" s="51" t="s">
        <v>257</v>
      </c>
      <c r="AI62" s="51" t="s">
        <v>257</v>
      </c>
      <c r="AJ62" s="51" t="s">
        <v>229</v>
      </c>
      <c r="AL62" s="50">
        <f t="shared" si="15"/>
        <v>0</v>
      </c>
      <c r="AM62" s="50">
        <f t="shared" si="16"/>
        <v>6</v>
      </c>
      <c r="AN62" s="50">
        <f t="shared" si="17"/>
        <v>5</v>
      </c>
      <c r="AO62" s="50">
        <f t="shared" si="18"/>
        <v>8</v>
      </c>
      <c r="AP62" s="50">
        <f t="shared" si="19"/>
        <v>12</v>
      </c>
    </row>
    <row r="63" spans="2:42" ht="18.75" x14ac:dyDescent="0.25">
      <c r="B63" s="37" t="s">
        <v>248</v>
      </c>
      <c r="C63" s="145" t="s">
        <v>184</v>
      </c>
      <c r="D63" s="146"/>
      <c r="F63" s="51" t="s">
        <v>230</v>
      </c>
      <c r="G63" s="51" t="s">
        <v>257</v>
      </c>
      <c r="H63" s="51" t="s">
        <v>257</v>
      </c>
      <c r="I63" s="51" t="s">
        <v>229</v>
      </c>
      <c r="J63" s="51" t="s">
        <v>229</v>
      </c>
      <c r="K63" s="51" t="s">
        <v>229</v>
      </c>
      <c r="L63" s="51" t="s">
        <v>230</v>
      </c>
      <c r="M63" s="51" t="s">
        <v>230</v>
      </c>
      <c r="N63" s="51" t="s">
        <v>257</v>
      </c>
      <c r="O63" s="51" t="s">
        <v>257</v>
      </c>
      <c r="P63" s="51" t="s">
        <v>229</v>
      </c>
      <c r="Q63" s="51" t="s">
        <v>229</v>
      </c>
      <c r="R63" s="51" t="s">
        <v>229</v>
      </c>
      <c r="S63" s="51" t="s">
        <v>230</v>
      </c>
      <c r="T63" s="51" t="s">
        <v>230</v>
      </c>
      <c r="U63" s="51" t="s">
        <v>257</v>
      </c>
      <c r="V63" s="51" t="s">
        <v>257</v>
      </c>
      <c r="W63" s="51" t="s">
        <v>229</v>
      </c>
      <c r="X63" s="51" t="s">
        <v>229</v>
      </c>
      <c r="Y63" s="51" t="s">
        <v>229</v>
      </c>
      <c r="Z63" s="51" t="s">
        <v>230</v>
      </c>
      <c r="AA63" s="51" t="s">
        <v>230</v>
      </c>
      <c r="AB63" s="51" t="s">
        <v>257</v>
      </c>
      <c r="AC63" s="51" t="s">
        <v>257</v>
      </c>
      <c r="AD63" s="51" t="s">
        <v>229</v>
      </c>
      <c r="AE63" s="51" t="s">
        <v>229</v>
      </c>
      <c r="AF63" s="51" t="s">
        <v>229</v>
      </c>
      <c r="AG63" s="51" t="s">
        <v>230</v>
      </c>
      <c r="AH63" s="51" t="s">
        <v>230</v>
      </c>
      <c r="AI63" s="51" t="s">
        <v>257</v>
      </c>
      <c r="AJ63" s="51" t="s">
        <v>257</v>
      </c>
      <c r="AL63" s="50">
        <f t="shared" si="15"/>
        <v>0</v>
      </c>
      <c r="AM63" s="50">
        <f t="shared" si="16"/>
        <v>12</v>
      </c>
      <c r="AN63" s="50">
        <f t="shared" si="17"/>
        <v>9</v>
      </c>
      <c r="AO63" s="50">
        <f t="shared" si="18"/>
        <v>0</v>
      </c>
      <c r="AP63" s="50">
        <f t="shared" si="19"/>
        <v>10</v>
      </c>
    </row>
    <row r="64" spans="2:42" ht="18.75" x14ac:dyDescent="0.25">
      <c r="B64" s="37" t="s">
        <v>248</v>
      </c>
      <c r="C64" s="145" t="s">
        <v>185</v>
      </c>
      <c r="D64" s="146"/>
      <c r="F64" s="51" t="s">
        <v>229</v>
      </c>
      <c r="G64" s="51" t="s">
        <v>257</v>
      </c>
      <c r="H64" s="51" t="s">
        <v>257</v>
      </c>
      <c r="I64" s="51" t="s">
        <v>230</v>
      </c>
      <c r="J64" s="51" t="s">
        <v>230</v>
      </c>
      <c r="K64" s="51" t="s">
        <v>230</v>
      </c>
      <c r="L64" s="51" t="s">
        <v>229</v>
      </c>
      <c r="M64" s="51" t="s">
        <v>229</v>
      </c>
      <c r="N64" s="51" t="s">
        <v>257</v>
      </c>
      <c r="O64" s="51" t="s">
        <v>257</v>
      </c>
      <c r="P64" s="51" t="s">
        <v>230</v>
      </c>
      <c r="Q64" s="51" t="s">
        <v>230</v>
      </c>
      <c r="R64" s="51" t="s">
        <v>230</v>
      </c>
      <c r="S64" s="51" t="s">
        <v>229</v>
      </c>
      <c r="T64" s="51" t="s">
        <v>229</v>
      </c>
      <c r="U64" s="51" t="s">
        <v>257</v>
      </c>
      <c r="V64" s="51" t="s">
        <v>257</v>
      </c>
      <c r="W64" s="51" t="s">
        <v>230</v>
      </c>
      <c r="X64" s="51" t="s">
        <v>230</v>
      </c>
      <c r="Y64" s="51" t="s">
        <v>230</v>
      </c>
      <c r="Z64" s="51" t="s">
        <v>229</v>
      </c>
      <c r="AA64" s="51" t="s">
        <v>229</v>
      </c>
      <c r="AB64" s="51" t="s">
        <v>257</v>
      </c>
      <c r="AC64" s="51" t="s">
        <v>257</v>
      </c>
      <c r="AD64" s="51" t="s">
        <v>230</v>
      </c>
      <c r="AE64" s="51" t="s">
        <v>230</v>
      </c>
      <c r="AF64" s="51" t="s">
        <v>230</v>
      </c>
      <c r="AG64" s="51" t="s">
        <v>229</v>
      </c>
      <c r="AH64" s="51" t="s">
        <v>229</v>
      </c>
      <c r="AI64" s="51" t="s">
        <v>257</v>
      </c>
      <c r="AJ64" s="51" t="s">
        <v>257</v>
      </c>
      <c r="AL64" s="50">
        <f t="shared" si="15"/>
        <v>0</v>
      </c>
      <c r="AM64" s="50">
        <f t="shared" si="16"/>
        <v>9</v>
      </c>
      <c r="AN64" s="50">
        <f t="shared" si="17"/>
        <v>12</v>
      </c>
      <c r="AO64" s="50">
        <f t="shared" si="18"/>
        <v>0</v>
      </c>
      <c r="AP64" s="50">
        <f t="shared" si="19"/>
        <v>10</v>
      </c>
    </row>
    <row r="65" spans="2:42" ht="19.5" thickBot="1" x14ac:dyDescent="0.3">
      <c r="B65" s="37" t="s">
        <v>248</v>
      </c>
      <c r="C65" s="149" t="s">
        <v>186</v>
      </c>
      <c r="D65" s="149"/>
      <c r="F65" s="64" t="s">
        <v>257</v>
      </c>
      <c r="G65" s="64" t="s">
        <v>257</v>
      </c>
      <c r="H65" s="64" t="s">
        <v>229</v>
      </c>
      <c r="I65" s="64" t="s">
        <v>257</v>
      </c>
      <c r="J65" s="64" t="s">
        <v>239</v>
      </c>
      <c r="K65" s="64" t="s">
        <v>239</v>
      </c>
      <c r="L65" s="64" t="s">
        <v>239</v>
      </c>
      <c r="M65" s="64" t="s">
        <v>229</v>
      </c>
      <c r="N65" s="64" t="s">
        <v>229</v>
      </c>
      <c r="O65" s="64" t="s">
        <v>257</v>
      </c>
      <c r="P65" s="64" t="s">
        <v>257</v>
      </c>
      <c r="Q65" s="64" t="s">
        <v>239</v>
      </c>
      <c r="R65" s="64" t="s">
        <v>239</v>
      </c>
      <c r="S65" s="64" t="s">
        <v>239</v>
      </c>
      <c r="T65" s="64" t="s">
        <v>229</v>
      </c>
      <c r="U65" s="64" t="s">
        <v>229</v>
      </c>
      <c r="V65" s="64" t="s">
        <v>257</v>
      </c>
      <c r="W65" s="64" t="s">
        <v>257</v>
      </c>
      <c r="X65" s="64" t="s">
        <v>239</v>
      </c>
      <c r="Y65" s="64" t="s">
        <v>239</v>
      </c>
      <c r="Z65" s="64" t="s">
        <v>239</v>
      </c>
      <c r="AA65" s="64" t="s">
        <v>229</v>
      </c>
      <c r="AB65" s="64" t="s">
        <v>229</v>
      </c>
      <c r="AC65" s="64" t="s">
        <v>257</v>
      </c>
      <c r="AD65" s="64" t="s">
        <v>257</v>
      </c>
      <c r="AE65" s="64" t="s">
        <v>239</v>
      </c>
      <c r="AF65" s="64" t="s">
        <v>239</v>
      </c>
      <c r="AG65" s="64" t="s">
        <v>239</v>
      </c>
      <c r="AH65" s="64" t="s">
        <v>229</v>
      </c>
      <c r="AI65" s="64" t="s">
        <v>229</v>
      </c>
      <c r="AJ65" s="64" t="s">
        <v>257</v>
      </c>
      <c r="AL65" s="50">
        <f t="shared" si="15"/>
        <v>0</v>
      </c>
      <c r="AM65" s="50">
        <f t="shared" si="16"/>
        <v>21</v>
      </c>
      <c r="AN65" s="50">
        <f t="shared" si="17"/>
        <v>0</v>
      </c>
      <c r="AO65" s="50">
        <f t="shared" si="18"/>
        <v>0</v>
      </c>
      <c r="AP65" s="50">
        <f t="shared" si="19"/>
        <v>10</v>
      </c>
    </row>
    <row r="66" spans="2:42" ht="18.75" x14ac:dyDescent="0.25">
      <c r="B66" s="37" t="s">
        <v>249</v>
      </c>
      <c r="C66" s="147" t="s">
        <v>193</v>
      </c>
      <c r="D66" s="148"/>
      <c r="F66" s="23" t="s">
        <v>257</v>
      </c>
      <c r="G66" s="23" t="s">
        <v>257</v>
      </c>
      <c r="H66" s="23" t="s">
        <v>257</v>
      </c>
      <c r="I66" s="27" t="s">
        <v>229</v>
      </c>
      <c r="J66" s="27" t="s">
        <v>229</v>
      </c>
      <c r="K66" s="23" t="s">
        <v>230</v>
      </c>
      <c r="L66" s="23" t="s">
        <v>254</v>
      </c>
      <c r="M66" s="23" t="s">
        <v>254</v>
      </c>
      <c r="N66" s="23" t="s">
        <v>257</v>
      </c>
      <c r="O66" s="23" t="s">
        <v>257</v>
      </c>
      <c r="P66" s="23" t="s">
        <v>257</v>
      </c>
      <c r="Q66" s="27" t="s">
        <v>229</v>
      </c>
      <c r="R66" s="23" t="s">
        <v>230</v>
      </c>
      <c r="S66" s="23" t="s">
        <v>230</v>
      </c>
      <c r="T66" s="23" t="s">
        <v>254</v>
      </c>
      <c r="U66" s="23" t="s">
        <v>254</v>
      </c>
      <c r="V66" s="23" t="s">
        <v>257</v>
      </c>
      <c r="W66" s="23" t="s">
        <v>257</v>
      </c>
      <c r="X66" s="23" t="s">
        <v>257</v>
      </c>
      <c r="Y66" s="27" t="s">
        <v>229</v>
      </c>
      <c r="Z66" s="23" t="s">
        <v>230</v>
      </c>
      <c r="AA66" s="23" t="s">
        <v>255</v>
      </c>
      <c r="AB66" s="23" t="s">
        <v>254</v>
      </c>
      <c r="AC66" s="23" t="s">
        <v>254</v>
      </c>
      <c r="AD66" s="23" t="s">
        <v>257</v>
      </c>
      <c r="AE66" s="23" t="s">
        <v>257</v>
      </c>
      <c r="AF66" s="23" t="s">
        <v>257</v>
      </c>
      <c r="AG66" s="27" t="s">
        <v>229</v>
      </c>
      <c r="AH66" s="27" t="s">
        <v>253</v>
      </c>
      <c r="AI66" s="23" t="s">
        <v>230</v>
      </c>
      <c r="AJ66" s="23" t="s">
        <v>230</v>
      </c>
      <c r="AL66" s="50">
        <f>COUNTIF($F66:$AJ66,"ST*")</f>
        <v>2</v>
      </c>
      <c r="AM66" s="50">
        <f>COUNTIF($F66:$AJ66,"M*")</f>
        <v>5</v>
      </c>
      <c r="AN66" s="50">
        <f>COUNTIF($F66:$AJ66,"A*")</f>
        <v>6</v>
      </c>
      <c r="AO66" s="50">
        <f>COUNTIF($F66:$AJ66,"N*")</f>
        <v>6</v>
      </c>
      <c r="AP66" s="50">
        <f>COUNTIF($F66:$AJ66,"O*")</f>
        <v>12</v>
      </c>
    </row>
    <row r="67" spans="2:42" ht="18.75" x14ac:dyDescent="0.25">
      <c r="B67" s="37" t="s">
        <v>249</v>
      </c>
      <c r="C67" s="145" t="s">
        <v>194</v>
      </c>
      <c r="D67" s="146"/>
      <c r="F67" s="23" t="s">
        <v>257</v>
      </c>
      <c r="G67" s="23" t="s">
        <v>257</v>
      </c>
      <c r="H67" s="27" t="s">
        <v>229</v>
      </c>
      <c r="I67" s="51" t="s">
        <v>230</v>
      </c>
      <c r="J67" s="51" t="s">
        <v>230</v>
      </c>
      <c r="K67" s="23" t="s">
        <v>254</v>
      </c>
      <c r="L67" s="23" t="s">
        <v>254</v>
      </c>
      <c r="M67" s="23" t="s">
        <v>257</v>
      </c>
      <c r="N67" s="23" t="s">
        <v>257</v>
      </c>
      <c r="O67" s="23" t="s">
        <v>257</v>
      </c>
      <c r="P67" s="27" t="s">
        <v>229</v>
      </c>
      <c r="Q67" s="51" t="s">
        <v>230</v>
      </c>
      <c r="R67" s="51" t="s">
        <v>230</v>
      </c>
      <c r="S67" s="23" t="s">
        <v>254</v>
      </c>
      <c r="T67" s="23" t="s">
        <v>254</v>
      </c>
      <c r="U67" s="23" t="s">
        <v>257</v>
      </c>
      <c r="V67" s="23" t="s">
        <v>257</v>
      </c>
      <c r="W67" s="23" t="s">
        <v>257</v>
      </c>
      <c r="X67" s="56" t="s">
        <v>229</v>
      </c>
      <c r="Y67" s="56" t="s">
        <v>253</v>
      </c>
      <c r="Z67" s="56" t="s">
        <v>230</v>
      </c>
      <c r="AA67" s="56" t="s">
        <v>230</v>
      </c>
      <c r="AB67" s="56" t="s">
        <v>254</v>
      </c>
      <c r="AC67" s="23" t="s">
        <v>257</v>
      </c>
      <c r="AD67" s="23" t="s">
        <v>257</v>
      </c>
      <c r="AE67" s="23" t="s">
        <v>257</v>
      </c>
      <c r="AF67" s="27" t="s">
        <v>144</v>
      </c>
      <c r="AG67" s="51" t="s">
        <v>230</v>
      </c>
      <c r="AH67" s="51" t="s">
        <v>230</v>
      </c>
      <c r="AI67" s="23" t="s">
        <v>254</v>
      </c>
      <c r="AJ67" s="23" t="s">
        <v>254</v>
      </c>
      <c r="AL67" s="50">
        <f t="shared" ref="AL67:AL84" si="20">COUNTIF($F67:$AJ67,"ST*")</f>
        <v>1</v>
      </c>
      <c r="AM67" s="50">
        <f t="shared" ref="AM67:AM84" si="21">COUNTIF($F67:$AJ67,"M*")</f>
        <v>3</v>
      </c>
      <c r="AN67" s="50">
        <f t="shared" ref="AN67:AN84" si="22">COUNTIF($F67:$AJ67,"A*")</f>
        <v>8</v>
      </c>
      <c r="AO67" s="50">
        <f t="shared" ref="AO67:AO84" si="23">COUNTIF($F67:$AJ67,"N*")</f>
        <v>7</v>
      </c>
      <c r="AP67" s="50">
        <f t="shared" ref="AP67:AP84" si="24">COUNTIF($F67:$AJ67,"O*")</f>
        <v>11</v>
      </c>
    </row>
    <row r="68" spans="2:42" ht="18.75" x14ac:dyDescent="0.25">
      <c r="B68" s="37" t="s">
        <v>249</v>
      </c>
      <c r="C68" s="145" t="s">
        <v>270</v>
      </c>
      <c r="D68" s="146"/>
      <c r="F68" s="23" t="s">
        <v>257</v>
      </c>
      <c r="G68" s="27" t="s">
        <v>229</v>
      </c>
      <c r="H68" s="27" t="s">
        <v>230</v>
      </c>
      <c r="I68" s="51" t="s">
        <v>230</v>
      </c>
      <c r="J68" s="23" t="s">
        <v>254</v>
      </c>
      <c r="K68" s="23" t="s">
        <v>254</v>
      </c>
      <c r="L68" s="23" t="s">
        <v>257</v>
      </c>
      <c r="M68" s="23" t="s">
        <v>257</v>
      </c>
      <c r="N68" s="23" t="s">
        <v>257</v>
      </c>
      <c r="O68" s="27" t="s">
        <v>229</v>
      </c>
      <c r="P68" s="51" t="s">
        <v>230</v>
      </c>
      <c r="Q68" s="51" t="s">
        <v>230</v>
      </c>
      <c r="R68" s="51" t="s">
        <v>256</v>
      </c>
      <c r="S68" s="23" t="s">
        <v>254</v>
      </c>
      <c r="T68" s="23" t="s">
        <v>257</v>
      </c>
      <c r="U68" s="23" t="s">
        <v>257</v>
      </c>
      <c r="V68" s="23" t="s">
        <v>257</v>
      </c>
      <c r="W68" s="56" t="s">
        <v>229</v>
      </c>
      <c r="X68" s="56" t="s">
        <v>229</v>
      </c>
      <c r="Y68" s="56" t="s">
        <v>230</v>
      </c>
      <c r="Z68" s="56" t="s">
        <v>254</v>
      </c>
      <c r="AA68" s="56" t="s">
        <v>254</v>
      </c>
      <c r="AB68" s="23" t="s">
        <v>257</v>
      </c>
      <c r="AC68" s="23" t="s">
        <v>257</v>
      </c>
      <c r="AD68" s="23" t="s">
        <v>257</v>
      </c>
      <c r="AE68" s="27" t="s">
        <v>229</v>
      </c>
      <c r="AF68" s="27" t="s">
        <v>229</v>
      </c>
      <c r="AG68" s="51" t="s">
        <v>230</v>
      </c>
      <c r="AH68" s="23" t="s">
        <v>254</v>
      </c>
      <c r="AI68" s="23" t="s">
        <v>254</v>
      </c>
      <c r="AJ68" s="23" t="s">
        <v>257</v>
      </c>
      <c r="AL68" s="50">
        <f t="shared" si="20"/>
        <v>1</v>
      </c>
      <c r="AM68" s="50">
        <f t="shared" si="21"/>
        <v>6</v>
      </c>
      <c r="AN68" s="50">
        <f t="shared" si="22"/>
        <v>6</v>
      </c>
      <c r="AO68" s="50">
        <f t="shared" si="23"/>
        <v>7</v>
      </c>
      <c r="AP68" s="50">
        <f t="shared" si="24"/>
        <v>11</v>
      </c>
    </row>
    <row r="69" spans="2:42" ht="18.75" x14ac:dyDescent="0.25">
      <c r="B69" s="37" t="s">
        <v>249</v>
      </c>
      <c r="C69" s="145" t="s">
        <v>195</v>
      </c>
      <c r="D69" s="146"/>
      <c r="F69" s="27" t="s">
        <v>258</v>
      </c>
      <c r="G69" s="27" t="s">
        <v>258</v>
      </c>
      <c r="H69" s="51" t="s">
        <v>258</v>
      </c>
      <c r="I69" s="51" t="s">
        <v>258</v>
      </c>
      <c r="J69" s="23" t="s">
        <v>258</v>
      </c>
      <c r="K69" s="23" t="s">
        <v>258</v>
      </c>
      <c r="L69" s="23" t="s">
        <v>257</v>
      </c>
      <c r="M69" s="23" t="s">
        <v>257</v>
      </c>
      <c r="N69" s="27" t="s">
        <v>229</v>
      </c>
      <c r="O69" s="51" t="s">
        <v>230</v>
      </c>
      <c r="P69" s="51" t="s">
        <v>230</v>
      </c>
      <c r="Q69" s="23" t="s">
        <v>254</v>
      </c>
      <c r="R69" s="23" t="s">
        <v>254</v>
      </c>
      <c r="S69" s="23" t="s">
        <v>257</v>
      </c>
      <c r="T69" s="23" t="s">
        <v>257</v>
      </c>
      <c r="U69" s="23" t="s">
        <v>257</v>
      </c>
      <c r="V69" s="27" t="s">
        <v>229</v>
      </c>
      <c r="W69" s="27" t="s">
        <v>229</v>
      </c>
      <c r="X69" s="51" t="s">
        <v>230</v>
      </c>
      <c r="Y69" s="23" t="s">
        <v>254</v>
      </c>
      <c r="Z69" s="23" t="s">
        <v>254</v>
      </c>
      <c r="AA69" s="23" t="s">
        <v>257</v>
      </c>
      <c r="AB69" s="23" t="s">
        <v>257</v>
      </c>
      <c r="AC69" s="23" t="s">
        <v>257</v>
      </c>
      <c r="AD69" s="27" t="s">
        <v>229</v>
      </c>
      <c r="AE69" s="27" t="s">
        <v>229</v>
      </c>
      <c r="AF69" s="51" t="s">
        <v>230</v>
      </c>
      <c r="AG69" s="51" t="s">
        <v>254</v>
      </c>
      <c r="AH69" s="23" t="s">
        <v>254</v>
      </c>
      <c r="AI69" s="23" t="s">
        <v>257</v>
      </c>
      <c r="AJ69" s="23" t="s">
        <v>257</v>
      </c>
      <c r="AL69" s="50">
        <f t="shared" si="20"/>
        <v>0</v>
      </c>
      <c r="AM69" s="50">
        <f t="shared" si="21"/>
        <v>5</v>
      </c>
      <c r="AN69" s="50">
        <f t="shared" si="22"/>
        <v>4</v>
      </c>
      <c r="AO69" s="50">
        <f t="shared" si="23"/>
        <v>6</v>
      </c>
      <c r="AP69" s="50">
        <f t="shared" si="24"/>
        <v>10</v>
      </c>
    </row>
    <row r="70" spans="2:42" ht="18.75" x14ac:dyDescent="0.25">
      <c r="B70" s="37" t="s">
        <v>249</v>
      </c>
      <c r="C70" s="145" t="s">
        <v>196</v>
      </c>
      <c r="D70" s="146"/>
      <c r="F70" s="27" t="s">
        <v>229</v>
      </c>
      <c r="G70" s="51" t="s">
        <v>230</v>
      </c>
      <c r="H70" s="51" t="s">
        <v>230</v>
      </c>
      <c r="I70" s="23" t="s">
        <v>254</v>
      </c>
      <c r="J70" s="23" t="s">
        <v>257</v>
      </c>
      <c r="K70" s="23" t="s">
        <v>257</v>
      </c>
      <c r="L70" s="23" t="s">
        <v>257</v>
      </c>
      <c r="M70" s="27" t="s">
        <v>229</v>
      </c>
      <c r="N70" s="27" t="s">
        <v>229</v>
      </c>
      <c r="O70" s="51" t="s">
        <v>230</v>
      </c>
      <c r="P70" s="51" t="s">
        <v>254</v>
      </c>
      <c r="Q70" s="23" t="s">
        <v>254</v>
      </c>
      <c r="R70" s="23" t="s">
        <v>257</v>
      </c>
      <c r="S70" s="23" t="s">
        <v>257</v>
      </c>
      <c r="T70" s="23" t="s">
        <v>257</v>
      </c>
      <c r="U70" s="27" t="s">
        <v>229</v>
      </c>
      <c r="V70" s="27" t="s">
        <v>229</v>
      </c>
      <c r="W70" s="51" t="s">
        <v>230</v>
      </c>
      <c r="X70" s="23" t="s">
        <v>254</v>
      </c>
      <c r="Y70" s="23" t="s">
        <v>254</v>
      </c>
      <c r="Z70" s="23" t="s">
        <v>257</v>
      </c>
      <c r="AA70" s="23" t="s">
        <v>257</v>
      </c>
      <c r="AB70" s="23" t="s">
        <v>257</v>
      </c>
      <c r="AC70" s="27" t="s">
        <v>229</v>
      </c>
      <c r="AD70" s="27" t="s">
        <v>229</v>
      </c>
      <c r="AE70" s="51" t="s">
        <v>230</v>
      </c>
      <c r="AF70" s="51" t="s">
        <v>230</v>
      </c>
      <c r="AG70" s="23" t="s">
        <v>254</v>
      </c>
      <c r="AH70" s="23" t="s">
        <v>257</v>
      </c>
      <c r="AI70" s="23" t="s">
        <v>257</v>
      </c>
      <c r="AJ70" s="23" t="s">
        <v>257</v>
      </c>
      <c r="AL70" s="50">
        <f t="shared" si="20"/>
        <v>0</v>
      </c>
      <c r="AM70" s="50">
        <f t="shared" si="21"/>
        <v>7</v>
      </c>
      <c r="AN70" s="50">
        <f t="shared" si="22"/>
        <v>6</v>
      </c>
      <c r="AO70" s="50">
        <f t="shared" si="23"/>
        <v>6</v>
      </c>
      <c r="AP70" s="50">
        <f t="shared" si="24"/>
        <v>12</v>
      </c>
    </row>
    <row r="71" spans="2:42" ht="18.75" x14ac:dyDescent="0.25">
      <c r="B71" s="37" t="s">
        <v>249</v>
      </c>
      <c r="C71" s="145" t="s">
        <v>197</v>
      </c>
      <c r="D71" s="146"/>
      <c r="F71" s="51" t="s">
        <v>230</v>
      </c>
      <c r="G71" s="23" t="s">
        <v>230</v>
      </c>
      <c r="H71" s="23" t="s">
        <v>254</v>
      </c>
      <c r="I71" s="23" t="s">
        <v>257</v>
      </c>
      <c r="J71" s="23" t="s">
        <v>257</v>
      </c>
      <c r="K71" s="23" t="s">
        <v>257</v>
      </c>
      <c r="L71" s="27" t="s">
        <v>229</v>
      </c>
      <c r="M71" s="27" t="s">
        <v>229</v>
      </c>
      <c r="N71" s="51" t="s">
        <v>230</v>
      </c>
      <c r="O71" s="51" t="s">
        <v>254</v>
      </c>
      <c r="P71" s="23" t="s">
        <v>254</v>
      </c>
      <c r="Q71" s="23" t="s">
        <v>257</v>
      </c>
      <c r="R71" s="23" t="s">
        <v>257</v>
      </c>
      <c r="S71" s="23" t="s">
        <v>257</v>
      </c>
      <c r="T71" s="27" t="s">
        <v>229</v>
      </c>
      <c r="U71" s="51" t="s">
        <v>230</v>
      </c>
      <c r="V71" s="130" t="s">
        <v>230</v>
      </c>
      <c r="W71" s="23" t="s">
        <v>254</v>
      </c>
      <c r="X71" s="23" t="s">
        <v>254</v>
      </c>
      <c r="Y71" s="23" t="s">
        <v>257</v>
      </c>
      <c r="Z71" s="23" t="s">
        <v>257</v>
      </c>
      <c r="AA71" s="23" t="s">
        <v>257</v>
      </c>
      <c r="AB71" s="27" t="s">
        <v>229</v>
      </c>
      <c r="AC71" s="27" t="s">
        <v>229</v>
      </c>
      <c r="AD71" s="51" t="s">
        <v>230</v>
      </c>
      <c r="AE71" s="23" t="s">
        <v>144</v>
      </c>
      <c r="AF71" s="23" t="s">
        <v>254</v>
      </c>
      <c r="AG71" s="23" t="s">
        <v>257</v>
      </c>
      <c r="AH71" s="23" t="s">
        <v>257</v>
      </c>
      <c r="AI71" s="23" t="s">
        <v>257</v>
      </c>
      <c r="AJ71" s="27" t="s">
        <v>229</v>
      </c>
      <c r="AL71" s="50">
        <f t="shared" si="20"/>
        <v>0</v>
      </c>
      <c r="AM71" s="50">
        <f t="shared" si="21"/>
        <v>6</v>
      </c>
      <c r="AN71" s="50">
        <f t="shared" si="22"/>
        <v>6</v>
      </c>
      <c r="AO71" s="50">
        <f t="shared" si="23"/>
        <v>6</v>
      </c>
      <c r="AP71" s="50">
        <f t="shared" si="24"/>
        <v>12</v>
      </c>
    </row>
    <row r="72" spans="2:42" ht="18.75" x14ac:dyDescent="0.25">
      <c r="B72" s="37" t="s">
        <v>249</v>
      </c>
      <c r="C72" s="145" t="s">
        <v>198</v>
      </c>
      <c r="D72" s="146"/>
      <c r="F72" s="23" t="s">
        <v>230</v>
      </c>
      <c r="G72" s="23" t="s">
        <v>254</v>
      </c>
      <c r="H72" s="23" t="s">
        <v>257</v>
      </c>
      <c r="I72" s="23" t="s">
        <v>257</v>
      </c>
      <c r="J72" s="23" t="s">
        <v>257</v>
      </c>
      <c r="K72" s="27" t="s">
        <v>229</v>
      </c>
      <c r="L72" s="51" t="s">
        <v>230</v>
      </c>
      <c r="M72" s="51" t="s">
        <v>230</v>
      </c>
      <c r="N72" s="23" t="s">
        <v>254</v>
      </c>
      <c r="O72" s="23" t="s">
        <v>254</v>
      </c>
      <c r="P72" s="23" t="s">
        <v>257</v>
      </c>
      <c r="Q72" s="23" t="s">
        <v>257</v>
      </c>
      <c r="R72" s="23" t="s">
        <v>257</v>
      </c>
      <c r="S72" s="27" t="s">
        <v>229</v>
      </c>
      <c r="T72" s="51" t="s">
        <v>255</v>
      </c>
      <c r="U72" s="51" t="s">
        <v>230</v>
      </c>
      <c r="V72" s="23" t="s">
        <v>254</v>
      </c>
      <c r="W72" s="23" t="s">
        <v>254</v>
      </c>
      <c r="X72" s="23" t="s">
        <v>257</v>
      </c>
      <c r="Y72" s="23" t="s">
        <v>257</v>
      </c>
      <c r="Z72" s="23" t="s">
        <v>257</v>
      </c>
      <c r="AA72" s="27" t="s">
        <v>229</v>
      </c>
      <c r="AB72" s="51" t="s">
        <v>255</v>
      </c>
      <c r="AC72" s="23" t="s">
        <v>230</v>
      </c>
      <c r="AD72" s="23" t="s">
        <v>144</v>
      </c>
      <c r="AE72" s="23" t="s">
        <v>254</v>
      </c>
      <c r="AF72" s="23" t="s">
        <v>257</v>
      </c>
      <c r="AG72" s="23" t="s">
        <v>257</v>
      </c>
      <c r="AH72" s="23" t="s">
        <v>257</v>
      </c>
      <c r="AI72" s="27" t="s">
        <v>229</v>
      </c>
      <c r="AJ72" s="51" t="s">
        <v>255</v>
      </c>
      <c r="AL72" s="50">
        <f t="shared" si="20"/>
        <v>3</v>
      </c>
      <c r="AM72" s="50">
        <f t="shared" si="21"/>
        <v>4</v>
      </c>
      <c r="AN72" s="50">
        <f t="shared" si="22"/>
        <v>5</v>
      </c>
      <c r="AO72" s="50">
        <f t="shared" si="23"/>
        <v>6</v>
      </c>
      <c r="AP72" s="50">
        <f t="shared" si="24"/>
        <v>12</v>
      </c>
    </row>
    <row r="73" spans="2:42" ht="18.75" x14ac:dyDescent="0.25">
      <c r="B73" s="37" t="s">
        <v>249</v>
      </c>
      <c r="C73" s="145" t="s">
        <v>199</v>
      </c>
      <c r="D73" s="146"/>
      <c r="F73" s="56" t="s">
        <v>254</v>
      </c>
      <c r="G73" s="56" t="s">
        <v>257</v>
      </c>
      <c r="H73" s="56" t="s">
        <v>257</v>
      </c>
      <c r="I73" s="56" t="s">
        <v>257</v>
      </c>
      <c r="J73" s="56" t="s">
        <v>229</v>
      </c>
      <c r="K73" s="56" t="s">
        <v>229</v>
      </c>
      <c r="L73" s="56" t="s">
        <v>230</v>
      </c>
      <c r="M73" s="56" t="s">
        <v>230</v>
      </c>
      <c r="N73" s="56" t="s">
        <v>254</v>
      </c>
      <c r="O73" s="23" t="s">
        <v>257</v>
      </c>
      <c r="P73" s="23" t="s">
        <v>257</v>
      </c>
      <c r="Q73" s="23" t="s">
        <v>257</v>
      </c>
      <c r="R73" s="27" t="s">
        <v>229</v>
      </c>
      <c r="S73" s="51" t="s">
        <v>255</v>
      </c>
      <c r="T73" s="51" t="s">
        <v>230</v>
      </c>
      <c r="U73" s="23" t="s">
        <v>254</v>
      </c>
      <c r="V73" s="23" t="s">
        <v>254</v>
      </c>
      <c r="W73" s="23" t="s">
        <v>257</v>
      </c>
      <c r="X73" s="23" t="s">
        <v>257</v>
      </c>
      <c r="Y73" s="23" t="s">
        <v>257</v>
      </c>
      <c r="Z73" s="56" t="s">
        <v>229</v>
      </c>
      <c r="AA73" s="56" t="s">
        <v>253</v>
      </c>
      <c r="AB73" s="56" t="s">
        <v>230</v>
      </c>
      <c r="AC73" s="56" t="s">
        <v>230</v>
      </c>
      <c r="AD73" s="56" t="s">
        <v>144</v>
      </c>
      <c r="AE73" s="56" t="s">
        <v>257</v>
      </c>
      <c r="AF73" s="56" t="s">
        <v>257</v>
      </c>
      <c r="AG73" s="56" t="s">
        <v>257</v>
      </c>
      <c r="AH73" s="56" t="s">
        <v>229</v>
      </c>
      <c r="AI73" s="56" t="s">
        <v>253</v>
      </c>
      <c r="AJ73" s="56" t="s">
        <v>230</v>
      </c>
      <c r="AL73" s="50">
        <f t="shared" si="20"/>
        <v>3</v>
      </c>
      <c r="AM73" s="50">
        <f t="shared" si="21"/>
        <v>5</v>
      </c>
      <c r="AN73" s="50">
        <f t="shared" si="22"/>
        <v>6</v>
      </c>
      <c r="AO73" s="50">
        <f t="shared" si="23"/>
        <v>4</v>
      </c>
      <c r="AP73" s="50">
        <f t="shared" si="24"/>
        <v>12</v>
      </c>
    </row>
    <row r="74" spans="2:42" ht="18.75" x14ac:dyDescent="0.25">
      <c r="B74" s="37" t="s">
        <v>249</v>
      </c>
      <c r="C74" s="145" t="s">
        <v>200</v>
      </c>
      <c r="D74" s="146"/>
      <c r="F74" s="23" t="s">
        <v>258</v>
      </c>
      <c r="G74" s="23" t="s">
        <v>258</v>
      </c>
      <c r="H74" s="23" t="s">
        <v>258</v>
      </c>
      <c r="I74" s="27" t="s">
        <v>258</v>
      </c>
      <c r="J74" s="51" t="s">
        <v>258</v>
      </c>
      <c r="K74" s="51" t="s">
        <v>258</v>
      </c>
      <c r="L74" s="23" t="s">
        <v>258</v>
      </c>
      <c r="M74" s="23" t="s">
        <v>258</v>
      </c>
      <c r="N74" s="23" t="s">
        <v>258</v>
      </c>
      <c r="O74" s="23" t="s">
        <v>258</v>
      </c>
      <c r="P74" s="23" t="s">
        <v>258</v>
      </c>
      <c r="Q74" s="27" t="s">
        <v>258</v>
      </c>
      <c r="R74" s="27" t="s">
        <v>258</v>
      </c>
      <c r="S74" s="51" t="s">
        <v>258</v>
      </c>
      <c r="T74" s="51" t="s">
        <v>258</v>
      </c>
      <c r="U74" s="51" t="s">
        <v>258</v>
      </c>
      <c r="V74" s="130" t="s">
        <v>257</v>
      </c>
      <c r="W74" s="23" t="s">
        <v>257</v>
      </c>
      <c r="X74" s="23" t="s">
        <v>257</v>
      </c>
      <c r="Y74" s="27" t="s">
        <v>229</v>
      </c>
      <c r="Z74" s="51" t="s">
        <v>230</v>
      </c>
      <c r="AA74" s="51" t="s">
        <v>230</v>
      </c>
      <c r="AB74" s="23" t="s">
        <v>256</v>
      </c>
      <c r="AC74" s="23" t="s">
        <v>254</v>
      </c>
      <c r="AD74" s="23" t="s">
        <v>257</v>
      </c>
      <c r="AE74" s="23" t="s">
        <v>257</v>
      </c>
      <c r="AF74" s="23" t="s">
        <v>257</v>
      </c>
      <c r="AG74" s="27" t="s">
        <v>229</v>
      </c>
      <c r="AH74" s="51" t="s">
        <v>230</v>
      </c>
      <c r="AI74" s="51" t="s">
        <v>255</v>
      </c>
      <c r="AJ74" s="23" t="s">
        <v>254</v>
      </c>
      <c r="AL74" s="50">
        <f t="shared" si="20"/>
        <v>2</v>
      </c>
      <c r="AM74" s="50">
        <f t="shared" si="21"/>
        <v>2</v>
      </c>
      <c r="AN74" s="50">
        <f t="shared" si="22"/>
        <v>3</v>
      </c>
      <c r="AO74" s="50">
        <f t="shared" si="23"/>
        <v>2</v>
      </c>
      <c r="AP74" s="50">
        <f t="shared" si="24"/>
        <v>6</v>
      </c>
    </row>
    <row r="75" spans="2:42" ht="18.75" x14ac:dyDescent="0.25">
      <c r="B75" s="37" t="s">
        <v>249</v>
      </c>
      <c r="C75" s="145" t="s">
        <v>201</v>
      </c>
      <c r="D75" s="146"/>
      <c r="F75" s="23" t="s">
        <v>257</v>
      </c>
      <c r="G75" s="23" t="s">
        <v>257</v>
      </c>
      <c r="H75" s="56" t="s">
        <v>229</v>
      </c>
      <c r="I75" s="56" t="s">
        <v>229</v>
      </c>
      <c r="J75" s="56" t="s">
        <v>230</v>
      </c>
      <c r="K75" s="56" t="s">
        <v>230</v>
      </c>
      <c r="L75" s="56" t="s">
        <v>254</v>
      </c>
      <c r="M75" s="23" t="s">
        <v>257</v>
      </c>
      <c r="N75" s="23" t="s">
        <v>257</v>
      </c>
      <c r="O75" s="23" t="s">
        <v>257</v>
      </c>
      <c r="P75" s="27" t="s">
        <v>229</v>
      </c>
      <c r="Q75" s="51" t="s">
        <v>229</v>
      </c>
      <c r="R75" s="51" t="s">
        <v>230</v>
      </c>
      <c r="S75" s="51" t="s">
        <v>230</v>
      </c>
      <c r="T75" s="23" t="s">
        <v>254</v>
      </c>
      <c r="U75" s="23" t="s">
        <v>257</v>
      </c>
      <c r="V75" s="23" t="s">
        <v>257</v>
      </c>
      <c r="W75" s="23" t="s">
        <v>257</v>
      </c>
      <c r="X75" s="27" t="s">
        <v>229</v>
      </c>
      <c r="Y75" s="51" t="s">
        <v>230</v>
      </c>
      <c r="Z75" s="51" t="s">
        <v>254</v>
      </c>
      <c r="AA75" s="23" t="s">
        <v>254</v>
      </c>
      <c r="AB75" s="23" t="s">
        <v>254</v>
      </c>
      <c r="AC75" s="23" t="s">
        <v>257</v>
      </c>
      <c r="AD75" s="23" t="s">
        <v>257</v>
      </c>
      <c r="AE75" s="23" t="s">
        <v>257</v>
      </c>
      <c r="AF75" s="56" t="s">
        <v>229</v>
      </c>
      <c r="AG75" s="56" t="s">
        <v>253</v>
      </c>
      <c r="AH75" s="56" t="s">
        <v>230</v>
      </c>
      <c r="AI75" s="56" t="s">
        <v>230</v>
      </c>
      <c r="AJ75" s="56" t="s">
        <v>254</v>
      </c>
      <c r="AL75" s="50">
        <f t="shared" si="20"/>
        <v>1</v>
      </c>
      <c r="AM75" s="50">
        <f t="shared" si="21"/>
        <v>6</v>
      </c>
      <c r="AN75" s="50">
        <f t="shared" si="22"/>
        <v>7</v>
      </c>
      <c r="AO75" s="50">
        <f t="shared" si="23"/>
        <v>6</v>
      </c>
      <c r="AP75" s="50">
        <f t="shared" si="24"/>
        <v>11</v>
      </c>
    </row>
    <row r="76" spans="2:42" ht="18.75" x14ac:dyDescent="0.25">
      <c r="B76" s="37" t="s">
        <v>249</v>
      </c>
      <c r="C76" s="145" t="s">
        <v>202</v>
      </c>
      <c r="D76" s="146"/>
      <c r="F76" s="23" t="s">
        <v>257</v>
      </c>
      <c r="G76" s="27" t="s">
        <v>229</v>
      </c>
      <c r="H76" s="27" t="s">
        <v>229</v>
      </c>
      <c r="I76" s="51" t="s">
        <v>230</v>
      </c>
      <c r="J76" s="51" t="s">
        <v>254</v>
      </c>
      <c r="K76" s="51" t="s">
        <v>254</v>
      </c>
      <c r="L76" s="23" t="s">
        <v>257</v>
      </c>
      <c r="M76" s="23" t="s">
        <v>257</v>
      </c>
      <c r="N76" s="23" t="s">
        <v>257</v>
      </c>
      <c r="O76" s="27" t="s">
        <v>229</v>
      </c>
      <c r="P76" s="27" t="s">
        <v>229</v>
      </c>
      <c r="Q76" s="51" t="s">
        <v>255</v>
      </c>
      <c r="R76" s="23" t="s">
        <v>254</v>
      </c>
      <c r="S76" s="51" t="s">
        <v>254</v>
      </c>
      <c r="T76" s="23" t="s">
        <v>257</v>
      </c>
      <c r="U76" s="23" t="s">
        <v>257</v>
      </c>
      <c r="V76" s="23" t="s">
        <v>257</v>
      </c>
      <c r="W76" s="27" t="s">
        <v>229</v>
      </c>
      <c r="X76" s="27" t="s">
        <v>230</v>
      </c>
      <c r="Y76" s="51" t="s">
        <v>230</v>
      </c>
      <c r="Z76" s="23" t="s">
        <v>144</v>
      </c>
      <c r="AA76" s="23" t="s">
        <v>254</v>
      </c>
      <c r="AB76" s="23" t="s">
        <v>257</v>
      </c>
      <c r="AC76" s="23" t="s">
        <v>257</v>
      </c>
      <c r="AD76" s="23" t="s">
        <v>257</v>
      </c>
      <c r="AE76" s="27" t="s">
        <v>229</v>
      </c>
      <c r="AF76" s="27" t="s">
        <v>229</v>
      </c>
      <c r="AG76" s="51" t="s">
        <v>230</v>
      </c>
      <c r="AH76" s="51" t="s">
        <v>254</v>
      </c>
      <c r="AI76" s="51" t="s">
        <v>254</v>
      </c>
      <c r="AJ76" s="23" t="s">
        <v>257</v>
      </c>
      <c r="AL76" s="50">
        <f t="shared" si="20"/>
        <v>1</v>
      </c>
      <c r="AM76" s="50">
        <f t="shared" si="21"/>
        <v>7</v>
      </c>
      <c r="AN76" s="50">
        <f t="shared" si="22"/>
        <v>4</v>
      </c>
      <c r="AO76" s="50">
        <f t="shared" si="23"/>
        <v>7</v>
      </c>
      <c r="AP76" s="50">
        <f t="shared" si="24"/>
        <v>11</v>
      </c>
    </row>
    <row r="77" spans="2:42" ht="18.75" x14ac:dyDescent="0.25">
      <c r="B77" s="37" t="s">
        <v>249</v>
      </c>
      <c r="C77" s="145" t="s">
        <v>203</v>
      </c>
      <c r="D77" s="146"/>
      <c r="F77" s="27" t="s">
        <v>229</v>
      </c>
      <c r="G77" s="51" t="s">
        <v>229</v>
      </c>
      <c r="H77" s="51" t="s">
        <v>230</v>
      </c>
      <c r="I77" s="23" t="s">
        <v>254</v>
      </c>
      <c r="J77" s="23" t="s">
        <v>254</v>
      </c>
      <c r="K77" s="23" t="s">
        <v>257</v>
      </c>
      <c r="L77" s="23" t="s">
        <v>257</v>
      </c>
      <c r="M77" s="23" t="s">
        <v>257</v>
      </c>
      <c r="N77" s="27" t="s">
        <v>229</v>
      </c>
      <c r="O77" s="27" t="s">
        <v>229</v>
      </c>
      <c r="P77" s="51" t="s">
        <v>230</v>
      </c>
      <c r="Q77" s="51" t="s">
        <v>230</v>
      </c>
      <c r="R77" s="23" t="s">
        <v>254</v>
      </c>
      <c r="S77" s="23" t="s">
        <v>257</v>
      </c>
      <c r="T77" s="23" t="s">
        <v>257</v>
      </c>
      <c r="U77" s="23" t="s">
        <v>257</v>
      </c>
      <c r="V77" s="27" t="s">
        <v>258</v>
      </c>
      <c r="W77" s="27" t="s">
        <v>258</v>
      </c>
      <c r="X77" s="51" t="s">
        <v>258</v>
      </c>
      <c r="Y77" s="51" t="s">
        <v>258</v>
      </c>
      <c r="Z77" s="23" t="s">
        <v>258</v>
      </c>
      <c r="AA77" s="23" t="s">
        <v>258</v>
      </c>
      <c r="AB77" s="23" t="s">
        <v>258</v>
      </c>
      <c r="AC77" s="23" t="s">
        <v>258</v>
      </c>
      <c r="AD77" s="27" t="s">
        <v>258</v>
      </c>
      <c r="AE77" s="51" t="s">
        <v>258</v>
      </c>
      <c r="AF77" s="51" t="s">
        <v>258</v>
      </c>
      <c r="AG77" s="23" t="s">
        <v>258</v>
      </c>
      <c r="AH77" s="23" t="s">
        <v>258</v>
      </c>
      <c r="AI77" s="23" t="s">
        <v>258</v>
      </c>
      <c r="AJ77" s="23" t="s">
        <v>257</v>
      </c>
      <c r="AL77" s="50">
        <f t="shared" si="20"/>
        <v>0</v>
      </c>
      <c r="AM77" s="50">
        <f t="shared" si="21"/>
        <v>4</v>
      </c>
      <c r="AN77" s="50">
        <f t="shared" si="22"/>
        <v>3</v>
      </c>
      <c r="AO77" s="50">
        <f t="shared" si="23"/>
        <v>3</v>
      </c>
      <c r="AP77" s="50">
        <f t="shared" si="24"/>
        <v>7</v>
      </c>
    </row>
    <row r="78" spans="2:42" ht="18.75" x14ac:dyDescent="0.25">
      <c r="B78" s="37" t="s">
        <v>249</v>
      </c>
      <c r="C78" s="145" t="s">
        <v>204</v>
      </c>
      <c r="D78" s="146"/>
      <c r="F78" s="51" t="s">
        <v>229</v>
      </c>
      <c r="G78" s="51" t="s">
        <v>230</v>
      </c>
      <c r="H78" s="23" t="s">
        <v>254</v>
      </c>
      <c r="I78" s="23" t="s">
        <v>254</v>
      </c>
      <c r="J78" s="23" t="s">
        <v>257</v>
      </c>
      <c r="K78" s="23" t="s">
        <v>257</v>
      </c>
      <c r="L78" s="23" t="s">
        <v>257</v>
      </c>
      <c r="M78" s="27" t="s">
        <v>229</v>
      </c>
      <c r="N78" s="51" t="s">
        <v>230</v>
      </c>
      <c r="O78" s="51" t="s">
        <v>230</v>
      </c>
      <c r="P78" s="23" t="s">
        <v>254</v>
      </c>
      <c r="Q78" s="23" t="s">
        <v>254</v>
      </c>
      <c r="R78" s="23" t="s">
        <v>257</v>
      </c>
      <c r="S78" s="23" t="s">
        <v>257</v>
      </c>
      <c r="T78" s="23" t="s">
        <v>257</v>
      </c>
      <c r="U78" s="27" t="s">
        <v>229</v>
      </c>
      <c r="V78" s="51" t="s">
        <v>229</v>
      </c>
      <c r="W78" s="51" t="s">
        <v>230</v>
      </c>
      <c r="X78" s="51" t="s">
        <v>230</v>
      </c>
      <c r="Y78" s="23" t="s">
        <v>254</v>
      </c>
      <c r="Z78" s="23" t="s">
        <v>257</v>
      </c>
      <c r="AA78" s="23" t="s">
        <v>257</v>
      </c>
      <c r="AB78" s="23" t="s">
        <v>257</v>
      </c>
      <c r="AC78" s="27" t="s">
        <v>229</v>
      </c>
      <c r="AD78" s="51" t="s">
        <v>230</v>
      </c>
      <c r="AE78" s="51" t="s">
        <v>230</v>
      </c>
      <c r="AF78" s="23" t="s">
        <v>254</v>
      </c>
      <c r="AG78" s="23" t="s">
        <v>254</v>
      </c>
      <c r="AH78" s="23" t="s">
        <v>257</v>
      </c>
      <c r="AI78" s="23" t="s">
        <v>257</v>
      </c>
      <c r="AJ78" s="23" t="s">
        <v>257</v>
      </c>
      <c r="AL78" s="50">
        <f t="shared" si="20"/>
        <v>0</v>
      </c>
      <c r="AM78" s="50">
        <f t="shared" si="21"/>
        <v>5</v>
      </c>
      <c r="AN78" s="50">
        <f t="shared" si="22"/>
        <v>7</v>
      </c>
      <c r="AO78" s="50">
        <f t="shared" si="23"/>
        <v>7</v>
      </c>
      <c r="AP78" s="50">
        <f t="shared" si="24"/>
        <v>12</v>
      </c>
    </row>
    <row r="79" spans="2:42" ht="18.75" x14ac:dyDescent="0.25">
      <c r="B79" s="37" t="s">
        <v>249</v>
      </c>
      <c r="C79" s="145" t="s">
        <v>205</v>
      </c>
      <c r="D79" s="146"/>
      <c r="F79" s="51" t="s">
        <v>230</v>
      </c>
      <c r="G79" s="51" t="s">
        <v>254</v>
      </c>
      <c r="H79" s="51" t="s">
        <v>254</v>
      </c>
      <c r="I79" s="23" t="s">
        <v>257</v>
      </c>
      <c r="J79" s="23" t="s">
        <v>257</v>
      </c>
      <c r="K79" s="23" t="s">
        <v>257</v>
      </c>
      <c r="L79" s="27" t="s">
        <v>258</v>
      </c>
      <c r="M79" s="51" t="s">
        <v>258</v>
      </c>
      <c r="N79" s="51" t="s">
        <v>258</v>
      </c>
      <c r="O79" s="23" t="s">
        <v>258</v>
      </c>
      <c r="P79" s="23" t="s">
        <v>258</v>
      </c>
      <c r="Q79" s="23" t="s">
        <v>258</v>
      </c>
      <c r="R79" s="23" t="s">
        <v>257</v>
      </c>
      <c r="S79" s="23" t="s">
        <v>257</v>
      </c>
      <c r="T79" s="27" t="s">
        <v>229</v>
      </c>
      <c r="U79" s="27" t="s">
        <v>229</v>
      </c>
      <c r="V79" s="51" t="s">
        <v>230</v>
      </c>
      <c r="W79" s="51" t="s">
        <v>230</v>
      </c>
      <c r="X79" s="23" t="s">
        <v>254</v>
      </c>
      <c r="Y79" s="23" t="s">
        <v>257</v>
      </c>
      <c r="Z79" s="23" t="s">
        <v>257</v>
      </c>
      <c r="AA79" s="23" t="s">
        <v>257</v>
      </c>
      <c r="AB79" s="27" t="s">
        <v>229</v>
      </c>
      <c r="AC79" s="51" t="s">
        <v>255</v>
      </c>
      <c r="AD79" s="51" t="s">
        <v>254</v>
      </c>
      <c r="AE79" s="51" t="s">
        <v>254</v>
      </c>
      <c r="AF79" s="51" t="s">
        <v>254</v>
      </c>
      <c r="AG79" s="23" t="s">
        <v>257</v>
      </c>
      <c r="AH79" s="23" t="s">
        <v>257</v>
      </c>
      <c r="AI79" s="23" t="s">
        <v>257</v>
      </c>
      <c r="AJ79" s="27" t="s">
        <v>229</v>
      </c>
      <c r="AL79" s="50">
        <f t="shared" si="20"/>
        <v>1</v>
      </c>
      <c r="AM79" s="50">
        <f t="shared" si="21"/>
        <v>4</v>
      </c>
      <c r="AN79" s="50">
        <f t="shared" si="22"/>
        <v>3</v>
      </c>
      <c r="AO79" s="50">
        <f t="shared" si="23"/>
        <v>6</v>
      </c>
      <c r="AP79" s="50">
        <f t="shared" si="24"/>
        <v>11</v>
      </c>
    </row>
    <row r="80" spans="2:42" ht="18.75" x14ac:dyDescent="0.25">
      <c r="B80" s="37" t="s">
        <v>249</v>
      </c>
      <c r="C80" s="145" t="s">
        <v>206</v>
      </c>
      <c r="D80" s="146"/>
      <c r="F80" s="23" t="s">
        <v>254</v>
      </c>
      <c r="G80" s="23" t="s">
        <v>254</v>
      </c>
      <c r="H80" s="23" t="s">
        <v>257</v>
      </c>
      <c r="I80" s="23" t="s">
        <v>257</v>
      </c>
      <c r="J80" s="23" t="s">
        <v>257</v>
      </c>
      <c r="K80" s="27" t="s">
        <v>229</v>
      </c>
      <c r="L80" s="27" t="s">
        <v>229</v>
      </c>
      <c r="M80" s="51" t="s">
        <v>230</v>
      </c>
      <c r="N80" s="23" t="s">
        <v>230</v>
      </c>
      <c r="O80" s="23" t="s">
        <v>254</v>
      </c>
      <c r="P80" s="23" t="s">
        <v>257</v>
      </c>
      <c r="Q80" s="23" t="s">
        <v>257</v>
      </c>
      <c r="R80" s="23" t="s">
        <v>257</v>
      </c>
      <c r="S80" s="27" t="s">
        <v>229</v>
      </c>
      <c r="T80" s="27" t="s">
        <v>229</v>
      </c>
      <c r="U80" s="51" t="s">
        <v>230</v>
      </c>
      <c r="V80" s="51" t="s">
        <v>230</v>
      </c>
      <c r="W80" s="23" t="s">
        <v>254</v>
      </c>
      <c r="X80" s="23" t="s">
        <v>257</v>
      </c>
      <c r="Y80" s="23" t="s">
        <v>257</v>
      </c>
      <c r="Z80" s="23" t="s">
        <v>257</v>
      </c>
      <c r="AA80" s="27" t="s">
        <v>229</v>
      </c>
      <c r="AB80" s="27" t="s">
        <v>229</v>
      </c>
      <c r="AC80" s="51" t="s">
        <v>230</v>
      </c>
      <c r="AD80" s="23" t="s">
        <v>144</v>
      </c>
      <c r="AE80" s="23" t="s">
        <v>254</v>
      </c>
      <c r="AF80" s="23" t="s">
        <v>257</v>
      </c>
      <c r="AG80" s="23" t="s">
        <v>257</v>
      </c>
      <c r="AH80" s="23" t="s">
        <v>257</v>
      </c>
      <c r="AI80" s="27" t="s">
        <v>229</v>
      </c>
      <c r="AJ80" s="27" t="s">
        <v>229</v>
      </c>
      <c r="AL80" s="50">
        <f t="shared" si="20"/>
        <v>0</v>
      </c>
      <c r="AM80" s="50">
        <f t="shared" si="21"/>
        <v>8</v>
      </c>
      <c r="AN80" s="50">
        <f t="shared" si="22"/>
        <v>5</v>
      </c>
      <c r="AO80" s="50">
        <f t="shared" si="23"/>
        <v>5</v>
      </c>
      <c r="AP80" s="50">
        <f t="shared" si="24"/>
        <v>12</v>
      </c>
    </row>
    <row r="81" spans="2:42" ht="18.75" x14ac:dyDescent="0.25">
      <c r="B81" s="37" t="s">
        <v>249</v>
      </c>
      <c r="C81" s="145" t="s">
        <v>207</v>
      </c>
      <c r="D81" s="146"/>
      <c r="F81" s="51" t="s">
        <v>254</v>
      </c>
      <c r="G81" s="23" t="s">
        <v>257</v>
      </c>
      <c r="H81" s="23" t="s">
        <v>257</v>
      </c>
      <c r="I81" s="23" t="s">
        <v>257</v>
      </c>
      <c r="J81" s="27" t="s">
        <v>229</v>
      </c>
      <c r="K81" s="27" t="s">
        <v>230</v>
      </c>
      <c r="L81" s="51" t="s">
        <v>230</v>
      </c>
      <c r="M81" s="23" t="s">
        <v>254</v>
      </c>
      <c r="N81" s="23" t="s">
        <v>254</v>
      </c>
      <c r="O81" s="23" t="s">
        <v>257</v>
      </c>
      <c r="P81" s="23" t="s">
        <v>257</v>
      </c>
      <c r="Q81" s="23" t="s">
        <v>257</v>
      </c>
      <c r="R81" s="27" t="s">
        <v>229</v>
      </c>
      <c r="S81" s="27" t="s">
        <v>229</v>
      </c>
      <c r="T81" s="51" t="s">
        <v>230</v>
      </c>
      <c r="U81" s="51" t="s">
        <v>256</v>
      </c>
      <c r="V81" s="23" t="s">
        <v>254</v>
      </c>
      <c r="W81" s="23" t="s">
        <v>257</v>
      </c>
      <c r="X81" s="23" t="s">
        <v>257</v>
      </c>
      <c r="Y81" s="23" t="s">
        <v>257</v>
      </c>
      <c r="Z81" s="27" t="s">
        <v>229</v>
      </c>
      <c r="AA81" s="27" t="s">
        <v>229</v>
      </c>
      <c r="AB81" s="51" t="s">
        <v>230</v>
      </c>
      <c r="AC81" s="51" t="s">
        <v>255</v>
      </c>
      <c r="AD81" s="51" t="s">
        <v>254</v>
      </c>
      <c r="AE81" s="23" t="s">
        <v>257</v>
      </c>
      <c r="AF81" s="23" t="s">
        <v>257</v>
      </c>
      <c r="AG81" s="23" t="s">
        <v>257</v>
      </c>
      <c r="AH81" s="27" t="s">
        <v>229</v>
      </c>
      <c r="AI81" s="27" t="s">
        <v>229</v>
      </c>
      <c r="AJ81" s="51" t="s">
        <v>230</v>
      </c>
      <c r="AL81" s="50">
        <f t="shared" si="20"/>
        <v>2</v>
      </c>
      <c r="AM81" s="50">
        <f t="shared" si="21"/>
        <v>7</v>
      </c>
      <c r="AN81" s="50">
        <f t="shared" si="22"/>
        <v>5</v>
      </c>
      <c r="AO81" s="50">
        <f t="shared" si="23"/>
        <v>5</v>
      </c>
      <c r="AP81" s="50">
        <f t="shared" si="24"/>
        <v>12</v>
      </c>
    </row>
    <row r="82" spans="2:42" ht="18.75" x14ac:dyDescent="0.25">
      <c r="B82" s="37" t="s">
        <v>249</v>
      </c>
      <c r="C82" s="145" t="s">
        <v>208</v>
      </c>
      <c r="D82" s="146"/>
      <c r="F82" s="23" t="s">
        <v>258</v>
      </c>
      <c r="G82" s="23" t="s">
        <v>258</v>
      </c>
      <c r="H82" s="23" t="s">
        <v>258</v>
      </c>
      <c r="I82" s="27" t="s">
        <v>258</v>
      </c>
      <c r="J82" s="27" t="s">
        <v>258</v>
      </c>
      <c r="K82" s="51" t="s">
        <v>258</v>
      </c>
      <c r="L82" s="23" t="s">
        <v>258</v>
      </c>
      <c r="M82" s="23" t="s">
        <v>258</v>
      </c>
      <c r="N82" s="23" t="s">
        <v>258</v>
      </c>
      <c r="O82" s="23" t="s">
        <v>257</v>
      </c>
      <c r="P82" s="23" t="s">
        <v>257</v>
      </c>
      <c r="Q82" s="27" t="s">
        <v>229</v>
      </c>
      <c r="R82" s="51" t="s">
        <v>229</v>
      </c>
      <c r="S82" s="51" t="s">
        <v>230</v>
      </c>
      <c r="T82" s="51" t="s">
        <v>230</v>
      </c>
      <c r="U82" s="23" t="s">
        <v>254</v>
      </c>
      <c r="V82" s="23" t="s">
        <v>257</v>
      </c>
      <c r="W82" s="23" t="s">
        <v>257</v>
      </c>
      <c r="X82" s="23" t="s">
        <v>257</v>
      </c>
      <c r="Y82" s="27" t="s">
        <v>229</v>
      </c>
      <c r="Z82" s="27" t="s">
        <v>229</v>
      </c>
      <c r="AA82" s="51" t="s">
        <v>230</v>
      </c>
      <c r="AB82" s="51" t="s">
        <v>230</v>
      </c>
      <c r="AC82" s="51" t="s">
        <v>254</v>
      </c>
      <c r="AD82" s="23" t="s">
        <v>257</v>
      </c>
      <c r="AE82" s="23" t="s">
        <v>257</v>
      </c>
      <c r="AF82" s="23" t="s">
        <v>257</v>
      </c>
      <c r="AG82" s="27" t="s">
        <v>229</v>
      </c>
      <c r="AH82" s="27" t="s">
        <v>229</v>
      </c>
      <c r="AI82" s="51" t="s">
        <v>230</v>
      </c>
      <c r="AJ82" s="23" t="s">
        <v>256</v>
      </c>
      <c r="AL82" s="50">
        <f t="shared" si="20"/>
        <v>1</v>
      </c>
      <c r="AM82" s="50">
        <f t="shared" si="21"/>
        <v>6</v>
      </c>
      <c r="AN82" s="50">
        <f t="shared" si="22"/>
        <v>5</v>
      </c>
      <c r="AO82" s="50">
        <f t="shared" si="23"/>
        <v>2</v>
      </c>
      <c r="AP82" s="50">
        <f t="shared" si="24"/>
        <v>8</v>
      </c>
    </row>
    <row r="83" spans="2:42" ht="18.75" x14ac:dyDescent="0.25">
      <c r="B83" s="37" t="s">
        <v>249</v>
      </c>
      <c r="C83" s="67" t="s">
        <v>191</v>
      </c>
      <c r="D83" s="68"/>
      <c r="F83" s="51" t="s">
        <v>230</v>
      </c>
      <c r="G83" s="23" t="s">
        <v>257</v>
      </c>
      <c r="H83" s="23" t="s">
        <v>257</v>
      </c>
      <c r="I83" s="27" t="s">
        <v>229</v>
      </c>
      <c r="J83" s="27" t="s">
        <v>229</v>
      </c>
      <c r="K83" s="51" t="s">
        <v>230</v>
      </c>
      <c r="L83" s="51" t="s">
        <v>230</v>
      </c>
      <c r="M83" s="51" t="s">
        <v>230</v>
      </c>
      <c r="N83" s="23" t="s">
        <v>257</v>
      </c>
      <c r="O83" s="23" t="s">
        <v>257</v>
      </c>
      <c r="P83" s="27" t="s">
        <v>229</v>
      </c>
      <c r="Q83" s="27" t="s">
        <v>229</v>
      </c>
      <c r="R83" s="51" t="s">
        <v>230</v>
      </c>
      <c r="S83" s="51" t="s">
        <v>230</v>
      </c>
      <c r="T83" s="51" t="s">
        <v>230</v>
      </c>
      <c r="U83" s="23" t="s">
        <v>257</v>
      </c>
      <c r="V83" s="23" t="s">
        <v>257</v>
      </c>
      <c r="W83" s="27" t="s">
        <v>229</v>
      </c>
      <c r="X83" s="27" t="s">
        <v>229</v>
      </c>
      <c r="Y83" s="51" t="s">
        <v>230</v>
      </c>
      <c r="Z83" s="51" t="s">
        <v>230</v>
      </c>
      <c r="AA83" s="27" t="s">
        <v>229</v>
      </c>
      <c r="AB83" s="23" t="s">
        <v>257</v>
      </c>
      <c r="AC83" s="23" t="s">
        <v>257</v>
      </c>
      <c r="AD83" s="27" t="s">
        <v>229</v>
      </c>
      <c r="AE83" s="27" t="s">
        <v>229</v>
      </c>
      <c r="AF83" s="51" t="s">
        <v>230</v>
      </c>
      <c r="AG83" s="51" t="s">
        <v>230</v>
      </c>
      <c r="AH83" s="27" t="s">
        <v>229</v>
      </c>
      <c r="AI83" s="23" t="s">
        <v>257</v>
      </c>
      <c r="AJ83" s="23" t="s">
        <v>257</v>
      </c>
      <c r="AL83" s="50">
        <f t="shared" si="20"/>
        <v>0</v>
      </c>
      <c r="AM83" s="50">
        <f t="shared" si="21"/>
        <v>10</v>
      </c>
      <c r="AN83" s="50">
        <f t="shared" si="22"/>
        <v>11</v>
      </c>
      <c r="AO83" s="50">
        <f t="shared" si="23"/>
        <v>0</v>
      </c>
      <c r="AP83" s="50">
        <f t="shared" si="24"/>
        <v>10</v>
      </c>
    </row>
    <row r="84" spans="2:42" ht="19.5" thickBot="1" x14ac:dyDescent="0.3">
      <c r="B84" s="37" t="s">
        <v>249</v>
      </c>
      <c r="C84" s="145" t="s">
        <v>192</v>
      </c>
      <c r="D84" s="146"/>
      <c r="F84" s="107" t="s">
        <v>229</v>
      </c>
      <c r="G84" s="108" t="s">
        <v>257</v>
      </c>
      <c r="H84" s="108" t="s">
        <v>257</v>
      </c>
      <c r="I84" s="64" t="s">
        <v>230</v>
      </c>
      <c r="J84" s="64" t="s">
        <v>230</v>
      </c>
      <c r="K84" s="107" t="s">
        <v>229</v>
      </c>
      <c r="L84" s="107" t="s">
        <v>229</v>
      </c>
      <c r="M84" s="107" t="s">
        <v>229</v>
      </c>
      <c r="N84" s="108" t="s">
        <v>257</v>
      </c>
      <c r="O84" s="108" t="s">
        <v>257</v>
      </c>
      <c r="P84" s="64" t="s">
        <v>230</v>
      </c>
      <c r="Q84" s="64" t="s">
        <v>230</v>
      </c>
      <c r="R84" s="107" t="s">
        <v>229</v>
      </c>
      <c r="S84" s="107" t="s">
        <v>229</v>
      </c>
      <c r="T84" s="107" t="s">
        <v>229</v>
      </c>
      <c r="U84" s="108" t="s">
        <v>257</v>
      </c>
      <c r="V84" s="108" t="s">
        <v>257</v>
      </c>
      <c r="W84" s="64" t="s">
        <v>230</v>
      </c>
      <c r="X84" s="64" t="s">
        <v>230</v>
      </c>
      <c r="Y84" s="107" t="s">
        <v>229</v>
      </c>
      <c r="Z84" s="107" t="s">
        <v>144</v>
      </c>
      <c r="AA84" s="64" t="s">
        <v>230</v>
      </c>
      <c r="AB84" s="108" t="s">
        <v>257</v>
      </c>
      <c r="AC84" s="108" t="s">
        <v>257</v>
      </c>
      <c r="AD84" s="64" t="s">
        <v>230</v>
      </c>
      <c r="AE84" s="64" t="s">
        <v>230</v>
      </c>
      <c r="AF84" s="107" t="s">
        <v>229</v>
      </c>
      <c r="AG84" s="107" t="s">
        <v>229</v>
      </c>
      <c r="AH84" s="64" t="s">
        <v>230</v>
      </c>
      <c r="AI84" s="108" t="s">
        <v>257</v>
      </c>
      <c r="AJ84" s="108" t="s">
        <v>257</v>
      </c>
      <c r="AL84" s="50">
        <f t="shared" si="20"/>
        <v>0</v>
      </c>
      <c r="AM84" s="50">
        <f t="shared" si="21"/>
        <v>10</v>
      </c>
      <c r="AN84" s="50">
        <f t="shared" si="22"/>
        <v>10</v>
      </c>
      <c r="AO84" s="50">
        <f t="shared" si="23"/>
        <v>0</v>
      </c>
      <c r="AP84" s="50">
        <f t="shared" si="24"/>
        <v>10</v>
      </c>
    </row>
    <row r="85" spans="2:42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2:42" ht="18.75" x14ac:dyDescent="0.3">
      <c r="C86" s="179" t="s">
        <v>91</v>
      </c>
      <c r="D86" s="179"/>
      <c r="E86" s="36"/>
      <c r="F86" s="37">
        <f t="shared" ref="F86:AJ86" si="25">COUNTIF(F9:F84,"M*")</f>
        <v>14</v>
      </c>
      <c r="G86" s="37">
        <f t="shared" si="25"/>
        <v>11</v>
      </c>
      <c r="H86" s="37">
        <f t="shared" si="25"/>
        <v>11</v>
      </c>
      <c r="I86" s="37">
        <f t="shared" si="25"/>
        <v>14</v>
      </c>
      <c r="J86" s="37">
        <f t="shared" si="25"/>
        <v>14</v>
      </c>
      <c r="K86" s="37">
        <f t="shared" si="25"/>
        <v>12</v>
      </c>
      <c r="L86" s="37">
        <f t="shared" si="25"/>
        <v>12</v>
      </c>
      <c r="M86" s="37">
        <f t="shared" si="25"/>
        <v>14</v>
      </c>
      <c r="N86" s="37">
        <f t="shared" si="25"/>
        <v>12</v>
      </c>
      <c r="O86" s="37">
        <f t="shared" si="25"/>
        <v>12</v>
      </c>
      <c r="P86" s="37">
        <f t="shared" si="25"/>
        <v>14</v>
      </c>
      <c r="Q86" s="37">
        <f t="shared" si="25"/>
        <v>14</v>
      </c>
      <c r="R86" s="37">
        <f t="shared" si="25"/>
        <v>14</v>
      </c>
      <c r="S86" s="37">
        <f t="shared" si="25"/>
        <v>13</v>
      </c>
      <c r="T86" s="37">
        <f t="shared" si="25"/>
        <v>15</v>
      </c>
      <c r="U86" s="37">
        <f t="shared" si="25"/>
        <v>12</v>
      </c>
      <c r="V86" s="37">
        <f t="shared" si="25"/>
        <v>10</v>
      </c>
      <c r="W86" s="37">
        <f t="shared" si="25"/>
        <v>14</v>
      </c>
      <c r="X86" s="37">
        <f t="shared" si="25"/>
        <v>15</v>
      </c>
      <c r="Y86" s="37">
        <f t="shared" si="25"/>
        <v>15</v>
      </c>
      <c r="Z86" s="37">
        <f t="shared" si="25"/>
        <v>14</v>
      </c>
      <c r="AA86" s="37">
        <f t="shared" si="25"/>
        <v>15</v>
      </c>
      <c r="AB86" s="37">
        <f t="shared" si="25"/>
        <v>12</v>
      </c>
      <c r="AC86" s="37">
        <f t="shared" si="25"/>
        <v>11</v>
      </c>
      <c r="AD86" s="37">
        <f t="shared" si="25"/>
        <v>12</v>
      </c>
      <c r="AE86" s="37">
        <f t="shared" si="25"/>
        <v>15</v>
      </c>
      <c r="AF86" s="37">
        <f t="shared" si="25"/>
        <v>15</v>
      </c>
      <c r="AG86" s="37">
        <f t="shared" si="25"/>
        <v>15</v>
      </c>
      <c r="AH86" s="37">
        <f t="shared" si="25"/>
        <v>15</v>
      </c>
      <c r="AI86" s="37">
        <f t="shared" si="25"/>
        <v>11</v>
      </c>
      <c r="AJ86" s="37">
        <f t="shared" si="25"/>
        <v>11</v>
      </c>
    </row>
    <row r="87" spans="2:42" ht="18.75" x14ac:dyDescent="0.3">
      <c r="C87" s="179" t="s">
        <v>92</v>
      </c>
      <c r="D87" s="179"/>
      <c r="E87" s="36"/>
      <c r="F87" s="37">
        <f t="shared" ref="F87:AJ87" si="26">COUNTIF(F9:F84,"A*")</f>
        <v>13</v>
      </c>
      <c r="G87" s="37">
        <f t="shared" si="26"/>
        <v>11</v>
      </c>
      <c r="H87" s="37">
        <f t="shared" si="26"/>
        <v>12</v>
      </c>
      <c r="I87" s="37">
        <f t="shared" si="26"/>
        <v>12</v>
      </c>
      <c r="J87" s="37">
        <f t="shared" si="26"/>
        <v>11</v>
      </c>
      <c r="K87" s="37">
        <f t="shared" si="26"/>
        <v>13</v>
      </c>
      <c r="L87" s="37">
        <f t="shared" si="26"/>
        <v>12</v>
      </c>
      <c r="M87" s="37">
        <f t="shared" si="26"/>
        <v>11</v>
      </c>
      <c r="N87" s="37">
        <f t="shared" si="26"/>
        <v>11</v>
      </c>
      <c r="O87" s="37">
        <f t="shared" si="26"/>
        <v>11</v>
      </c>
      <c r="P87" s="37">
        <f t="shared" si="26"/>
        <v>13</v>
      </c>
      <c r="Q87" s="37">
        <f t="shared" si="26"/>
        <v>13</v>
      </c>
      <c r="R87" s="37">
        <f t="shared" si="26"/>
        <v>13</v>
      </c>
      <c r="S87" s="37">
        <f t="shared" si="26"/>
        <v>13</v>
      </c>
      <c r="T87" s="37">
        <f t="shared" si="26"/>
        <v>13</v>
      </c>
      <c r="U87" s="37">
        <f t="shared" si="26"/>
        <v>12</v>
      </c>
      <c r="V87" s="37">
        <f t="shared" si="26"/>
        <v>11</v>
      </c>
      <c r="W87" s="37">
        <f t="shared" si="26"/>
        <v>13</v>
      </c>
      <c r="X87" s="37">
        <f t="shared" si="26"/>
        <v>12</v>
      </c>
      <c r="Y87" s="37">
        <f t="shared" si="26"/>
        <v>13</v>
      </c>
      <c r="Z87" s="37">
        <f t="shared" si="26"/>
        <v>13</v>
      </c>
      <c r="AA87" s="37">
        <f t="shared" si="26"/>
        <v>13</v>
      </c>
      <c r="AB87" s="37">
        <f t="shared" si="26"/>
        <v>12</v>
      </c>
      <c r="AC87" s="37">
        <f t="shared" si="26"/>
        <v>12</v>
      </c>
      <c r="AD87" s="37">
        <f t="shared" si="26"/>
        <v>13</v>
      </c>
      <c r="AE87" s="37">
        <f t="shared" si="26"/>
        <v>13</v>
      </c>
      <c r="AF87" s="37">
        <f t="shared" si="26"/>
        <v>12</v>
      </c>
      <c r="AG87" s="37">
        <f t="shared" si="26"/>
        <v>14</v>
      </c>
      <c r="AH87" s="37">
        <f t="shared" si="26"/>
        <v>14</v>
      </c>
      <c r="AI87" s="37">
        <f t="shared" si="26"/>
        <v>12</v>
      </c>
      <c r="AJ87" s="37">
        <f t="shared" si="26"/>
        <v>11</v>
      </c>
    </row>
    <row r="88" spans="2:42" ht="18.75" x14ac:dyDescent="0.3">
      <c r="C88" s="179" t="s">
        <v>72</v>
      </c>
      <c r="D88" s="179"/>
      <c r="E88" s="36"/>
      <c r="F88" s="37">
        <f t="shared" ref="F88:AJ88" si="27">COUNTIF(F9:F84,"N*")</f>
        <v>11</v>
      </c>
      <c r="G88" s="37">
        <f t="shared" si="27"/>
        <v>11</v>
      </c>
      <c r="H88" s="37">
        <f t="shared" si="27"/>
        <v>12</v>
      </c>
      <c r="I88" s="37">
        <f t="shared" si="27"/>
        <v>12</v>
      </c>
      <c r="J88" s="37">
        <f t="shared" si="27"/>
        <v>11</v>
      </c>
      <c r="K88" s="37">
        <f t="shared" si="27"/>
        <v>10</v>
      </c>
      <c r="L88" s="37">
        <f t="shared" si="27"/>
        <v>11</v>
      </c>
      <c r="M88" s="37">
        <f t="shared" si="27"/>
        <v>10</v>
      </c>
      <c r="N88" s="37">
        <f t="shared" si="27"/>
        <v>10</v>
      </c>
      <c r="O88" s="37">
        <f t="shared" si="27"/>
        <v>11</v>
      </c>
      <c r="P88" s="37">
        <f t="shared" si="27"/>
        <v>12</v>
      </c>
      <c r="Q88" s="37">
        <f t="shared" si="27"/>
        <v>12</v>
      </c>
      <c r="R88" s="37">
        <f t="shared" si="27"/>
        <v>12</v>
      </c>
      <c r="S88" s="37">
        <f t="shared" si="27"/>
        <v>12</v>
      </c>
      <c r="T88" s="37">
        <f t="shared" si="27"/>
        <v>12</v>
      </c>
      <c r="U88" s="37">
        <f t="shared" si="27"/>
        <v>12</v>
      </c>
      <c r="V88" s="37">
        <f t="shared" si="27"/>
        <v>11</v>
      </c>
      <c r="W88" s="37">
        <f t="shared" si="27"/>
        <v>12</v>
      </c>
      <c r="X88" s="37">
        <f t="shared" si="27"/>
        <v>12</v>
      </c>
      <c r="Y88" s="37">
        <f t="shared" si="27"/>
        <v>11</v>
      </c>
      <c r="Z88" s="37">
        <f t="shared" si="27"/>
        <v>10</v>
      </c>
      <c r="AA88" s="37">
        <f t="shared" si="27"/>
        <v>12</v>
      </c>
      <c r="AB88" s="37">
        <f t="shared" si="27"/>
        <v>13</v>
      </c>
      <c r="AC88" s="37">
        <f t="shared" si="27"/>
        <v>13</v>
      </c>
      <c r="AD88" s="37">
        <f t="shared" si="27"/>
        <v>11</v>
      </c>
      <c r="AE88" s="37">
        <f t="shared" si="27"/>
        <v>11</v>
      </c>
      <c r="AF88" s="37">
        <f t="shared" si="27"/>
        <v>13</v>
      </c>
      <c r="AG88" s="37">
        <f t="shared" si="27"/>
        <v>11</v>
      </c>
      <c r="AH88" s="37">
        <f t="shared" si="27"/>
        <v>11</v>
      </c>
      <c r="AI88" s="37">
        <f t="shared" si="27"/>
        <v>12</v>
      </c>
      <c r="AJ88" s="37">
        <f t="shared" si="27"/>
        <v>13</v>
      </c>
    </row>
    <row r="89" spans="2:42" ht="18.75" x14ac:dyDescent="0.3">
      <c r="C89" s="179" t="s">
        <v>73</v>
      </c>
      <c r="D89" s="179"/>
      <c r="E89" s="36"/>
      <c r="F89" s="37">
        <f t="shared" ref="F89:AJ89" si="28">COUNTIF(F$30:F$84,"O*")</f>
        <v>19</v>
      </c>
      <c r="G89" s="37">
        <f t="shared" si="28"/>
        <v>22</v>
      </c>
      <c r="H89" s="37">
        <f t="shared" si="28"/>
        <v>19</v>
      </c>
      <c r="I89" s="37">
        <f t="shared" si="28"/>
        <v>17</v>
      </c>
      <c r="J89" s="37">
        <f t="shared" si="28"/>
        <v>16</v>
      </c>
      <c r="K89" s="37">
        <f t="shared" si="28"/>
        <v>15</v>
      </c>
      <c r="L89" s="37">
        <f t="shared" si="28"/>
        <v>16</v>
      </c>
      <c r="M89" s="37">
        <f t="shared" si="28"/>
        <v>18</v>
      </c>
      <c r="N89" s="37">
        <f t="shared" si="28"/>
        <v>21</v>
      </c>
      <c r="O89" s="37">
        <f t="shared" si="28"/>
        <v>22</v>
      </c>
      <c r="P89" s="37">
        <f t="shared" si="28"/>
        <v>17</v>
      </c>
      <c r="Q89" s="37">
        <f t="shared" si="28"/>
        <v>15</v>
      </c>
      <c r="R89" s="37">
        <f t="shared" si="28"/>
        <v>17</v>
      </c>
      <c r="S89" s="37">
        <f t="shared" si="28"/>
        <v>18</v>
      </c>
      <c r="T89" s="37">
        <f t="shared" si="28"/>
        <v>17</v>
      </c>
      <c r="U89" s="37">
        <f t="shared" si="28"/>
        <v>21</v>
      </c>
      <c r="V89" s="37">
        <f t="shared" si="28"/>
        <v>25</v>
      </c>
      <c r="W89" s="37">
        <f t="shared" si="28"/>
        <v>20</v>
      </c>
      <c r="X89" s="37">
        <f t="shared" si="28"/>
        <v>18</v>
      </c>
      <c r="Y89" s="37">
        <f t="shared" si="28"/>
        <v>17</v>
      </c>
      <c r="Z89" s="37">
        <f t="shared" si="28"/>
        <v>18</v>
      </c>
      <c r="AA89" s="37">
        <f t="shared" si="28"/>
        <v>15</v>
      </c>
      <c r="AB89" s="37">
        <f t="shared" si="28"/>
        <v>18</v>
      </c>
      <c r="AC89" s="37">
        <f t="shared" si="28"/>
        <v>20</v>
      </c>
      <c r="AD89" s="37">
        <f t="shared" si="28"/>
        <v>20</v>
      </c>
      <c r="AE89" s="37">
        <f t="shared" si="28"/>
        <v>19</v>
      </c>
      <c r="AF89" s="37">
        <f t="shared" si="28"/>
        <v>18</v>
      </c>
      <c r="AG89" s="37">
        <f t="shared" si="28"/>
        <v>18</v>
      </c>
      <c r="AH89" s="37">
        <f t="shared" si="28"/>
        <v>18</v>
      </c>
      <c r="AI89" s="37">
        <f t="shared" si="28"/>
        <v>21</v>
      </c>
      <c r="AJ89" s="37">
        <f t="shared" si="28"/>
        <v>22</v>
      </c>
    </row>
    <row r="90" spans="2:42" ht="18.75" x14ac:dyDescent="0.3">
      <c r="C90" s="175" t="s">
        <v>143</v>
      </c>
      <c r="D90" s="176"/>
      <c r="E90" s="36"/>
      <c r="F90" s="37">
        <f t="shared" ref="F90:AJ90" si="29">COUNTIF(F9:F84,"TR*")</f>
        <v>0</v>
      </c>
      <c r="G90" s="37">
        <f t="shared" si="29"/>
        <v>0</v>
      </c>
      <c r="H90" s="37">
        <f t="shared" si="29"/>
        <v>0</v>
      </c>
      <c r="I90" s="37">
        <f t="shared" si="29"/>
        <v>0</v>
      </c>
      <c r="J90" s="37">
        <f t="shared" si="29"/>
        <v>4</v>
      </c>
      <c r="K90" s="37">
        <f t="shared" si="29"/>
        <v>4</v>
      </c>
      <c r="L90" s="37">
        <f t="shared" si="29"/>
        <v>3</v>
      </c>
      <c r="M90" s="37">
        <f t="shared" si="29"/>
        <v>2</v>
      </c>
      <c r="N90" s="37">
        <f t="shared" si="29"/>
        <v>0</v>
      </c>
      <c r="O90" s="37">
        <f t="shared" si="29"/>
        <v>0</v>
      </c>
      <c r="P90" s="37">
        <f t="shared" si="29"/>
        <v>0</v>
      </c>
      <c r="Q90" s="37">
        <f t="shared" si="29"/>
        <v>4</v>
      </c>
      <c r="R90" s="37">
        <f t="shared" si="29"/>
        <v>2</v>
      </c>
      <c r="S90" s="37">
        <f t="shared" si="29"/>
        <v>4</v>
      </c>
      <c r="T90" s="37">
        <f t="shared" si="29"/>
        <v>0</v>
      </c>
      <c r="U90" s="37">
        <f t="shared" si="29"/>
        <v>0</v>
      </c>
      <c r="V90" s="37">
        <f t="shared" si="29"/>
        <v>0</v>
      </c>
      <c r="W90" s="37">
        <f t="shared" si="29"/>
        <v>0</v>
      </c>
      <c r="X90" s="37">
        <f t="shared" si="29"/>
        <v>0</v>
      </c>
      <c r="Y90" s="37">
        <f t="shared" si="29"/>
        <v>0</v>
      </c>
      <c r="Z90" s="37">
        <f t="shared" si="29"/>
        <v>3</v>
      </c>
      <c r="AA90" s="37">
        <f t="shared" si="29"/>
        <v>2</v>
      </c>
      <c r="AB90" s="37">
        <f t="shared" si="29"/>
        <v>0</v>
      </c>
      <c r="AC90" s="37">
        <f t="shared" si="29"/>
        <v>0</v>
      </c>
      <c r="AD90" s="37">
        <f t="shared" si="29"/>
        <v>3</v>
      </c>
      <c r="AE90" s="37">
        <f t="shared" si="29"/>
        <v>2</v>
      </c>
      <c r="AF90" s="37">
        <f t="shared" si="29"/>
        <v>1</v>
      </c>
      <c r="AG90" s="37">
        <f t="shared" si="29"/>
        <v>0</v>
      </c>
      <c r="AH90" s="37">
        <f t="shared" si="29"/>
        <v>0</v>
      </c>
      <c r="AI90" s="37">
        <f t="shared" si="29"/>
        <v>0</v>
      </c>
      <c r="AJ90" s="37">
        <f t="shared" si="29"/>
        <v>0</v>
      </c>
    </row>
    <row r="91" spans="2:42" ht="18.75" x14ac:dyDescent="0.3">
      <c r="C91" s="175" t="s">
        <v>106</v>
      </c>
      <c r="D91" s="176"/>
      <c r="E91" s="36"/>
      <c r="F91" s="37">
        <f>COUNTIF(F9:F84,"ST*")</f>
        <v>1</v>
      </c>
      <c r="G91" s="37">
        <f t="shared" ref="G91:AJ91" si="30">COUNTIF(G$30:G$64,"ST*")</f>
        <v>0</v>
      </c>
      <c r="H91" s="37">
        <f t="shared" si="30"/>
        <v>0</v>
      </c>
      <c r="I91" s="37">
        <f t="shared" si="30"/>
        <v>0</v>
      </c>
      <c r="J91" s="37">
        <f t="shared" si="30"/>
        <v>0</v>
      </c>
      <c r="K91" s="37">
        <f t="shared" si="30"/>
        <v>0</v>
      </c>
      <c r="L91" s="37">
        <f t="shared" si="30"/>
        <v>0</v>
      </c>
      <c r="M91" s="37">
        <f t="shared" si="30"/>
        <v>0</v>
      </c>
      <c r="N91" s="37">
        <f t="shared" si="30"/>
        <v>0</v>
      </c>
      <c r="O91" s="37">
        <f t="shared" si="30"/>
        <v>0</v>
      </c>
      <c r="P91" s="37">
        <f t="shared" si="30"/>
        <v>0</v>
      </c>
      <c r="Q91" s="37">
        <f t="shared" si="30"/>
        <v>0</v>
      </c>
      <c r="R91" s="37">
        <f t="shared" si="30"/>
        <v>0</v>
      </c>
      <c r="S91" s="37">
        <f t="shared" si="30"/>
        <v>0</v>
      </c>
      <c r="T91" s="37">
        <f t="shared" si="30"/>
        <v>0</v>
      </c>
      <c r="U91" s="37">
        <f t="shared" si="30"/>
        <v>0</v>
      </c>
      <c r="V91" s="37">
        <f t="shared" si="30"/>
        <v>0</v>
      </c>
      <c r="W91" s="37">
        <f t="shared" si="30"/>
        <v>0</v>
      </c>
      <c r="X91" s="37">
        <f t="shared" si="30"/>
        <v>0</v>
      </c>
      <c r="Y91" s="37">
        <f t="shared" si="30"/>
        <v>0</v>
      </c>
      <c r="Z91" s="37">
        <f t="shared" si="30"/>
        <v>0</v>
      </c>
      <c r="AA91" s="37">
        <f t="shared" si="30"/>
        <v>0</v>
      </c>
      <c r="AB91" s="37">
        <f t="shared" si="30"/>
        <v>2</v>
      </c>
      <c r="AC91" s="37">
        <f t="shared" si="30"/>
        <v>1</v>
      </c>
      <c r="AD91" s="37">
        <f t="shared" si="30"/>
        <v>0</v>
      </c>
      <c r="AE91" s="37">
        <f t="shared" si="30"/>
        <v>0</v>
      </c>
      <c r="AF91" s="37">
        <f t="shared" si="30"/>
        <v>0</v>
      </c>
      <c r="AG91" s="37">
        <f t="shared" si="30"/>
        <v>0</v>
      </c>
      <c r="AH91" s="37">
        <f t="shared" si="30"/>
        <v>0</v>
      </c>
      <c r="AI91" s="37">
        <f t="shared" si="30"/>
        <v>0</v>
      </c>
      <c r="AJ91" s="37">
        <f t="shared" si="30"/>
        <v>1</v>
      </c>
    </row>
    <row r="92" spans="2:42" ht="18.75" x14ac:dyDescent="0.3">
      <c r="C92" s="177" t="s">
        <v>104</v>
      </c>
      <c r="D92" s="177"/>
      <c r="E92" s="38"/>
      <c r="F92" s="53">
        <f>F94-F95</f>
        <v>-7</v>
      </c>
      <c r="G92" s="53">
        <f t="shared" ref="G92:AJ92" si="31">G94-G95</f>
        <v>-12</v>
      </c>
      <c r="H92" s="53">
        <f t="shared" si="31"/>
        <v>-10</v>
      </c>
      <c r="I92" s="53">
        <f t="shared" si="31"/>
        <v>-7</v>
      </c>
      <c r="J92" s="53">
        <f t="shared" si="31"/>
        <v>-9</v>
      </c>
      <c r="K92" s="53">
        <f t="shared" si="31"/>
        <v>-10</v>
      </c>
      <c r="L92" s="53">
        <f t="shared" si="31"/>
        <v>-10</v>
      </c>
      <c r="M92" s="53">
        <f t="shared" si="31"/>
        <v>-10</v>
      </c>
      <c r="N92" s="53">
        <f t="shared" si="31"/>
        <v>-12</v>
      </c>
      <c r="O92" s="53">
        <f t="shared" si="31"/>
        <v>-11</v>
      </c>
      <c r="P92" s="53">
        <f t="shared" si="31"/>
        <v>-6</v>
      </c>
      <c r="Q92" s="53">
        <f t="shared" si="31"/>
        <v>-6</v>
      </c>
      <c r="R92" s="53">
        <f t="shared" si="31"/>
        <v>-6</v>
      </c>
      <c r="S92" s="53">
        <f t="shared" si="31"/>
        <v>-7</v>
      </c>
      <c r="T92" s="53">
        <f t="shared" si="31"/>
        <v>-5</v>
      </c>
      <c r="U92" s="53">
        <f t="shared" si="31"/>
        <v>-9</v>
      </c>
      <c r="V92" s="53">
        <f t="shared" si="31"/>
        <v>-13</v>
      </c>
      <c r="W92" s="53">
        <f t="shared" si="31"/>
        <v>-6</v>
      </c>
      <c r="X92" s="53">
        <f t="shared" si="31"/>
        <v>-6</v>
      </c>
      <c r="Y92" s="53">
        <f t="shared" si="31"/>
        <v>-6</v>
      </c>
      <c r="Z92" s="53">
        <f t="shared" si="31"/>
        <v>-8</v>
      </c>
      <c r="AA92" s="53">
        <f t="shared" si="31"/>
        <v>-5</v>
      </c>
      <c r="AB92" s="53">
        <f t="shared" si="31"/>
        <v>-8</v>
      </c>
      <c r="AC92" s="53">
        <f t="shared" si="31"/>
        <v>-9</v>
      </c>
      <c r="AD92" s="53">
        <f t="shared" si="31"/>
        <v>-9</v>
      </c>
      <c r="AE92" s="53">
        <f t="shared" si="31"/>
        <v>-6</v>
      </c>
      <c r="AF92" s="53">
        <f t="shared" si="31"/>
        <v>-5</v>
      </c>
      <c r="AG92" s="53">
        <f t="shared" si="31"/>
        <v>-5</v>
      </c>
      <c r="AH92" s="53">
        <f t="shared" si="31"/>
        <v>-5</v>
      </c>
      <c r="AI92" s="53">
        <f t="shared" si="31"/>
        <v>-10</v>
      </c>
      <c r="AJ92" s="53">
        <f t="shared" si="31"/>
        <v>-27</v>
      </c>
    </row>
    <row r="93" spans="2:42" ht="9.75" customHeight="1" x14ac:dyDescent="0.3">
      <c r="C93" s="40"/>
      <c r="D93" s="40"/>
      <c r="E93" s="36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</row>
    <row r="94" spans="2:42" ht="18.75" x14ac:dyDescent="0.3">
      <c r="C94" s="179" t="s">
        <v>102</v>
      </c>
      <c r="D94" s="179"/>
      <c r="E94" s="36"/>
      <c r="F94" s="41">
        <f>SUM(F86:F88)</f>
        <v>38</v>
      </c>
      <c r="G94" s="41">
        <f t="shared" ref="G94:AI94" si="32">SUM(G86:G88)</f>
        <v>33</v>
      </c>
      <c r="H94" s="41">
        <f t="shared" si="32"/>
        <v>35</v>
      </c>
      <c r="I94" s="41">
        <f t="shared" si="32"/>
        <v>38</v>
      </c>
      <c r="J94" s="41">
        <f t="shared" si="32"/>
        <v>36</v>
      </c>
      <c r="K94" s="41">
        <f t="shared" si="32"/>
        <v>35</v>
      </c>
      <c r="L94" s="41">
        <f t="shared" si="32"/>
        <v>35</v>
      </c>
      <c r="M94" s="41">
        <f t="shared" si="32"/>
        <v>35</v>
      </c>
      <c r="N94" s="41">
        <f t="shared" si="32"/>
        <v>33</v>
      </c>
      <c r="O94" s="41">
        <f t="shared" si="32"/>
        <v>34</v>
      </c>
      <c r="P94" s="41">
        <f t="shared" si="32"/>
        <v>39</v>
      </c>
      <c r="Q94" s="41">
        <f t="shared" si="32"/>
        <v>39</v>
      </c>
      <c r="R94" s="41">
        <f t="shared" si="32"/>
        <v>39</v>
      </c>
      <c r="S94" s="41">
        <f t="shared" si="32"/>
        <v>38</v>
      </c>
      <c r="T94" s="41">
        <f t="shared" si="32"/>
        <v>40</v>
      </c>
      <c r="U94" s="41">
        <f t="shared" si="32"/>
        <v>36</v>
      </c>
      <c r="V94" s="41">
        <f t="shared" si="32"/>
        <v>32</v>
      </c>
      <c r="W94" s="41">
        <f t="shared" si="32"/>
        <v>39</v>
      </c>
      <c r="X94" s="41">
        <f t="shared" si="32"/>
        <v>39</v>
      </c>
      <c r="Y94" s="41">
        <f t="shared" si="32"/>
        <v>39</v>
      </c>
      <c r="Z94" s="41">
        <f t="shared" si="32"/>
        <v>37</v>
      </c>
      <c r="AA94" s="41">
        <f t="shared" si="32"/>
        <v>40</v>
      </c>
      <c r="AB94" s="41">
        <f t="shared" si="32"/>
        <v>37</v>
      </c>
      <c r="AC94" s="41">
        <f t="shared" si="32"/>
        <v>36</v>
      </c>
      <c r="AD94" s="41">
        <f t="shared" si="32"/>
        <v>36</v>
      </c>
      <c r="AE94" s="41">
        <f t="shared" si="32"/>
        <v>39</v>
      </c>
      <c r="AF94" s="41">
        <f t="shared" si="32"/>
        <v>40</v>
      </c>
      <c r="AG94" s="41">
        <f t="shared" si="32"/>
        <v>40</v>
      </c>
      <c r="AH94" s="41">
        <f t="shared" si="32"/>
        <v>40</v>
      </c>
      <c r="AI94" s="41">
        <f t="shared" si="32"/>
        <v>35</v>
      </c>
      <c r="AJ94" s="41">
        <v>18</v>
      </c>
    </row>
    <row r="95" spans="2:42" ht="18.75" x14ac:dyDescent="0.3">
      <c r="C95" s="179" t="s">
        <v>90</v>
      </c>
      <c r="D95" s="179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>
        <v>45</v>
      </c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</row>
    <row r="96" spans="2:42" ht="18.75" x14ac:dyDescent="0.3">
      <c r="C96" s="179" t="s">
        <v>103</v>
      </c>
      <c r="D96" s="179"/>
      <c r="E96" s="36"/>
      <c r="F96" s="37">
        <f>SUM(F86,F87,F88,F89,F91)</f>
        <v>58</v>
      </c>
      <c r="G96" s="37">
        <f t="shared" ref="G96:AI96" si="33">SUM(G86,G87,G88,G89,G91)</f>
        <v>55</v>
      </c>
      <c r="H96" s="37">
        <f t="shared" si="33"/>
        <v>54</v>
      </c>
      <c r="I96" s="37">
        <f t="shared" si="33"/>
        <v>55</v>
      </c>
      <c r="J96" s="37">
        <f t="shared" si="33"/>
        <v>52</v>
      </c>
      <c r="K96" s="37">
        <f t="shared" si="33"/>
        <v>50</v>
      </c>
      <c r="L96" s="37">
        <f t="shared" si="33"/>
        <v>51</v>
      </c>
      <c r="M96" s="37">
        <f t="shared" si="33"/>
        <v>53</v>
      </c>
      <c r="N96" s="37">
        <f t="shared" si="33"/>
        <v>54</v>
      </c>
      <c r="O96" s="37">
        <f t="shared" si="33"/>
        <v>56</v>
      </c>
      <c r="P96" s="37">
        <f t="shared" si="33"/>
        <v>56</v>
      </c>
      <c r="Q96" s="37">
        <f t="shared" si="33"/>
        <v>54</v>
      </c>
      <c r="R96" s="37">
        <f t="shared" si="33"/>
        <v>56</v>
      </c>
      <c r="S96" s="37">
        <f t="shared" si="33"/>
        <v>56</v>
      </c>
      <c r="T96" s="37">
        <f t="shared" si="33"/>
        <v>57</v>
      </c>
      <c r="U96" s="37">
        <f t="shared" si="33"/>
        <v>57</v>
      </c>
      <c r="V96" s="37">
        <f t="shared" si="33"/>
        <v>57</v>
      </c>
      <c r="W96" s="37">
        <f t="shared" si="33"/>
        <v>59</v>
      </c>
      <c r="X96" s="37">
        <f t="shared" si="33"/>
        <v>57</v>
      </c>
      <c r="Y96" s="37">
        <f t="shared" si="33"/>
        <v>56</v>
      </c>
      <c r="Z96" s="37">
        <f t="shared" si="33"/>
        <v>55</v>
      </c>
      <c r="AA96" s="37">
        <f t="shared" si="33"/>
        <v>55</v>
      </c>
      <c r="AB96" s="37">
        <f t="shared" si="33"/>
        <v>57</v>
      </c>
      <c r="AC96" s="37">
        <f t="shared" si="33"/>
        <v>57</v>
      </c>
      <c r="AD96" s="37">
        <f t="shared" si="33"/>
        <v>56</v>
      </c>
      <c r="AE96" s="37">
        <f t="shared" si="33"/>
        <v>58</v>
      </c>
      <c r="AF96" s="37">
        <f t="shared" si="33"/>
        <v>58</v>
      </c>
      <c r="AG96" s="37">
        <f t="shared" si="33"/>
        <v>58</v>
      </c>
      <c r="AH96" s="37">
        <f t="shared" si="33"/>
        <v>58</v>
      </c>
      <c r="AI96" s="37">
        <f t="shared" si="33"/>
        <v>56</v>
      </c>
      <c r="AJ96" s="37">
        <v>35</v>
      </c>
    </row>
    <row r="97" spans="6:11" ht="16.5" thickBot="1" x14ac:dyDescent="0.3"/>
    <row r="98" spans="6:11" ht="16.5" thickBot="1" x14ac:dyDescent="0.3">
      <c r="F98" s="162" t="s">
        <v>232</v>
      </c>
      <c r="G98" s="163"/>
      <c r="H98" s="163"/>
      <c r="I98" s="163"/>
      <c r="J98" s="163"/>
      <c r="K98" s="164"/>
    </row>
    <row r="99" spans="6:11" x14ac:dyDescent="0.25">
      <c r="F99" s="87" t="s">
        <v>142</v>
      </c>
      <c r="G99" s="165" t="s">
        <v>228</v>
      </c>
      <c r="H99" s="166"/>
      <c r="I99" s="93" t="s">
        <v>229</v>
      </c>
      <c r="J99" s="143" t="s">
        <v>240</v>
      </c>
      <c r="K99" s="144"/>
    </row>
    <row r="100" spans="6:11" x14ac:dyDescent="0.25">
      <c r="F100" s="88" t="s">
        <v>119</v>
      </c>
      <c r="G100" s="167" t="s">
        <v>229</v>
      </c>
      <c r="H100" s="168"/>
      <c r="I100" s="93" t="s">
        <v>239</v>
      </c>
      <c r="J100" s="169" t="s">
        <v>241</v>
      </c>
      <c r="K100" s="170"/>
    </row>
    <row r="101" spans="6:11" x14ac:dyDescent="0.25">
      <c r="F101" s="89" t="s">
        <v>226</v>
      </c>
      <c r="G101" s="171" t="s">
        <v>230</v>
      </c>
      <c r="H101" s="172"/>
      <c r="I101" s="94" t="s">
        <v>235</v>
      </c>
      <c r="J101" s="173" t="s">
        <v>242</v>
      </c>
      <c r="K101" s="174"/>
    </row>
    <row r="102" spans="6:11" x14ac:dyDescent="0.25">
      <c r="F102" s="90" t="s">
        <v>227</v>
      </c>
      <c r="G102" s="150" t="s">
        <v>231</v>
      </c>
      <c r="H102" s="151"/>
      <c r="I102" s="95" t="s">
        <v>246</v>
      </c>
      <c r="J102" s="152" t="s">
        <v>243</v>
      </c>
      <c r="K102" s="153"/>
    </row>
    <row r="103" spans="6:11" x14ac:dyDescent="0.25">
      <c r="F103" s="91" t="s">
        <v>144</v>
      </c>
      <c r="G103" s="154" t="s">
        <v>234</v>
      </c>
      <c r="H103" s="155"/>
      <c r="I103" s="50" t="s">
        <v>247</v>
      </c>
      <c r="J103" s="156" t="s">
        <v>244</v>
      </c>
      <c r="K103" s="157"/>
    </row>
    <row r="104" spans="6:11" x14ac:dyDescent="0.25">
      <c r="F104" s="92"/>
      <c r="G104" s="158" t="s">
        <v>233</v>
      </c>
      <c r="H104" s="159"/>
      <c r="I104" s="96" t="s">
        <v>248</v>
      </c>
      <c r="J104" s="160" t="s">
        <v>245</v>
      </c>
      <c r="K104" s="161"/>
    </row>
    <row r="105" spans="6:11" ht="16.5" thickBot="1" x14ac:dyDescent="0.3">
      <c r="F105" s="100" t="s">
        <v>251</v>
      </c>
      <c r="G105" s="140" t="s">
        <v>252</v>
      </c>
      <c r="H105" s="141"/>
      <c r="I105" s="101" t="s">
        <v>249</v>
      </c>
      <c r="J105" s="140" t="s">
        <v>250</v>
      </c>
      <c r="K105" s="142"/>
    </row>
  </sheetData>
  <autoFilter ref="F4:AJ92" xr:uid="{10A87D31-A428-49C7-B3CE-66B468A7BADA}"/>
  <mergeCells count="112"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J93"/>
    <mergeCell ref="C94:D94"/>
    <mergeCell ref="C95:D95"/>
    <mergeCell ref="C96:D96"/>
    <mergeCell ref="C86:D86"/>
    <mergeCell ref="C87:D87"/>
    <mergeCell ref="C88:D88"/>
    <mergeCell ref="C89:D89"/>
    <mergeCell ref="C90:D90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</mergeCells>
  <phoneticPr fontId="14" type="noConversion"/>
  <conditionalFormatting sqref="F5:AJ8">
    <cfRule type="containsText" dxfId="197" priority="55" operator="containsText" text="TR">
      <formula>NOT(ISERROR(SEARCH("TR",F5)))</formula>
    </cfRule>
    <cfRule type="containsText" dxfId="196" priority="56" operator="containsText" text="MN06">
      <formula>NOT(ISERROR(SEARCH("MN06",F5)))</formula>
    </cfRule>
    <cfRule type="containsText" dxfId="195" priority="57" operator="containsText" text="AN13">
      <formula>NOT(ISERROR(SEARCH("AN13",F5)))</formula>
    </cfRule>
    <cfRule type="containsText" dxfId="194" priority="58" operator="containsText" text="OFF">
      <formula>NOT(ISERROR(SEARCH("OFF",F5)))</formula>
    </cfRule>
    <cfRule type="containsText" dxfId="193" priority="59" operator="containsText" text="ME07">
      <formula>NOT(ISERROR(SEARCH("ME07",F5)))</formula>
    </cfRule>
  </conditionalFormatting>
  <conditionalFormatting sqref="F30:AJ65">
    <cfRule type="containsText" dxfId="53" priority="45" operator="containsText" text="MN12">
      <formula>NOT(ISERROR(SEARCH("MN12",F30)))</formula>
    </cfRule>
    <cfRule type="containsText" dxfId="52" priority="46" operator="containsText" text="STNN21">
      <formula>NOT(ISERROR(SEARCH("STNN21",F30)))</formula>
    </cfRule>
    <cfRule type="containsText" dxfId="51" priority="47" operator="containsText" text="STAN13">
      <formula>NOT(ISERROR(SEARCH("STAN13",F30)))</formula>
    </cfRule>
    <cfRule type="containsText" dxfId="50" priority="48" operator="containsText" text="STMN06">
      <formula>NOT(ISERROR(SEARCH("STMN06",F30)))</formula>
    </cfRule>
    <cfRule type="containsText" dxfId="49" priority="49" operator="containsText" text="LV">
      <formula>NOT(ISERROR(SEARCH("LV",F30)))</formula>
    </cfRule>
    <cfRule type="containsText" dxfId="48" priority="50" operator="containsText" text="TR">
      <formula>NOT(ISERROR(SEARCH("TR",F30)))</formula>
    </cfRule>
    <cfRule type="containsText" dxfId="47" priority="51" operator="containsText" text="NN21">
      <formula>NOT(ISERROR(SEARCH("NN21",F30)))</formula>
    </cfRule>
    <cfRule type="containsText" dxfId="46" priority="52" operator="containsText" text="AN13">
      <formula>NOT(ISERROR(SEARCH("AN13",F30)))</formula>
    </cfRule>
    <cfRule type="containsText" dxfId="45" priority="53" operator="containsText" text="MN06">
      <formula>NOT(ISERROR(SEARCH("MN06",F30)))</formula>
    </cfRule>
    <cfRule type="containsText" dxfId="44" priority="54" operator="containsText" text="OFF">
      <formula>NOT(ISERROR(SEARCH("OFF",F30)))</formula>
    </cfRule>
  </conditionalFormatting>
  <conditionalFormatting sqref="F66:AJ84">
    <cfRule type="containsText" dxfId="31" priority="23" operator="containsText" text="STMN06">
      <formula>NOT(ISERROR(SEARCH("STMN06",F66)))</formula>
    </cfRule>
    <cfRule type="containsText" dxfId="30" priority="24" operator="containsText" text="STAN13">
      <formula>NOT(ISERROR(SEARCH("STAN13",F66)))</formula>
    </cfRule>
    <cfRule type="containsText" dxfId="29" priority="25" operator="containsText" text="STNN21">
      <formula>NOT(ISERROR(SEARCH("STNN21",F66)))</formula>
    </cfRule>
    <cfRule type="containsText" dxfId="28" priority="26" operator="containsText" text="LV">
      <formula>NOT(ISERROR(SEARCH("LV",F66)))</formula>
    </cfRule>
    <cfRule type="containsText" dxfId="27" priority="27" operator="containsText" text="TR">
      <formula>NOT(ISERROR(SEARCH("TR",F66)))</formula>
    </cfRule>
    <cfRule type="containsText" dxfId="26" priority="28" operator="containsText" text="NN21">
      <formula>NOT(ISERROR(SEARCH("NN21",F66)))</formula>
    </cfRule>
    <cfRule type="containsText" dxfId="25" priority="29" operator="containsText" text="NN13">
      <formula>NOT(ISERROR(SEARCH("NN13",F66)))</formula>
    </cfRule>
    <cfRule type="containsText" dxfId="24" priority="30" operator="containsText" text="AN13">
      <formula>NOT(ISERROR(SEARCH("AN13",F66)))</formula>
    </cfRule>
    <cfRule type="containsText" dxfId="23" priority="31" operator="containsText" text="MN06">
      <formula>NOT(ISERROR(SEARCH("MN06",F66)))</formula>
    </cfRule>
    <cfRule type="containsText" dxfId="22" priority="32" operator="containsText" text="OFF">
      <formula>NOT(ISERROR(SEARCH("OFF",F66)))</formula>
    </cfRule>
  </conditionalFormatting>
  <conditionalFormatting sqref="F9:AJ14">
    <cfRule type="containsText" dxfId="21" priority="13" operator="containsText" text="LV">
      <formula>NOT(ISERROR(SEARCH("LV",F9)))</formula>
    </cfRule>
    <cfRule type="containsText" dxfId="20" priority="14" operator="containsText" text="STNN21">
      <formula>NOT(ISERROR(SEARCH("STNN21",F9)))</formula>
    </cfRule>
    <cfRule type="containsText" dxfId="19" priority="15" operator="containsText" text="STAN13">
      <formula>NOT(ISERROR(SEARCH("STAN13",F9)))</formula>
    </cfRule>
    <cfRule type="containsText" dxfId="18" priority="16" operator="containsText" text="STMN06">
      <formula>NOT(ISERROR(SEARCH("STMN06",F9)))</formula>
    </cfRule>
    <cfRule type="containsText" dxfId="17" priority="17" operator="containsText" text="MN12">
      <formula>NOT(ISERROR(SEARCH("MN12",F9)))</formula>
    </cfRule>
    <cfRule type="containsText" dxfId="16" priority="18" operator="containsText" text="TR">
      <formula>NOT(ISERROR(SEARCH("TR",F9)))</formula>
    </cfRule>
    <cfRule type="containsText" dxfId="15" priority="19" operator="containsText" text="OFF">
      <formula>NOT(ISERROR(SEARCH("OFF",F9)))</formula>
    </cfRule>
    <cfRule type="containsText" dxfId="14" priority="20" operator="containsText" text="NN21">
      <formula>NOT(ISERROR(SEARCH("NN21",F9)))</formula>
    </cfRule>
    <cfRule type="containsText" dxfId="13" priority="21" operator="containsText" text="AN13">
      <formula>NOT(ISERROR(SEARCH("AN13",F9)))</formula>
    </cfRule>
    <cfRule type="containsText" dxfId="12" priority="22" operator="containsText" text="MN06">
      <formula>NOT(ISERROR(SEARCH("MN06",F9)))</formula>
    </cfRule>
  </conditionalFormatting>
  <conditionalFormatting sqref="F15:AJ29">
    <cfRule type="containsText" dxfId="11" priority="1" operator="containsText" text="STMN06">
      <formula>NOT(ISERROR(SEARCH("STMN06",F15)))</formula>
    </cfRule>
    <cfRule type="containsText" dxfId="10" priority="2" operator="containsText" text="STAN13">
      <formula>NOT(ISERROR(SEARCH("STAN13",F15)))</formula>
    </cfRule>
    <cfRule type="containsText" dxfId="9" priority="3" operator="containsText" text="TR">
      <formula>NOT(ISERROR(SEARCH("TR",F15)))</formula>
    </cfRule>
    <cfRule type="containsText" dxfId="8" priority="4" operator="containsText" text="LV">
      <formula>NOT(ISERROR(SEARCH("LV",F15)))</formula>
    </cfRule>
    <cfRule type="containsText" dxfId="7" priority="5" operator="containsText" text="AN13">
      <formula>NOT(ISERROR(SEARCH("AN13",F15)))</formula>
    </cfRule>
    <cfRule type="containsText" dxfId="6" priority="6" operator="containsText" text="AN13">
      <formula>NOT(ISERROR(SEARCH("AN13",F15)))</formula>
    </cfRule>
    <cfRule type="containsText" dxfId="5" priority="7" operator="containsText" text="AN13">
      <formula>NOT(ISERROR(SEARCH("AN13",F15)))</formula>
    </cfRule>
    <cfRule type="containsText" dxfId="4" priority="8" operator="containsText" text="MN06">
      <formula>NOT(ISERROR(SEARCH("MN06",F15)))</formula>
    </cfRule>
    <cfRule type="containsText" dxfId="3" priority="9" operator="containsText" text="STAN13">
      <formula>NOT(ISERROR(SEARCH("STAN13",F15)))</formula>
    </cfRule>
    <cfRule type="containsText" dxfId="2" priority="10" operator="containsText" text="STNN21">
      <formula>NOT(ISERROR(SEARCH("STNN21",F15)))</formula>
    </cfRule>
    <cfRule type="containsText" dxfId="1" priority="11" operator="containsText" text="NN21">
      <formula>NOT(ISERROR(SEARCH("NN21",F15)))</formula>
    </cfRule>
    <cfRule type="containsText" dxfId="0" priority="12" operator="containsText" text="OFF">
      <formula>NOT(ISERROR(SEARCH("OFF",F15)))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4" sqref="I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4" t="s">
        <v>261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6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180" t="s">
        <v>105</v>
      </c>
      <c r="C3" s="180"/>
      <c r="D3" s="18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180"/>
      <c r="C4" s="180"/>
      <c r="D4" s="18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149" t="s">
        <v>187</v>
      </c>
      <c r="D5" s="149"/>
      <c r="F5" s="128" t="s">
        <v>258</v>
      </c>
      <c r="G5" s="128" t="s">
        <v>258</v>
      </c>
      <c r="H5" s="128" t="s">
        <v>258</v>
      </c>
      <c r="I5" s="128" t="s">
        <v>258</v>
      </c>
      <c r="J5" s="128" t="s">
        <v>258</v>
      </c>
      <c r="K5" s="128" t="s">
        <v>258</v>
      </c>
      <c r="L5" s="128" t="s">
        <v>258</v>
      </c>
      <c r="M5" s="128" t="s">
        <v>258</v>
      </c>
      <c r="N5" s="128" t="s">
        <v>257</v>
      </c>
      <c r="O5" s="128" t="s">
        <v>257</v>
      </c>
      <c r="P5" s="23" t="s">
        <v>237</v>
      </c>
      <c r="Q5" s="23" t="s">
        <v>237</v>
      </c>
      <c r="R5" s="23" t="s">
        <v>237</v>
      </c>
      <c r="S5" s="23" t="s">
        <v>237</v>
      </c>
      <c r="T5" s="23" t="s">
        <v>237</v>
      </c>
      <c r="U5" s="23" t="s">
        <v>257</v>
      </c>
      <c r="V5" s="23" t="s">
        <v>257</v>
      </c>
      <c r="W5" s="23" t="s">
        <v>237</v>
      </c>
      <c r="X5" s="23" t="s">
        <v>144</v>
      </c>
      <c r="Y5" s="23" t="s">
        <v>144</v>
      </c>
      <c r="Z5" s="23" t="s">
        <v>237</v>
      </c>
      <c r="AA5" s="23" t="s">
        <v>237</v>
      </c>
      <c r="AB5" s="23" t="s">
        <v>257</v>
      </c>
      <c r="AC5" s="23" t="s">
        <v>257</v>
      </c>
      <c r="AD5" s="23" t="s">
        <v>237</v>
      </c>
      <c r="AE5" s="23" t="s">
        <v>237</v>
      </c>
      <c r="AF5" s="23" t="s">
        <v>237</v>
      </c>
      <c r="AG5" s="23" t="s">
        <v>237</v>
      </c>
      <c r="AH5" s="23" t="s">
        <v>237</v>
      </c>
      <c r="AI5" s="23" t="s">
        <v>257</v>
      </c>
      <c r="AJ5" s="23" t="s">
        <v>257</v>
      </c>
      <c r="AL5" s="50">
        <f t="shared" ref="AL5:AL8" si="0">COUNTIF($F5:$AJ5,"ST*")</f>
        <v>0</v>
      </c>
      <c r="AM5" s="50">
        <f t="shared" ref="AM5:AM8" si="1">COUNTIF($F5:$AJ5,"M*")</f>
        <v>13</v>
      </c>
      <c r="AN5" s="50">
        <f t="shared" ref="AN5:AN8" si="2">COUNTIF($F5:$AJ5,"A*")</f>
        <v>0</v>
      </c>
      <c r="AO5" s="50">
        <f t="shared" ref="AO5:AO8" si="3">COUNTIF($F5:$AJ5,"N*")</f>
        <v>0</v>
      </c>
      <c r="AP5" s="50">
        <f t="shared" ref="AP5:AP8" si="4">COUNTIF($F5:$AJ5,"O*")</f>
        <v>8</v>
      </c>
    </row>
    <row r="6" spans="2:42" ht="18.75" x14ac:dyDescent="0.25">
      <c r="B6" s="37">
        <v>2</v>
      </c>
      <c r="C6" s="149" t="s">
        <v>190</v>
      </c>
      <c r="D6" s="149"/>
      <c r="F6" s="128" t="s">
        <v>258</v>
      </c>
      <c r="G6" s="51" t="s">
        <v>257</v>
      </c>
      <c r="H6" s="51" t="s">
        <v>257</v>
      </c>
      <c r="I6" s="128" t="s">
        <v>258</v>
      </c>
      <c r="J6" s="128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129" t="s">
        <v>258</v>
      </c>
      <c r="Q6" s="129" t="s">
        <v>258</v>
      </c>
      <c r="R6" s="129" t="s">
        <v>258</v>
      </c>
      <c r="S6" s="129" t="s">
        <v>258</v>
      </c>
      <c r="T6" s="129" t="s">
        <v>258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13</v>
      </c>
      <c r="AN6" s="50">
        <f t="shared" si="2"/>
        <v>0</v>
      </c>
      <c r="AO6" s="50">
        <f t="shared" si="3"/>
        <v>0</v>
      </c>
      <c r="AP6" s="50">
        <f t="shared" si="4"/>
        <v>10</v>
      </c>
    </row>
    <row r="7" spans="2:42" ht="18.75" x14ac:dyDescent="0.25">
      <c r="B7" s="37">
        <v>3</v>
      </c>
      <c r="C7" s="149" t="s">
        <v>188</v>
      </c>
      <c r="D7" s="149"/>
      <c r="F7" s="51" t="s">
        <v>229</v>
      </c>
      <c r="G7" s="51" t="s">
        <v>229</v>
      </c>
      <c r="H7" s="51" t="s">
        <v>229</v>
      </c>
      <c r="I7" s="51" t="s">
        <v>230</v>
      </c>
      <c r="J7" s="51" t="s">
        <v>230</v>
      </c>
      <c r="K7" s="51" t="s">
        <v>257</v>
      </c>
      <c r="L7" s="51" t="s">
        <v>257</v>
      </c>
      <c r="M7" s="51" t="s">
        <v>229</v>
      </c>
      <c r="N7" s="51" t="s">
        <v>229</v>
      </c>
      <c r="O7" s="51" t="s">
        <v>229</v>
      </c>
      <c r="P7" s="51" t="s">
        <v>230</v>
      </c>
      <c r="Q7" s="51" t="s">
        <v>230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229</v>
      </c>
      <c r="W7" s="51" t="s">
        <v>230</v>
      </c>
      <c r="X7" s="51" t="s">
        <v>230</v>
      </c>
      <c r="Y7" s="51" t="s">
        <v>257</v>
      </c>
      <c r="Z7" s="51" t="s">
        <v>257</v>
      </c>
      <c r="AA7" s="51" t="s">
        <v>229</v>
      </c>
      <c r="AB7" s="51" t="s">
        <v>229</v>
      </c>
      <c r="AC7" s="51" t="s">
        <v>229</v>
      </c>
      <c r="AD7" s="51" t="s">
        <v>230</v>
      </c>
      <c r="AE7" s="51" t="s">
        <v>144</v>
      </c>
      <c r="AF7" s="51" t="s">
        <v>257</v>
      </c>
      <c r="AG7" s="51" t="s">
        <v>257</v>
      </c>
      <c r="AH7" s="51" t="s">
        <v>229</v>
      </c>
      <c r="AI7" s="51" t="s">
        <v>229</v>
      </c>
      <c r="AJ7" s="51" t="s">
        <v>229</v>
      </c>
      <c r="AL7" s="50">
        <f t="shared" si="0"/>
        <v>0</v>
      </c>
      <c r="AM7" s="50">
        <f t="shared" si="1"/>
        <v>15</v>
      </c>
      <c r="AN7" s="50">
        <f t="shared" si="2"/>
        <v>7</v>
      </c>
      <c r="AO7" s="50">
        <f t="shared" si="3"/>
        <v>0</v>
      </c>
      <c r="AP7" s="50">
        <f t="shared" si="4"/>
        <v>8</v>
      </c>
    </row>
    <row r="8" spans="2:42" ht="18.75" x14ac:dyDescent="0.25">
      <c r="B8" s="37">
        <v>4</v>
      </c>
      <c r="C8" s="149" t="s">
        <v>189</v>
      </c>
      <c r="D8" s="149"/>
      <c r="F8" s="51" t="s">
        <v>230</v>
      </c>
      <c r="G8" s="51" t="s">
        <v>230</v>
      </c>
      <c r="H8" s="51" t="s">
        <v>230</v>
      </c>
      <c r="I8" s="51" t="s">
        <v>257</v>
      </c>
      <c r="J8" s="51" t="s">
        <v>257</v>
      </c>
      <c r="K8" s="51" t="s">
        <v>229</v>
      </c>
      <c r="L8" s="51" t="s">
        <v>229</v>
      </c>
      <c r="M8" s="51" t="s">
        <v>230</v>
      </c>
      <c r="N8" s="51" t="s">
        <v>230</v>
      </c>
      <c r="O8" s="51" t="s">
        <v>230</v>
      </c>
      <c r="P8" s="51" t="s">
        <v>257</v>
      </c>
      <c r="Q8" s="51" t="s">
        <v>257</v>
      </c>
      <c r="R8" s="51" t="s">
        <v>229</v>
      </c>
      <c r="S8" s="51" t="s">
        <v>229</v>
      </c>
      <c r="T8" s="51" t="s">
        <v>230</v>
      </c>
      <c r="U8" s="51" t="s">
        <v>230</v>
      </c>
      <c r="V8" s="51" t="s">
        <v>230</v>
      </c>
      <c r="W8" s="56" t="s">
        <v>257</v>
      </c>
      <c r="X8" s="56" t="s">
        <v>257</v>
      </c>
      <c r="Y8" s="51" t="s">
        <v>229</v>
      </c>
      <c r="Z8" s="51" t="s">
        <v>229</v>
      </c>
      <c r="AA8" s="51" t="s">
        <v>230</v>
      </c>
      <c r="AB8" s="51" t="s">
        <v>230</v>
      </c>
      <c r="AC8" s="51" t="s">
        <v>230</v>
      </c>
      <c r="AD8" s="51" t="s">
        <v>257</v>
      </c>
      <c r="AE8" s="51" t="s">
        <v>257</v>
      </c>
      <c r="AF8" s="51" t="s">
        <v>144</v>
      </c>
      <c r="AG8" s="51" t="s">
        <v>229</v>
      </c>
      <c r="AH8" s="51" t="s">
        <v>230</v>
      </c>
      <c r="AI8" s="51" t="s">
        <v>230</v>
      </c>
      <c r="AJ8" s="51" t="s">
        <v>230</v>
      </c>
      <c r="AL8" s="50">
        <f t="shared" si="0"/>
        <v>0</v>
      </c>
      <c r="AM8" s="50">
        <f t="shared" si="1"/>
        <v>7</v>
      </c>
      <c r="AN8" s="50">
        <f t="shared" si="2"/>
        <v>15</v>
      </c>
      <c r="AO8" s="50">
        <f t="shared" si="3"/>
        <v>0</v>
      </c>
      <c r="AP8" s="50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79" t="s">
        <v>91</v>
      </c>
      <c r="D10" s="179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1</v>
      </c>
      <c r="I10" s="37">
        <f t="shared" si="5"/>
        <v>0</v>
      </c>
      <c r="J10" s="37">
        <f t="shared" si="5"/>
        <v>0</v>
      </c>
      <c r="K10" s="37">
        <f t="shared" si="5"/>
        <v>2</v>
      </c>
      <c r="L10" s="37">
        <f t="shared" si="5"/>
        <v>2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1</v>
      </c>
      <c r="Q10" s="37">
        <f t="shared" si="5"/>
        <v>1</v>
      </c>
      <c r="R10" s="37">
        <f t="shared" si="5"/>
        <v>2</v>
      </c>
      <c r="S10" s="37">
        <f t="shared" si="5"/>
        <v>2</v>
      </c>
      <c r="T10" s="37">
        <f t="shared" si="5"/>
        <v>2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1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79" t="s">
        <v>92</v>
      </c>
      <c r="D11" s="179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79" t="s">
        <v>72</v>
      </c>
      <c r="D12" s="179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79" t="s">
        <v>73</v>
      </c>
      <c r="D13" s="179"/>
      <c r="E13" s="36"/>
      <c r="F13" s="37">
        <f t="shared" ref="F13:AJ13" si="8">COUNTIF(F$5:F$8,"O*")</f>
        <v>0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75" t="s">
        <v>143</v>
      </c>
      <c r="D14" s="176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1</v>
      </c>
      <c r="AF14" s="37">
        <f t="shared" si="9"/>
        <v>1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5" t="s">
        <v>106</v>
      </c>
      <c r="D15" s="176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77" t="s">
        <v>104</v>
      </c>
      <c r="D16" s="177"/>
      <c r="E16" s="38"/>
      <c r="F16" s="53">
        <f>F18-F19</f>
        <v>0</v>
      </c>
      <c r="G16" s="53">
        <f t="shared" ref="G16:AJ16" si="11">G18-G19</f>
        <v>0</v>
      </c>
      <c r="H16" s="53">
        <f t="shared" si="11"/>
        <v>0</v>
      </c>
      <c r="I16" s="53">
        <f t="shared" si="11"/>
        <v>-1</v>
      </c>
      <c r="J16" s="53">
        <f t="shared" si="11"/>
        <v>-1</v>
      </c>
      <c r="K16" s="53">
        <f t="shared" si="11"/>
        <v>0</v>
      </c>
      <c r="L16" s="53">
        <f t="shared" si="11"/>
        <v>0</v>
      </c>
      <c r="M16" s="53">
        <f t="shared" si="11"/>
        <v>1</v>
      </c>
      <c r="N16" s="53">
        <f t="shared" si="11"/>
        <v>0</v>
      </c>
      <c r="O16" s="53">
        <f t="shared" si="11"/>
        <v>0</v>
      </c>
      <c r="P16" s="53">
        <f t="shared" si="11"/>
        <v>0</v>
      </c>
      <c r="Q16" s="53">
        <f t="shared" si="11"/>
        <v>0</v>
      </c>
      <c r="R16" s="53">
        <f t="shared" si="11"/>
        <v>0</v>
      </c>
      <c r="S16" s="53">
        <f t="shared" si="11"/>
        <v>0</v>
      </c>
      <c r="T16" s="53">
        <f t="shared" si="11"/>
        <v>1</v>
      </c>
      <c r="U16" s="53">
        <f t="shared" si="11"/>
        <v>0</v>
      </c>
      <c r="V16" s="53">
        <f t="shared" si="11"/>
        <v>0</v>
      </c>
      <c r="W16" s="53">
        <f t="shared" si="11"/>
        <v>1</v>
      </c>
      <c r="X16" s="53">
        <f t="shared" si="11"/>
        <v>0</v>
      </c>
      <c r="Y16" s="53">
        <f t="shared" si="11"/>
        <v>0</v>
      </c>
      <c r="Z16" s="53">
        <f t="shared" si="11"/>
        <v>1</v>
      </c>
      <c r="AA16" s="53">
        <f t="shared" si="11"/>
        <v>2</v>
      </c>
      <c r="AB16" s="53">
        <f t="shared" si="11"/>
        <v>0</v>
      </c>
      <c r="AC16" s="53">
        <f t="shared" si="11"/>
        <v>0</v>
      </c>
      <c r="AD16" s="53">
        <f t="shared" si="11"/>
        <v>1</v>
      </c>
      <c r="AE16" s="53">
        <f t="shared" si="11"/>
        <v>0</v>
      </c>
      <c r="AF16" s="53">
        <f t="shared" si="11"/>
        <v>0</v>
      </c>
      <c r="AG16" s="53">
        <f t="shared" si="11"/>
        <v>1</v>
      </c>
      <c r="AH16" s="53">
        <f t="shared" si="11"/>
        <v>2</v>
      </c>
      <c r="AI16" s="53">
        <f t="shared" si="11"/>
        <v>0</v>
      </c>
      <c r="AJ16" s="53">
        <f t="shared" si="11"/>
        <v>16</v>
      </c>
    </row>
    <row r="17" spans="3:36" ht="9.75" customHeight="1" x14ac:dyDescent="0.3">
      <c r="C17" s="40"/>
      <c r="D17" s="40"/>
      <c r="E17" s="36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</row>
    <row r="18" spans="3:36" ht="18.75" x14ac:dyDescent="0.3">
      <c r="C18" s="179" t="s">
        <v>102</v>
      </c>
      <c r="D18" s="179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2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2</v>
      </c>
      <c r="Q18" s="41">
        <f t="shared" si="12"/>
        <v>2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79" t="s">
        <v>90</v>
      </c>
      <c r="D19" s="179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79" t="s">
        <v>103</v>
      </c>
      <c r="D20" s="179"/>
      <c r="E20" s="36"/>
      <c r="F20" s="37">
        <f>SUM(F10,F11,F12,F13,F15)</f>
        <v>2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3</v>
      </c>
      <c r="T20" s="37">
        <f t="shared" si="13"/>
        <v>3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198" t="s">
        <v>232</v>
      </c>
      <c r="G22" s="199"/>
      <c r="H22" s="200"/>
    </row>
    <row r="23" spans="3:36" x14ac:dyDescent="0.25">
      <c r="F23" s="70" t="s">
        <v>142</v>
      </c>
      <c r="G23" s="201" t="s">
        <v>228</v>
      </c>
      <c r="H23" s="202"/>
    </row>
    <row r="24" spans="3:36" x14ac:dyDescent="0.25">
      <c r="F24" s="79" t="s">
        <v>119</v>
      </c>
      <c r="G24" s="196" t="s">
        <v>229</v>
      </c>
      <c r="H24" s="203"/>
    </row>
    <row r="25" spans="3:36" x14ac:dyDescent="0.25">
      <c r="F25" s="72" t="s">
        <v>226</v>
      </c>
      <c r="G25" s="204" t="s">
        <v>230</v>
      </c>
      <c r="H25" s="205"/>
    </row>
    <row r="26" spans="3:36" x14ac:dyDescent="0.25">
      <c r="F26" s="73" t="s">
        <v>227</v>
      </c>
      <c r="G26" s="206" t="s">
        <v>231</v>
      </c>
      <c r="H26" s="207"/>
    </row>
    <row r="27" spans="3:36" x14ac:dyDescent="0.25">
      <c r="F27" s="74" t="s">
        <v>144</v>
      </c>
      <c r="G27" s="190" t="s">
        <v>234</v>
      </c>
      <c r="H27" s="191"/>
    </row>
    <row r="28" spans="3:36" x14ac:dyDescent="0.25">
      <c r="F28" s="75"/>
      <c r="G28" s="192" t="s">
        <v>233</v>
      </c>
      <c r="H28" s="193"/>
    </row>
    <row r="29" spans="3:36" x14ac:dyDescent="0.25">
      <c r="F29" s="77" t="s">
        <v>235</v>
      </c>
      <c r="G29" s="194" t="s">
        <v>236</v>
      </c>
      <c r="H29" s="195"/>
    </row>
    <row r="30" spans="3:36" x14ac:dyDescent="0.25">
      <c r="F30" s="78" t="s">
        <v>237</v>
      </c>
      <c r="G30" s="196" t="s">
        <v>238</v>
      </c>
      <c r="H30" s="197"/>
    </row>
    <row r="38" spans="18:18" x14ac:dyDescent="0.25">
      <c r="R38" s="18" t="s">
        <v>260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51" priority="1" operator="containsText" text="TR">
      <formula>NOT(ISERROR(SEARCH("TR",F5)))</formula>
    </cfRule>
    <cfRule type="containsText" dxfId="150" priority="2" operator="containsText" text="MN06">
      <formula>NOT(ISERROR(SEARCH("MN06",F5)))</formula>
    </cfRule>
    <cfRule type="containsText" dxfId="149" priority="3" operator="containsText" text="AN13">
      <formula>NOT(ISERROR(SEARCH("AN13",F5)))</formula>
    </cfRule>
    <cfRule type="containsText" dxfId="148" priority="4" operator="containsText" text="OFF">
      <formula>NOT(ISERROR(SEARCH("OFF",F5)))</formula>
    </cfRule>
    <cfRule type="containsText" dxfId="147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4" t="s">
        <v>261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6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180" t="s">
        <v>105</v>
      </c>
      <c r="C3" s="180"/>
      <c r="D3" s="18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180"/>
      <c r="C4" s="180"/>
      <c r="D4" s="18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149" t="s">
        <v>178</v>
      </c>
      <c r="D5" s="149"/>
      <c r="F5" s="44" t="s">
        <v>257</v>
      </c>
      <c r="G5" s="44" t="s">
        <v>258</v>
      </c>
      <c r="H5" s="44" t="s">
        <v>258</v>
      </c>
      <c r="I5" s="44" t="s">
        <v>258</v>
      </c>
      <c r="J5" s="44" t="s">
        <v>258</v>
      </c>
      <c r="K5" s="44" t="s">
        <v>258</v>
      </c>
      <c r="L5" s="44" t="s">
        <v>258</v>
      </c>
      <c r="M5" s="44" t="s">
        <v>257</v>
      </c>
      <c r="N5" s="44" t="s">
        <v>257</v>
      </c>
      <c r="O5" s="44" t="s">
        <v>229</v>
      </c>
      <c r="P5" s="44" t="s">
        <v>229</v>
      </c>
      <c r="Q5" s="44" t="s">
        <v>230</v>
      </c>
      <c r="R5" s="44" t="s">
        <v>230</v>
      </c>
      <c r="S5" s="44" t="s">
        <v>254</v>
      </c>
      <c r="T5" s="44" t="s">
        <v>257</v>
      </c>
      <c r="U5" s="44" t="s">
        <v>257</v>
      </c>
      <c r="V5" s="44" t="s">
        <v>257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257</v>
      </c>
      <c r="AC5" s="44" t="s">
        <v>257</v>
      </c>
      <c r="AD5" s="44" t="s">
        <v>257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254</v>
      </c>
      <c r="AJ5" s="44" t="s">
        <v>257</v>
      </c>
      <c r="AL5" s="50">
        <f t="shared" ref="AL5:AL10" si="0">COUNTIF($F5:$AJ5,"ST*")</f>
        <v>0</v>
      </c>
      <c r="AM5" s="50">
        <f t="shared" ref="AM5:AM10" si="1">COUNTIF($F5:$AJ5,"M*")</f>
        <v>6</v>
      </c>
      <c r="AN5" s="50">
        <f t="shared" ref="AN5:AN10" si="2">COUNTIF($F5:$AJ5,"A*")</f>
        <v>6</v>
      </c>
      <c r="AO5" s="50">
        <f t="shared" ref="AO5:AO10" si="3">COUNTIF($F5:$AJ5,"N*")</f>
        <v>3</v>
      </c>
      <c r="AP5" s="50">
        <f t="shared" ref="AP5:AP10" si="4">COUNTIF($F5:$AJ5,"O*")</f>
        <v>10</v>
      </c>
    </row>
    <row r="6" spans="2:42" ht="18.75" x14ac:dyDescent="0.25">
      <c r="B6" s="37">
        <v>2</v>
      </c>
      <c r="C6" s="149" t="s">
        <v>179</v>
      </c>
      <c r="D6" s="149"/>
      <c r="F6" s="51" t="s">
        <v>230</v>
      </c>
      <c r="G6" s="51" t="s">
        <v>230</v>
      </c>
      <c r="H6" s="51" t="s">
        <v>254</v>
      </c>
      <c r="I6" s="51" t="s">
        <v>257</v>
      </c>
      <c r="J6" s="51" t="s">
        <v>257</v>
      </c>
      <c r="K6" s="51" t="s">
        <v>257</v>
      </c>
      <c r="L6" s="51" t="s">
        <v>229</v>
      </c>
      <c r="M6" s="51" t="s">
        <v>229</v>
      </c>
      <c r="N6" s="51" t="s">
        <v>230</v>
      </c>
      <c r="O6" s="51" t="s">
        <v>230</v>
      </c>
      <c r="P6" s="51" t="s">
        <v>254</v>
      </c>
      <c r="Q6" s="51" t="s">
        <v>257</v>
      </c>
      <c r="R6" s="51" t="s">
        <v>257</v>
      </c>
      <c r="S6" s="51" t="s">
        <v>257</v>
      </c>
      <c r="T6" s="51" t="s">
        <v>229</v>
      </c>
      <c r="U6" s="51" t="s">
        <v>229</v>
      </c>
      <c r="V6" s="51" t="s">
        <v>230</v>
      </c>
      <c r="W6" s="51" t="s">
        <v>230</v>
      </c>
      <c r="X6" s="51" t="s">
        <v>254</v>
      </c>
      <c r="Y6" s="51" t="s">
        <v>257</v>
      </c>
      <c r="Z6" s="51" t="s">
        <v>257</v>
      </c>
      <c r="AA6" s="51" t="s">
        <v>257</v>
      </c>
      <c r="AB6" s="51" t="s">
        <v>229</v>
      </c>
      <c r="AC6" s="51" t="s">
        <v>229</v>
      </c>
      <c r="AD6" s="51" t="s">
        <v>230</v>
      </c>
      <c r="AE6" s="51" t="s">
        <v>230</v>
      </c>
      <c r="AF6" s="51" t="s">
        <v>254</v>
      </c>
      <c r="AG6" s="51" t="s">
        <v>257</v>
      </c>
      <c r="AH6" s="51" t="s">
        <v>257</v>
      </c>
      <c r="AI6" s="51" t="s">
        <v>257</v>
      </c>
      <c r="AJ6" s="51" t="s">
        <v>229</v>
      </c>
      <c r="AL6" s="50">
        <f t="shared" si="0"/>
        <v>0</v>
      </c>
      <c r="AM6" s="50">
        <f t="shared" si="1"/>
        <v>7</v>
      </c>
      <c r="AN6" s="50">
        <f t="shared" si="2"/>
        <v>8</v>
      </c>
      <c r="AO6" s="50">
        <f t="shared" si="3"/>
        <v>4</v>
      </c>
      <c r="AP6" s="50">
        <f t="shared" si="4"/>
        <v>12</v>
      </c>
    </row>
    <row r="7" spans="2:42" ht="18.75" x14ac:dyDescent="0.25">
      <c r="B7" s="37">
        <v>3</v>
      </c>
      <c r="C7" s="149" t="s">
        <v>180</v>
      </c>
      <c r="D7" s="149"/>
      <c r="F7" s="51" t="s">
        <v>258</v>
      </c>
      <c r="G7" s="51" t="s">
        <v>258</v>
      </c>
      <c r="H7" s="51" t="s">
        <v>258</v>
      </c>
      <c r="I7" s="51" t="s">
        <v>258</v>
      </c>
      <c r="J7" s="51" t="s">
        <v>258</v>
      </c>
      <c r="K7" s="51" t="s">
        <v>258</v>
      </c>
      <c r="L7" s="51" t="s">
        <v>258</v>
      </c>
      <c r="M7" s="51" t="s">
        <v>258</v>
      </c>
      <c r="N7" s="51" t="s">
        <v>258</v>
      </c>
      <c r="O7" s="51" t="s">
        <v>258</v>
      </c>
      <c r="P7" s="51" t="s">
        <v>258</v>
      </c>
      <c r="Q7" s="51" t="s">
        <v>258</v>
      </c>
      <c r="R7" s="51" t="s">
        <v>258</v>
      </c>
      <c r="S7" s="51" t="s">
        <v>258</v>
      </c>
      <c r="T7" s="51" t="s">
        <v>258</v>
      </c>
      <c r="U7" s="51" t="s">
        <v>258</v>
      </c>
      <c r="V7" s="51" t="s">
        <v>258</v>
      </c>
      <c r="W7" s="51" t="s">
        <v>258</v>
      </c>
      <c r="X7" s="51" t="s">
        <v>258</v>
      </c>
      <c r="Y7" s="51" t="s">
        <v>258</v>
      </c>
      <c r="Z7" s="51" t="s">
        <v>258</v>
      </c>
      <c r="AA7" s="51" t="s">
        <v>258</v>
      </c>
      <c r="AB7" s="51" t="s">
        <v>258</v>
      </c>
      <c r="AC7" s="51" t="s">
        <v>258</v>
      </c>
      <c r="AD7" s="51" t="s">
        <v>258</v>
      </c>
      <c r="AE7" s="51" t="s">
        <v>258</v>
      </c>
      <c r="AF7" s="51" t="s">
        <v>258</v>
      </c>
      <c r="AG7" s="51" t="s">
        <v>258</v>
      </c>
      <c r="AH7" s="51" t="s">
        <v>258</v>
      </c>
      <c r="AI7" s="51" t="s">
        <v>258</v>
      </c>
      <c r="AJ7" s="51" t="s">
        <v>258</v>
      </c>
      <c r="AL7" s="50">
        <f t="shared" si="0"/>
        <v>0</v>
      </c>
      <c r="AM7" s="50">
        <f t="shared" si="1"/>
        <v>0</v>
      </c>
      <c r="AN7" s="50">
        <f t="shared" si="2"/>
        <v>0</v>
      </c>
      <c r="AO7" s="50">
        <f t="shared" si="3"/>
        <v>0</v>
      </c>
      <c r="AP7" s="50">
        <f t="shared" si="4"/>
        <v>0</v>
      </c>
    </row>
    <row r="8" spans="2:42" ht="18.75" x14ac:dyDescent="0.25">
      <c r="B8" s="37">
        <v>4</v>
      </c>
      <c r="C8" s="149" t="s">
        <v>181</v>
      </c>
      <c r="D8" s="149"/>
      <c r="F8" s="51" t="s">
        <v>229</v>
      </c>
      <c r="G8" s="51" t="s">
        <v>229</v>
      </c>
      <c r="H8" s="51" t="s">
        <v>230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1" t="s">
        <v>229</v>
      </c>
      <c r="O8" s="51" t="s">
        <v>229</v>
      </c>
      <c r="P8" s="51" t="s">
        <v>230</v>
      </c>
      <c r="Q8" s="51" t="s">
        <v>254</v>
      </c>
      <c r="R8" s="51" t="s">
        <v>254</v>
      </c>
      <c r="S8" s="51" t="s">
        <v>257</v>
      </c>
      <c r="T8" s="51" t="s">
        <v>257</v>
      </c>
      <c r="U8" s="51" t="s">
        <v>257</v>
      </c>
      <c r="V8" s="51" t="s">
        <v>258</v>
      </c>
      <c r="W8" s="51" t="s">
        <v>258</v>
      </c>
      <c r="X8" s="51" t="s">
        <v>258</v>
      </c>
      <c r="Y8" s="51" t="s">
        <v>258</v>
      </c>
      <c r="Z8" s="51" t="s">
        <v>258</v>
      </c>
      <c r="AA8" s="51" t="s">
        <v>258</v>
      </c>
      <c r="AB8" s="51" t="s">
        <v>258</v>
      </c>
      <c r="AC8" s="51" t="s">
        <v>258</v>
      </c>
      <c r="AD8" s="51" t="s">
        <v>258</v>
      </c>
      <c r="AE8" s="51" t="s">
        <v>258</v>
      </c>
      <c r="AF8" s="51" t="s">
        <v>258</v>
      </c>
      <c r="AG8" s="51" t="s">
        <v>258</v>
      </c>
      <c r="AH8" s="51" t="s">
        <v>258</v>
      </c>
      <c r="AI8" s="51" t="s">
        <v>258</v>
      </c>
      <c r="AJ8" s="51" t="s">
        <v>257</v>
      </c>
      <c r="AL8" s="50">
        <f t="shared" si="0"/>
        <v>0</v>
      </c>
      <c r="AM8" s="50">
        <f t="shared" si="1"/>
        <v>4</v>
      </c>
      <c r="AN8" s="50">
        <f t="shared" si="2"/>
        <v>2</v>
      </c>
      <c r="AO8" s="50">
        <f t="shared" si="3"/>
        <v>4</v>
      </c>
      <c r="AP8" s="50">
        <f t="shared" si="4"/>
        <v>7</v>
      </c>
    </row>
    <row r="9" spans="2:42" ht="18.75" x14ac:dyDescent="0.25">
      <c r="B9" s="37">
        <v>5</v>
      </c>
      <c r="C9" s="149" t="s">
        <v>182</v>
      </c>
      <c r="D9" s="149"/>
      <c r="F9" s="51" t="s">
        <v>257</v>
      </c>
      <c r="G9" s="51" t="s">
        <v>257</v>
      </c>
      <c r="H9" s="51" t="s">
        <v>257</v>
      </c>
      <c r="I9" s="51" t="s">
        <v>229</v>
      </c>
      <c r="J9" s="51" t="s">
        <v>229</v>
      </c>
      <c r="K9" s="51" t="s">
        <v>230</v>
      </c>
      <c r="L9" s="51" t="s">
        <v>254</v>
      </c>
      <c r="M9" s="51" t="s">
        <v>254</v>
      </c>
      <c r="N9" s="51" t="s">
        <v>257</v>
      </c>
      <c r="O9" s="51" t="s">
        <v>257</v>
      </c>
      <c r="P9" s="51" t="s">
        <v>257</v>
      </c>
      <c r="Q9" s="51" t="s">
        <v>229</v>
      </c>
      <c r="R9" s="51" t="s">
        <v>229</v>
      </c>
      <c r="S9" s="51" t="s">
        <v>230</v>
      </c>
      <c r="T9" s="51" t="s">
        <v>254</v>
      </c>
      <c r="U9" s="51" t="s">
        <v>254</v>
      </c>
      <c r="V9" s="51" t="s">
        <v>257</v>
      </c>
      <c r="W9" s="51" t="s">
        <v>257</v>
      </c>
      <c r="X9" s="51" t="s">
        <v>257</v>
      </c>
      <c r="Y9" s="51" t="s">
        <v>229</v>
      </c>
      <c r="Z9" s="51" t="s">
        <v>229</v>
      </c>
      <c r="AA9" s="51" t="s">
        <v>230</v>
      </c>
      <c r="AB9" s="51" t="s">
        <v>254</v>
      </c>
      <c r="AC9" s="51" t="s">
        <v>254</v>
      </c>
      <c r="AD9" s="51" t="s">
        <v>257</v>
      </c>
      <c r="AE9" s="51" t="s">
        <v>257</v>
      </c>
      <c r="AF9" s="51" t="s">
        <v>257</v>
      </c>
      <c r="AG9" s="51" t="s">
        <v>229</v>
      </c>
      <c r="AH9" s="51" t="s">
        <v>229</v>
      </c>
      <c r="AI9" s="51" t="s">
        <v>230</v>
      </c>
      <c r="AJ9" s="51" t="s">
        <v>254</v>
      </c>
      <c r="AK9" s="110"/>
      <c r="AL9" s="50">
        <f t="shared" si="0"/>
        <v>0</v>
      </c>
      <c r="AM9" s="50">
        <f t="shared" si="1"/>
        <v>8</v>
      </c>
      <c r="AN9" s="50">
        <f t="shared" si="2"/>
        <v>4</v>
      </c>
      <c r="AO9" s="50">
        <f t="shared" si="3"/>
        <v>7</v>
      </c>
      <c r="AP9" s="50">
        <f t="shared" si="4"/>
        <v>12</v>
      </c>
    </row>
    <row r="10" spans="2:42" ht="19.5" thickBot="1" x14ac:dyDescent="0.3">
      <c r="B10" s="37">
        <v>6</v>
      </c>
      <c r="C10" s="149" t="s">
        <v>183</v>
      </c>
      <c r="D10" s="149"/>
      <c r="F10" s="64" t="s">
        <v>229</v>
      </c>
      <c r="G10" s="64" t="s">
        <v>257</v>
      </c>
      <c r="H10" s="64" t="s">
        <v>257</v>
      </c>
      <c r="I10" s="64" t="s">
        <v>229</v>
      </c>
      <c r="J10" s="64" t="s">
        <v>229</v>
      </c>
      <c r="K10" s="64" t="s">
        <v>144</v>
      </c>
      <c r="L10" s="64" t="s">
        <v>229</v>
      </c>
      <c r="M10" s="64" t="s">
        <v>229</v>
      </c>
      <c r="N10" s="64" t="s">
        <v>257</v>
      </c>
      <c r="O10" s="64" t="s">
        <v>257</v>
      </c>
      <c r="P10" s="64" t="s">
        <v>229</v>
      </c>
      <c r="Q10" s="64" t="s">
        <v>229</v>
      </c>
      <c r="R10" s="64" t="s">
        <v>229</v>
      </c>
      <c r="S10" s="64" t="s">
        <v>144</v>
      </c>
      <c r="T10" s="64" t="s">
        <v>229</v>
      </c>
      <c r="U10" s="64" t="s">
        <v>257</v>
      </c>
      <c r="V10" s="64" t="s">
        <v>257</v>
      </c>
      <c r="W10" s="64" t="s">
        <v>229</v>
      </c>
      <c r="X10" s="64" t="s">
        <v>229</v>
      </c>
      <c r="Y10" s="64" t="s">
        <v>229</v>
      </c>
      <c r="Z10" s="64" t="s">
        <v>229</v>
      </c>
      <c r="AA10" s="64" t="s">
        <v>229</v>
      </c>
      <c r="AB10" s="64" t="s">
        <v>257</v>
      </c>
      <c r="AC10" s="64" t="s">
        <v>257</v>
      </c>
      <c r="AD10" s="64" t="s">
        <v>229</v>
      </c>
      <c r="AE10" s="64" t="s">
        <v>229</v>
      </c>
      <c r="AF10" s="64" t="s">
        <v>229</v>
      </c>
      <c r="AG10" s="64" t="s">
        <v>229</v>
      </c>
      <c r="AH10" s="64" t="s">
        <v>229</v>
      </c>
      <c r="AI10" s="64" t="s">
        <v>257</v>
      </c>
      <c r="AJ10" s="64" t="s">
        <v>257</v>
      </c>
      <c r="AL10" s="50">
        <f t="shared" si="0"/>
        <v>0</v>
      </c>
      <c r="AM10" s="50">
        <f t="shared" si="1"/>
        <v>19</v>
      </c>
      <c r="AN10" s="50">
        <f t="shared" si="2"/>
        <v>0</v>
      </c>
      <c r="AO10" s="50">
        <f t="shared" si="3"/>
        <v>0</v>
      </c>
      <c r="AP10" s="50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79" t="s">
        <v>91</v>
      </c>
      <c r="D12" s="179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0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1</v>
      </c>
      <c r="U12" s="37">
        <f t="shared" si="5"/>
        <v>1</v>
      </c>
      <c r="V12" s="37">
        <f t="shared" si="5"/>
        <v>0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79" t="s">
        <v>92</v>
      </c>
      <c r="D13" s="179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0</v>
      </c>
      <c r="J13" s="37">
        <f t="shared" si="6"/>
        <v>0</v>
      </c>
      <c r="K13" s="37">
        <f t="shared" si="6"/>
        <v>1</v>
      </c>
      <c r="L13" s="37">
        <f t="shared" si="6"/>
        <v>0</v>
      </c>
      <c r="M13" s="37">
        <f t="shared" si="6"/>
        <v>0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0</v>
      </c>
      <c r="U13" s="37">
        <f t="shared" si="6"/>
        <v>0</v>
      </c>
      <c r="V13" s="37">
        <f t="shared" si="6"/>
        <v>1</v>
      </c>
      <c r="W13" s="37">
        <f t="shared" si="6"/>
        <v>1</v>
      </c>
      <c r="X13" s="37">
        <f t="shared" si="6"/>
        <v>0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79" t="s">
        <v>72</v>
      </c>
      <c r="D14" s="179"/>
      <c r="E14" s="36"/>
      <c r="F14" s="37">
        <f>COUNTIF(F$5:F$9,"N*")</f>
        <v>0</v>
      </c>
      <c r="G14" s="37">
        <f t="shared" ref="G14:AJ14" si="7">COUNTIF(G$5:G$9,"N*")</f>
        <v>0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0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0</v>
      </c>
      <c r="W14" s="37">
        <f t="shared" si="7"/>
        <v>0</v>
      </c>
      <c r="X14" s="37">
        <f t="shared" si="7"/>
        <v>1</v>
      </c>
      <c r="Y14" s="37">
        <f t="shared" si="7"/>
        <v>0</v>
      </c>
      <c r="Z14" s="37">
        <f t="shared" si="7"/>
        <v>0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0</v>
      </c>
      <c r="AE14" s="37">
        <f t="shared" si="7"/>
        <v>0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79" t="s">
        <v>73</v>
      </c>
      <c r="D15" s="179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1</v>
      </c>
      <c r="M15" s="37">
        <f t="shared" si="8"/>
        <v>2</v>
      </c>
      <c r="N15" s="37">
        <f t="shared" si="8"/>
        <v>3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3</v>
      </c>
      <c r="V15" s="37">
        <f t="shared" si="8"/>
        <v>3</v>
      </c>
      <c r="W15" s="37">
        <f t="shared" si="8"/>
        <v>1</v>
      </c>
      <c r="X15" s="37">
        <f t="shared" si="8"/>
        <v>1</v>
      </c>
      <c r="Y15" s="37">
        <f t="shared" si="8"/>
        <v>1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3</v>
      </c>
    </row>
    <row r="16" spans="2:42" ht="18.75" x14ac:dyDescent="0.3">
      <c r="C16" s="175" t="s">
        <v>143</v>
      </c>
      <c r="D16" s="176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75" t="s">
        <v>106</v>
      </c>
      <c r="D17" s="176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77" t="s">
        <v>104</v>
      </c>
      <c r="D18" s="177"/>
      <c r="E18" s="38"/>
      <c r="F18" s="52">
        <f>F20-F21</f>
        <v>-1</v>
      </c>
      <c r="G18" s="52">
        <f t="shared" ref="G18:AJ18" si="11">G20-G21</f>
        <v>-1</v>
      </c>
      <c r="H18" s="52">
        <f t="shared" si="11"/>
        <v>-1</v>
      </c>
      <c r="I18" s="52">
        <f t="shared" si="11"/>
        <v>-1</v>
      </c>
      <c r="J18" s="52">
        <f t="shared" si="11"/>
        <v>-1</v>
      </c>
      <c r="K18" s="52">
        <f t="shared" si="11"/>
        <v>-2</v>
      </c>
      <c r="L18" s="52">
        <f t="shared" si="11"/>
        <v>-1</v>
      </c>
      <c r="M18" s="52">
        <f t="shared" si="11"/>
        <v>-1</v>
      </c>
      <c r="N18" s="52">
        <f t="shared" si="11"/>
        <v>-1</v>
      </c>
      <c r="O18" s="52">
        <f t="shared" si="11"/>
        <v>0</v>
      </c>
      <c r="P18" s="52">
        <f t="shared" si="11"/>
        <v>0</v>
      </c>
      <c r="Q18" s="52">
        <f t="shared" si="11"/>
        <v>0</v>
      </c>
      <c r="R18" s="52">
        <f t="shared" si="11"/>
        <v>0</v>
      </c>
      <c r="S18" s="52">
        <f t="shared" si="11"/>
        <v>-1</v>
      </c>
      <c r="T18" s="52">
        <f t="shared" si="11"/>
        <v>-1</v>
      </c>
      <c r="U18" s="52">
        <f t="shared" si="11"/>
        <v>-1</v>
      </c>
      <c r="V18" s="52">
        <f t="shared" si="11"/>
        <v>-2</v>
      </c>
      <c r="W18" s="52">
        <f t="shared" si="11"/>
        <v>-1</v>
      </c>
      <c r="X18" s="52">
        <f t="shared" si="11"/>
        <v>-1</v>
      </c>
      <c r="Y18" s="52">
        <f t="shared" si="11"/>
        <v>-1</v>
      </c>
      <c r="Z18" s="52">
        <f t="shared" si="11"/>
        <v>-1</v>
      </c>
      <c r="AA18" s="52">
        <f t="shared" si="11"/>
        <v>-1</v>
      </c>
      <c r="AB18" s="52">
        <f t="shared" si="11"/>
        <v>-1</v>
      </c>
      <c r="AC18" s="52">
        <f t="shared" si="11"/>
        <v>-1</v>
      </c>
      <c r="AD18" s="52">
        <f t="shared" si="11"/>
        <v>-2</v>
      </c>
      <c r="AE18" s="52">
        <f t="shared" si="11"/>
        <v>-1</v>
      </c>
      <c r="AF18" s="52">
        <f t="shared" si="11"/>
        <v>-1</v>
      </c>
      <c r="AG18" s="52">
        <f t="shared" si="11"/>
        <v>-1</v>
      </c>
      <c r="AH18" s="52">
        <f t="shared" si="11"/>
        <v>-1</v>
      </c>
      <c r="AI18" s="52">
        <f t="shared" si="11"/>
        <v>-1</v>
      </c>
      <c r="AJ18" s="52">
        <f t="shared" si="11"/>
        <v>15</v>
      </c>
    </row>
    <row r="19" spans="3:36" ht="9.75" customHeight="1" x14ac:dyDescent="0.3">
      <c r="C19" s="40"/>
      <c r="D19" s="40"/>
      <c r="E19" s="36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</row>
    <row r="20" spans="3:36" ht="18.75" x14ac:dyDescent="0.3">
      <c r="C20" s="179" t="s">
        <v>102</v>
      </c>
      <c r="D20" s="179"/>
      <c r="E20" s="36"/>
      <c r="F20" s="41">
        <f>SUM(F12:F14)</f>
        <v>2</v>
      </c>
      <c r="G20" s="41">
        <f t="shared" ref="G20:AI20" si="12">SUM(G12:G14)</f>
        <v>2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1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3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1</v>
      </c>
      <c r="W20" s="41">
        <f t="shared" si="12"/>
        <v>2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2</v>
      </c>
      <c r="AC20" s="41">
        <f t="shared" si="12"/>
        <v>2</v>
      </c>
      <c r="AD20" s="41">
        <f t="shared" si="12"/>
        <v>1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2</v>
      </c>
      <c r="AJ20" s="41">
        <v>18</v>
      </c>
    </row>
    <row r="21" spans="3:36" ht="18.75" x14ac:dyDescent="0.3">
      <c r="C21" s="179" t="s">
        <v>90</v>
      </c>
      <c r="D21" s="179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79" t="s">
        <v>103</v>
      </c>
      <c r="D22" s="179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3</v>
      </c>
      <c r="J22" s="37">
        <f t="shared" si="13"/>
        <v>3</v>
      </c>
      <c r="K22" s="37">
        <f t="shared" si="13"/>
        <v>3</v>
      </c>
      <c r="L22" s="37">
        <f t="shared" si="13"/>
        <v>3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4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5</v>
      </c>
      <c r="V22" s="37">
        <f t="shared" si="13"/>
        <v>4</v>
      </c>
      <c r="W22" s="37">
        <f t="shared" si="13"/>
        <v>3</v>
      </c>
      <c r="X22" s="37">
        <f t="shared" si="13"/>
        <v>3</v>
      </c>
      <c r="Y22" s="37">
        <f t="shared" si="13"/>
        <v>3</v>
      </c>
      <c r="Z22" s="37">
        <f t="shared" si="13"/>
        <v>3</v>
      </c>
      <c r="AA22" s="37">
        <f t="shared" si="13"/>
        <v>3</v>
      </c>
      <c r="AB22" s="37">
        <f t="shared" si="13"/>
        <v>4</v>
      </c>
      <c r="AC22" s="37">
        <f t="shared" si="13"/>
        <v>4</v>
      </c>
      <c r="AD22" s="37">
        <f t="shared" si="13"/>
        <v>3</v>
      </c>
      <c r="AE22" s="37">
        <f t="shared" si="13"/>
        <v>3</v>
      </c>
      <c r="AF22" s="37">
        <f t="shared" si="13"/>
        <v>3</v>
      </c>
      <c r="AG22" s="37">
        <f t="shared" si="13"/>
        <v>3</v>
      </c>
      <c r="AH22" s="37">
        <f t="shared" si="13"/>
        <v>3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08" t="s">
        <v>232</v>
      </c>
      <c r="G24" s="209"/>
      <c r="H24" s="209"/>
      <c r="I24" s="209"/>
      <c r="J24" s="209"/>
      <c r="K24" s="210"/>
    </row>
    <row r="25" spans="3:36" x14ac:dyDescent="0.25">
      <c r="F25" s="70" t="s">
        <v>142</v>
      </c>
      <c r="G25" s="216" t="s">
        <v>228</v>
      </c>
      <c r="H25" s="217"/>
      <c r="I25" s="83" t="s">
        <v>94</v>
      </c>
      <c r="J25" s="84" t="s">
        <v>94</v>
      </c>
      <c r="K25" s="85"/>
    </row>
    <row r="26" spans="3:36" x14ac:dyDescent="0.25">
      <c r="F26" s="71" t="s">
        <v>229</v>
      </c>
      <c r="G26" s="218" t="s">
        <v>262</v>
      </c>
      <c r="H26" s="219"/>
      <c r="I26" s="83" t="s">
        <v>239</v>
      </c>
      <c r="J26" s="196" t="s">
        <v>241</v>
      </c>
      <c r="K26" s="203"/>
    </row>
    <row r="27" spans="3:36" x14ac:dyDescent="0.25">
      <c r="F27" s="72" t="s">
        <v>230</v>
      </c>
      <c r="G27" s="204" t="s">
        <v>263</v>
      </c>
      <c r="H27" s="220"/>
      <c r="I27" s="86" t="s">
        <v>235</v>
      </c>
      <c r="J27" s="211" t="s">
        <v>242</v>
      </c>
      <c r="K27" s="212"/>
    </row>
    <row r="28" spans="3:36" x14ac:dyDescent="0.25">
      <c r="F28" s="73" t="s">
        <v>254</v>
      </c>
      <c r="G28" s="206" t="s">
        <v>264</v>
      </c>
      <c r="H28" s="221"/>
      <c r="I28" s="26"/>
      <c r="J28" s="213"/>
      <c r="K28" s="214"/>
    </row>
    <row r="29" spans="3:36" x14ac:dyDescent="0.25">
      <c r="F29" s="74" t="s">
        <v>144</v>
      </c>
      <c r="G29" s="190" t="s">
        <v>234</v>
      </c>
      <c r="H29" s="226"/>
      <c r="I29" s="19"/>
      <c r="J29" s="222"/>
      <c r="K29" s="223"/>
    </row>
    <row r="30" spans="3:36" ht="16.5" thickBot="1" x14ac:dyDescent="0.3">
      <c r="F30" s="81"/>
      <c r="G30" s="227" t="s">
        <v>233</v>
      </c>
      <c r="H30" s="228"/>
      <c r="I30" s="82"/>
      <c r="J30" s="224"/>
      <c r="K30" s="225"/>
    </row>
    <row r="31" spans="3:36" x14ac:dyDescent="0.25">
      <c r="F31" s="80"/>
      <c r="G31" s="229"/>
      <c r="H31" s="229"/>
      <c r="I31" s="69"/>
      <c r="J31" s="215"/>
      <c r="K31" s="215"/>
    </row>
    <row r="32" spans="3:36" x14ac:dyDescent="0.25">
      <c r="F32" s="69"/>
      <c r="G32" s="215"/>
      <c r="H32" s="215"/>
      <c r="I32" s="69"/>
      <c r="J32" s="69"/>
      <c r="K32" s="69"/>
    </row>
    <row r="33" spans="6:11" x14ac:dyDescent="0.25">
      <c r="F33" s="69"/>
      <c r="G33" s="215"/>
      <c r="H33" s="215"/>
      <c r="I33" s="69"/>
      <c r="J33" s="69"/>
      <c r="K33" s="69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146" priority="1" operator="containsText" text="LV">
      <formula>NOT(ISERROR(SEARCH("LV",F5)))</formula>
    </cfRule>
    <cfRule type="containsText" dxfId="145" priority="2" operator="containsText" text="STNN21">
      <formula>NOT(ISERROR(SEARCH("STNN21",F5)))</formula>
    </cfRule>
    <cfRule type="containsText" dxfId="144" priority="3" operator="containsText" text="STAN13">
      <formula>NOT(ISERROR(SEARCH("STAN13",F5)))</formula>
    </cfRule>
    <cfRule type="containsText" dxfId="143" priority="4" operator="containsText" text="STMN06">
      <formula>NOT(ISERROR(SEARCH("STMN06",F5)))</formula>
    </cfRule>
    <cfRule type="containsText" dxfId="142" priority="5" operator="containsText" text="MN12">
      <formula>NOT(ISERROR(SEARCH("MN12",F5)))</formula>
    </cfRule>
    <cfRule type="containsText" dxfId="141" priority="6" operator="containsText" text="TR">
      <formula>NOT(ISERROR(SEARCH("TR",F5)))</formula>
    </cfRule>
    <cfRule type="containsText" dxfId="140" priority="7" operator="containsText" text="OFF">
      <formula>NOT(ISERROR(SEARCH("OFF",F5)))</formula>
    </cfRule>
    <cfRule type="containsText" dxfId="139" priority="8" operator="containsText" text="NN21">
      <formula>NOT(ISERROR(SEARCH("NN21",F5)))</formula>
    </cfRule>
    <cfRule type="containsText" dxfId="138" priority="9" operator="containsText" text="AN13">
      <formula>NOT(ISERROR(SEARCH("AN13",F5)))</formula>
    </cfRule>
    <cfRule type="containsText" dxfId="137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10" sqref="L10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37" t="s">
        <v>265</v>
      </c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230" t="s">
        <v>105</v>
      </c>
      <c r="C3" s="231"/>
      <c r="D3" s="232"/>
      <c r="F3" s="120" t="s">
        <v>98</v>
      </c>
      <c r="G3" s="121" t="s">
        <v>99</v>
      </c>
      <c r="H3" s="121" t="s">
        <v>100</v>
      </c>
      <c r="I3" s="120" t="s">
        <v>101</v>
      </c>
      <c r="J3" s="121" t="s">
        <v>95</v>
      </c>
      <c r="K3" s="121" t="s">
        <v>96</v>
      </c>
      <c r="L3" s="120" t="s">
        <v>97</v>
      </c>
      <c r="M3" s="121" t="s">
        <v>98</v>
      </c>
      <c r="N3" s="121" t="s">
        <v>99</v>
      </c>
      <c r="O3" s="120" t="s">
        <v>100</v>
      </c>
      <c r="P3" s="121" t="s">
        <v>101</v>
      </c>
      <c r="Q3" s="121" t="s">
        <v>95</v>
      </c>
      <c r="R3" s="120" t="s">
        <v>96</v>
      </c>
      <c r="S3" s="121" t="s">
        <v>97</v>
      </c>
      <c r="T3" s="121" t="s">
        <v>98</v>
      </c>
      <c r="U3" s="120" t="s">
        <v>99</v>
      </c>
      <c r="V3" s="121" t="s">
        <v>100</v>
      </c>
      <c r="W3" s="121" t="s">
        <v>101</v>
      </c>
      <c r="X3" s="120" t="s">
        <v>95</v>
      </c>
      <c r="Y3" s="121" t="s">
        <v>96</v>
      </c>
      <c r="Z3" s="121" t="s">
        <v>97</v>
      </c>
      <c r="AA3" s="120" t="s">
        <v>98</v>
      </c>
      <c r="AB3" s="121" t="s">
        <v>99</v>
      </c>
      <c r="AC3" s="121" t="s">
        <v>100</v>
      </c>
      <c r="AD3" s="120" t="s">
        <v>101</v>
      </c>
      <c r="AE3" s="121" t="s">
        <v>95</v>
      </c>
      <c r="AF3" s="121" t="s">
        <v>96</v>
      </c>
      <c r="AG3" s="120" t="s">
        <v>97</v>
      </c>
      <c r="AH3" s="121" t="s">
        <v>98</v>
      </c>
      <c r="AI3" s="121" t="s">
        <v>99</v>
      </c>
      <c r="AJ3" s="120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233"/>
      <c r="C4" s="234"/>
      <c r="D4" s="235"/>
      <c r="F4" s="117">
        <v>1</v>
      </c>
      <c r="G4" s="118">
        <v>2</v>
      </c>
      <c r="H4" s="118">
        <v>3</v>
      </c>
      <c r="I4" s="118">
        <v>4</v>
      </c>
      <c r="J4" s="118">
        <v>5</v>
      </c>
      <c r="K4" s="118">
        <v>6</v>
      </c>
      <c r="L4" s="118">
        <v>7</v>
      </c>
      <c r="M4" s="118">
        <v>8</v>
      </c>
      <c r="N4" s="118">
        <v>9</v>
      </c>
      <c r="O4" s="118">
        <v>10</v>
      </c>
      <c r="P4" s="118">
        <v>11</v>
      </c>
      <c r="Q4" s="118">
        <v>12</v>
      </c>
      <c r="R4" s="118">
        <v>13</v>
      </c>
      <c r="S4" s="118">
        <v>14</v>
      </c>
      <c r="T4" s="118">
        <v>15</v>
      </c>
      <c r="U4" s="118">
        <v>16</v>
      </c>
      <c r="V4" s="118">
        <v>17</v>
      </c>
      <c r="W4" s="118">
        <v>18</v>
      </c>
      <c r="X4" s="118">
        <v>19</v>
      </c>
      <c r="Y4" s="118">
        <v>20</v>
      </c>
      <c r="Z4" s="118">
        <v>21</v>
      </c>
      <c r="AA4" s="118">
        <v>22</v>
      </c>
      <c r="AB4" s="118">
        <v>23</v>
      </c>
      <c r="AC4" s="118">
        <v>24</v>
      </c>
      <c r="AD4" s="118">
        <v>25</v>
      </c>
      <c r="AE4" s="118">
        <v>26</v>
      </c>
      <c r="AF4" s="118">
        <v>27</v>
      </c>
      <c r="AG4" s="118">
        <v>28</v>
      </c>
      <c r="AH4" s="118">
        <v>29</v>
      </c>
      <c r="AI4" s="118">
        <v>30</v>
      </c>
      <c r="AJ4" s="119">
        <v>31</v>
      </c>
      <c r="AL4" s="189"/>
      <c r="AM4" s="189"/>
      <c r="AN4" s="189"/>
      <c r="AO4" s="189"/>
      <c r="AP4" s="189"/>
    </row>
    <row r="5" spans="2:42" ht="18.75" x14ac:dyDescent="0.25">
      <c r="B5" s="66">
        <v>1</v>
      </c>
      <c r="C5" s="238" t="s">
        <v>225</v>
      </c>
      <c r="D5" s="239"/>
      <c r="F5" s="44" t="s">
        <v>257</v>
      </c>
      <c r="G5" s="44" t="s">
        <v>257</v>
      </c>
      <c r="H5" s="44" t="s">
        <v>257</v>
      </c>
      <c r="I5" s="105" t="s">
        <v>229</v>
      </c>
      <c r="J5" s="105" t="s">
        <v>229</v>
      </c>
      <c r="K5" s="44" t="s">
        <v>230</v>
      </c>
      <c r="L5" s="44" t="s">
        <v>230</v>
      </c>
      <c r="M5" s="44" t="s">
        <v>254</v>
      </c>
      <c r="N5" s="44" t="s">
        <v>257</v>
      </c>
      <c r="O5" s="44" t="s">
        <v>257</v>
      </c>
      <c r="P5" s="44" t="s">
        <v>257</v>
      </c>
      <c r="Q5" s="105" t="s">
        <v>229</v>
      </c>
      <c r="R5" s="44" t="s">
        <v>255</v>
      </c>
      <c r="S5" s="44" t="s">
        <v>144</v>
      </c>
      <c r="T5" s="44" t="s">
        <v>255</v>
      </c>
      <c r="U5" s="44" t="s">
        <v>254</v>
      </c>
      <c r="V5" s="44" t="s">
        <v>257</v>
      </c>
      <c r="W5" s="44" t="s">
        <v>257</v>
      </c>
      <c r="X5" s="44" t="s">
        <v>257</v>
      </c>
      <c r="Y5" s="109" t="s">
        <v>229</v>
      </c>
      <c r="Z5" s="105" t="s">
        <v>253</v>
      </c>
      <c r="AA5" s="44" t="s">
        <v>229</v>
      </c>
      <c r="AB5" s="44" t="s">
        <v>230</v>
      </c>
      <c r="AC5" s="44" t="s">
        <v>254</v>
      </c>
      <c r="AD5" s="44" t="s">
        <v>257</v>
      </c>
      <c r="AE5" s="44" t="s">
        <v>257</v>
      </c>
      <c r="AF5" s="44" t="s">
        <v>257</v>
      </c>
      <c r="AG5" s="105" t="s">
        <v>229</v>
      </c>
      <c r="AH5" s="105" t="s">
        <v>229</v>
      </c>
      <c r="AI5" s="44" t="s">
        <v>229</v>
      </c>
      <c r="AJ5" s="44" t="s">
        <v>230</v>
      </c>
      <c r="AL5" s="50">
        <f>COUNTIF($F5:$AJ5,"ST*")</f>
        <v>3</v>
      </c>
      <c r="AM5" s="50">
        <f>COUNTIF($F5:$AJ5,"M*")</f>
        <v>8</v>
      </c>
      <c r="AN5" s="50">
        <f>COUNTIF($F5:$AJ5,"A*")</f>
        <v>4</v>
      </c>
      <c r="AO5" s="50">
        <f>COUNTIF($F5:$AJ5,"N*")</f>
        <v>3</v>
      </c>
      <c r="AP5" s="50">
        <f>COUNTIF($F5:$AJ5,"O*")</f>
        <v>12</v>
      </c>
    </row>
    <row r="6" spans="2:42" ht="18.75" x14ac:dyDescent="0.25">
      <c r="B6" s="58">
        <v>2</v>
      </c>
      <c r="C6" s="149" t="s">
        <v>214</v>
      </c>
      <c r="D6" s="236"/>
      <c r="F6" s="51" t="s">
        <v>257</v>
      </c>
      <c r="G6" s="51" t="s">
        <v>257</v>
      </c>
      <c r="H6" s="56" t="s">
        <v>253</v>
      </c>
      <c r="I6" s="56" t="s">
        <v>230</v>
      </c>
      <c r="J6" s="56" t="s">
        <v>230</v>
      </c>
      <c r="K6" s="56" t="s">
        <v>144</v>
      </c>
      <c r="L6" s="56" t="s">
        <v>254</v>
      </c>
      <c r="M6" s="51" t="s">
        <v>257</v>
      </c>
      <c r="N6" s="51" t="s">
        <v>257</v>
      </c>
      <c r="O6" s="51" t="s">
        <v>257</v>
      </c>
      <c r="P6" s="56" t="s">
        <v>229</v>
      </c>
      <c r="Q6" s="51" t="s">
        <v>253</v>
      </c>
      <c r="R6" s="51" t="s">
        <v>230</v>
      </c>
      <c r="S6" s="51" t="s">
        <v>230</v>
      </c>
      <c r="T6" s="51" t="s">
        <v>254</v>
      </c>
      <c r="U6" s="51" t="s">
        <v>257</v>
      </c>
      <c r="V6" s="51" t="s">
        <v>257</v>
      </c>
      <c r="W6" s="51" t="s">
        <v>257</v>
      </c>
      <c r="X6" s="56" t="s">
        <v>229</v>
      </c>
      <c r="Y6" s="51" t="s">
        <v>255</v>
      </c>
      <c r="Z6" s="51" t="s">
        <v>230</v>
      </c>
      <c r="AA6" s="51" t="s">
        <v>256</v>
      </c>
      <c r="AB6" s="51" t="s">
        <v>254</v>
      </c>
      <c r="AC6" s="51" t="s">
        <v>257</v>
      </c>
      <c r="AD6" s="51" t="s">
        <v>257</v>
      </c>
      <c r="AE6" s="51" t="s">
        <v>257</v>
      </c>
      <c r="AF6" s="56" t="s">
        <v>229</v>
      </c>
      <c r="AG6" s="56" t="s">
        <v>253</v>
      </c>
      <c r="AH6" s="56" t="s">
        <v>230</v>
      </c>
      <c r="AI6" s="56" t="s">
        <v>230</v>
      </c>
      <c r="AJ6" s="56" t="s">
        <v>254</v>
      </c>
      <c r="AL6" s="50">
        <f t="shared" ref="AL6:AL19" si="0">COUNTIF($F6:$AJ6,"ST*")</f>
        <v>5</v>
      </c>
      <c r="AM6" s="50">
        <f t="shared" ref="AM6:AM19" si="1">COUNTIF($F6:$AJ6,"M*")</f>
        <v>3</v>
      </c>
      <c r="AN6" s="50">
        <f t="shared" ref="AN6:AN19" si="2">COUNTIF($F6:$AJ6,"A*")</f>
        <v>7</v>
      </c>
      <c r="AO6" s="50">
        <f t="shared" ref="AO6:AO19" si="3">COUNTIF($F6:$AJ6,"N*")</f>
        <v>4</v>
      </c>
      <c r="AP6" s="50">
        <f t="shared" ref="AP6:AP19" si="4">COUNTIF($F6:$AJ6,"O*")</f>
        <v>11</v>
      </c>
    </row>
    <row r="7" spans="2:42" ht="18.75" x14ac:dyDescent="0.25">
      <c r="B7" s="58">
        <v>3</v>
      </c>
      <c r="C7" s="149" t="s">
        <v>215</v>
      </c>
      <c r="D7" s="236"/>
      <c r="F7" s="51" t="s">
        <v>257</v>
      </c>
      <c r="G7" s="56" t="s">
        <v>253</v>
      </c>
      <c r="H7" s="98" t="s">
        <v>230</v>
      </c>
      <c r="I7" s="51" t="s">
        <v>255</v>
      </c>
      <c r="J7" s="51" t="s">
        <v>254</v>
      </c>
      <c r="K7" s="51" t="s">
        <v>254</v>
      </c>
      <c r="L7" s="51" t="s">
        <v>257</v>
      </c>
      <c r="M7" s="51" t="s">
        <v>257</v>
      </c>
      <c r="N7" s="51" t="s">
        <v>257</v>
      </c>
      <c r="O7" s="56" t="s">
        <v>253</v>
      </c>
      <c r="P7" s="98" t="s">
        <v>229</v>
      </c>
      <c r="Q7" s="51" t="s">
        <v>230</v>
      </c>
      <c r="R7" s="51" t="s">
        <v>254</v>
      </c>
      <c r="S7" s="51" t="s">
        <v>254</v>
      </c>
      <c r="T7" s="51" t="s">
        <v>257</v>
      </c>
      <c r="U7" s="51" t="s">
        <v>257</v>
      </c>
      <c r="V7" s="51" t="s">
        <v>257</v>
      </c>
      <c r="W7" s="56" t="s">
        <v>229</v>
      </c>
      <c r="X7" s="98" t="s">
        <v>229</v>
      </c>
      <c r="Y7" s="51" t="s">
        <v>255</v>
      </c>
      <c r="Z7" s="51" t="s">
        <v>256</v>
      </c>
      <c r="AA7" s="51" t="s">
        <v>254</v>
      </c>
      <c r="AB7" s="51" t="s">
        <v>257</v>
      </c>
      <c r="AC7" s="51" t="s">
        <v>257</v>
      </c>
      <c r="AD7" s="51" t="s">
        <v>257</v>
      </c>
      <c r="AE7" s="56" t="s">
        <v>229</v>
      </c>
      <c r="AF7" s="98" t="s">
        <v>253</v>
      </c>
      <c r="AG7" s="51" t="s">
        <v>230</v>
      </c>
      <c r="AH7" s="51" t="s">
        <v>255</v>
      </c>
      <c r="AI7" s="51" t="s">
        <v>254</v>
      </c>
      <c r="AJ7" s="51" t="s">
        <v>257</v>
      </c>
      <c r="AL7" s="50">
        <f t="shared" si="0"/>
        <v>7</v>
      </c>
      <c r="AM7" s="50">
        <f t="shared" si="1"/>
        <v>4</v>
      </c>
      <c r="AN7" s="50">
        <f t="shared" si="2"/>
        <v>3</v>
      </c>
      <c r="AO7" s="50">
        <f t="shared" si="3"/>
        <v>6</v>
      </c>
      <c r="AP7" s="50">
        <f t="shared" si="4"/>
        <v>11</v>
      </c>
    </row>
    <row r="8" spans="2:42" ht="18.75" x14ac:dyDescent="0.25">
      <c r="B8" s="58">
        <v>4</v>
      </c>
      <c r="C8" s="149" t="s">
        <v>216</v>
      </c>
      <c r="D8" s="236"/>
      <c r="F8" s="56" t="s">
        <v>229</v>
      </c>
      <c r="G8" s="98" t="s">
        <v>229</v>
      </c>
      <c r="H8" s="51" t="s">
        <v>255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6" t="s">
        <v>229</v>
      </c>
      <c r="O8" s="98" t="s">
        <v>230</v>
      </c>
      <c r="P8" s="51" t="s">
        <v>230</v>
      </c>
      <c r="Q8" s="51" t="s">
        <v>254</v>
      </c>
      <c r="R8" s="51" t="s">
        <v>229</v>
      </c>
      <c r="S8" s="51" t="s">
        <v>257</v>
      </c>
      <c r="T8" s="51" t="s">
        <v>257</v>
      </c>
      <c r="U8" s="51" t="s">
        <v>257</v>
      </c>
      <c r="V8" s="51" t="s">
        <v>229</v>
      </c>
      <c r="W8" s="98" t="s">
        <v>255</v>
      </c>
      <c r="X8" s="51" t="s">
        <v>230</v>
      </c>
      <c r="Y8" s="51" t="s">
        <v>256</v>
      </c>
      <c r="Z8" s="51" t="s">
        <v>254</v>
      </c>
      <c r="AA8" s="51" t="s">
        <v>257</v>
      </c>
      <c r="AB8" s="51" t="s">
        <v>257</v>
      </c>
      <c r="AC8" s="51" t="s">
        <v>257</v>
      </c>
      <c r="AD8" s="56" t="s">
        <v>229</v>
      </c>
      <c r="AE8" s="98" t="s">
        <v>253</v>
      </c>
      <c r="AF8" s="51" t="s">
        <v>230</v>
      </c>
      <c r="AG8" s="51" t="s">
        <v>255</v>
      </c>
      <c r="AH8" s="51" t="s">
        <v>254</v>
      </c>
      <c r="AI8" s="51" t="s">
        <v>257</v>
      </c>
      <c r="AJ8" s="51" t="s">
        <v>257</v>
      </c>
      <c r="AL8" s="50">
        <f t="shared" si="0"/>
        <v>5</v>
      </c>
      <c r="AM8" s="50">
        <f t="shared" si="1"/>
        <v>6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58">
        <v>5</v>
      </c>
      <c r="C9" s="149" t="s">
        <v>217</v>
      </c>
      <c r="D9" s="236"/>
      <c r="F9" s="98" t="s">
        <v>229</v>
      </c>
      <c r="G9" s="51" t="s">
        <v>255</v>
      </c>
      <c r="H9" s="51" t="s">
        <v>254</v>
      </c>
      <c r="I9" s="51" t="s">
        <v>254</v>
      </c>
      <c r="J9" s="51" t="s">
        <v>257</v>
      </c>
      <c r="K9" s="51" t="s">
        <v>257</v>
      </c>
      <c r="L9" s="51" t="s">
        <v>257</v>
      </c>
      <c r="M9" s="56" t="s">
        <v>229</v>
      </c>
      <c r="N9" s="98" t="s">
        <v>230</v>
      </c>
      <c r="O9" s="51" t="s">
        <v>230</v>
      </c>
      <c r="P9" s="51" t="s">
        <v>254</v>
      </c>
      <c r="Q9" s="51" t="s">
        <v>254</v>
      </c>
      <c r="R9" s="51" t="s">
        <v>257</v>
      </c>
      <c r="S9" s="51" t="s">
        <v>257</v>
      </c>
      <c r="T9" s="51" t="s">
        <v>257</v>
      </c>
      <c r="U9" s="56" t="s">
        <v>229</v>
      </c>
      <c r="V9" s="98" t="s">
        <v>253</v>
      </c>
      <c r="W9" s="51" t="s">
        <v>230</v>
      </c>
      <c r="X9" s="51" t="s">
        <v>255</v>
      </c>
      <c r="Y9" s="51" t="s">
        <v>254</v>
      </c>
      <c r="Z9" s="51" t="s">
        <v>257</v>
      </c>
      <c r="AA9" s="51" t="s">
        <v>257</v>
      </c>
      <c r="AB9" s="51" t="s">
        <v>257</v>
      </c>
      <c r="AC9" s="56" t="s">
        <v>229</v>
      </c>
      <c r="AD9" s="98" t="s">
        <v>230</v>
      </c>
      <c r="AE9" s="51" t="s">
        <v>230</v>
      </c>
      <c r="AF9" s="51" t="s">
        <v>254</v>
      </c>
      <c r="AG9" s="51" t="s">
        <v>254</v>
      </c>
      <c r="AH9" s="51" t="s">
        <v>257</v>
      </c>
      <c r="AI9" s="51" t="s">
        <v>257</v>
      </c>
      <c r="AJ9" s="51" t="s">
        <v>257</v>
      </c>
      <c r="AL9" s="50">
        <f t="shared" si="0"/>
        <v>3</v>
      </c>
      <c r="AM9" s="50">
        <f t="shared" si="1"/>
        <v>4</v>
      </c>
      <c r="AN9" s="50">
        <f t="shared" si="2"/>
        <v>5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58">
        <v>6</v>
      </c>
      <c r="C10" s="149" t="s">
        <v>218</v>
      </c>
      <c r="D10" s="236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98" t="s">
        <v>229</v>
      </c>
      <c r="M10" s="51" t="s">
        <v>230</v>
      </c>
      <c r="N10" s="51" t="s">
        <v>254</v>
      </c>
      <c r="O10" s="51" t="s">
        <v>254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6" t="s">
        <v>229</v>
      </c>
      <c r="U10" s="98" t="s">
        <v>253</v>
      </c>
      <c r="V10" s="51" t="s">
        <v>230</v>
      </c>
      <c r="W10" s="51" t="s">
        <v>230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98" t="s">
        <v>258</v>
      </c>
      <c r="AC10" s="51" t="s">
        <v>258</v>
      </c>
      <c r="AD10" s="51" t="s">
        <v>258</v>
      </c>
      <c r="AE10" s="51" t="s">
        <v>258</v>
      </c>
      <c r="AF10" s="51" t="s">
        <v>258</v>
      </c>
      <c r="AG10" s="51" t="s">
        <v>258</v>
      </c>
      <c r="AH10" s="51" t="s">
        <v>257</v>
      </c>
      <c r="AI10" s="51" t="s">
        <v>257</v>
      </c>
      <c r="AJ10" s="98" t="s">
        <v>229</v>
      </c>
      <c r="AL10" s="50">
        <f t="shared" si="0"/>
        <v>1</v>
      </c>
      <c r="AM10" s="50">
        <f t="shared" si="1"/>
        <v>3</v>
      </c>
      <c r="AN10" s="50">
        <f t="shared" si="2"/>
        <v>5</v>
      </c>
      <c r="AO10" s="50">
        <f t="shared" si="3"/>
        <v>5</v>
      </c>
      <c r="AP10" s="50">
        <f t="shared" si="4"/>
        <v>11</v>
      </c>
    </row>
    <row r="11" spans="2:42" ht="18.75" x14ac:dyDescent="0.25">
      <c r="B11" s="58">
        <v>7</v>
      </c>
      <c r="C11" s="149" t="s">
        <v>219</v>
      </c>
      <c r="D11" s="236"/>
      <c r="F11" s="51" t="s">
        <v>256</v>
      </c>
      <c r="G11" s="51" t="s">
        <v>254</v>
      </c>
      <c r="H11" s="51" t="s">
        <v>257</v>
      </c>
      <c r="I11" s="51" t="s">
        <v>257</v>
      </c>
      <c r="J11" s="51" t="s">
        <v>257</v>
      </c>
      <c r="K11" s="56" t="s">
        <v>229</v>
      </c>
      <c r="L11" s="56" t="s">
        <v>230</v>
      </c>
      <c r="M11" s="56" t="s">
        <v>230</v>
      </c>
      <c r="N11" s="56" t="s">
        <v>254</v>
      </c>
      <c r="O11" s="56" t="s">
        <v>254</v>
      </c>
      <c r="P11" s="51" t="s">
        <v>257</v>
      </c>
      <c r="Q11" s="51" t="s">
        <v>257</v>
      </c>
      <c r="R11" s="51" t="s">
        <v>257</v>
      </c>
      <c r="S11" s="56" t="s">
        <v>229</v>
      </c>
      <c r="T11" s="98" t="s">
        <v>230</v>
      </c>
      <c r="U11" s="51" t="s">
        <v>230</v>
      </c>
      <c r="V11" s="51" t="s">
        <v>254</v>
      </c>
      <c r="W11" s="51" t="s">
        <v>254</v>
      </c>
      <c r="X11" s="51" t="s">
        <v>257</v>
      </c>
      <c r="Y11" s="51" t="s">
        <v>257</v>
      </c>
      <c r="Z11" s="51" t="s">
        <v>257</v>
      </c>
      <c r="AA11" s="98" t="s">
        <v>229</v>
      </c>
      <c r="AB11" s="51" t="s">
        <v>230</v>
      </c>
      <c r="AC11" s="51" t="s">
        <v>230</v>
      </c>
      <c r="AD11" s="51" t="s">
        <v>254</v>
      </c>
      <c r="AE11" s="51" t="s">
        <v>254</v>
      </c>
      <c r="AF11" s="51" t="s">
        <v>257</v>
      </c>
      <c r="AG11" s="51" t="s">
        <v>257</v>
      </c>
      <c r="AH11" s="51" t="s">
        <v>257</v>
      </c>
      <c r="AI11" s="56" t="s">
        <v>258</v>
      </c>
      <c r="AJ11" s="56" t="s">
        <v>258</v>
      </c>
      <c r="AL11" s="50">
        <f t="shared" si="0"/>
        <v>1</v>
      </c>
      <c r="AM11" s="50">
        <f t="shared" si="1"/>
        <v>3</v>
      </c>
      <c r="AN11" s="50">
        <f t="shared" si="2"/>
        <v>6</v>
      </c>
      <c r="AO11" s="50">
        <f t="shared" si="3"/>
        <v>7</v>
      </c>
      <c r="AP11" s="50">
        <f t="shared" si="4"/>
        <v>12</v>
      </c>
    </row>
    <row r="12" spans="2:42" ht="18.75" x14ac:dyDescent="0.25">
      <c r="B12" s="58">
        <v>8</v>
      </c>
      <c r="C12" s="149" t="s">
        <v>220</v>
      </c>
      <c r="D12" s="236"/>
      <c r="F12" s="56" t="s">
        <v>254</v>
      </c>
      <c r="G12" s="51" t="s">
        <v>257</v>
      </c>
      <c r="H12" s="51" t="s">
        <v>257</v>
      </c>
      <c r="I12" s="51" t="s">
        <v>257</v>
      </c>
      <c r="J12" s="98" t="s">
        <v>258</v>
      </c>
      <c r="K12" s="98" t="s">
        <v>258</v>
      </c>
      <c r="L12" s="51" t="s">
        <v>258</v>
      </c>
      <c r="M12" s="51" t="s">
        <v>258</v>
      </c>
      <c r="N12" s="51" t="s">
        <v>258</v>
      </c>
      <c r="O12" s="51" t="s">
        <v>258</v>
      </c>
      <c r="P12" s="51" t="s">
        <v>257</v>
      </c>
      <c r="Q12" s="51" t="s">
        <v>257</v>
      </c>
      <c r="R12" s="98" t="s">
        <v>229</v>
      </c>
      <c r="S12" s="98" t="s">
        <v>229</v>
      </c>
      <c r="T12" s="51" t="s">
        <v>230</v>
      </c>
      <c r="U12" s="51" t="s">
        <v>230</v>
      </c>
      <c r="V12" s="51" t="s">
        <v>254</v>
      </c>
      <c r="W12" s="51" t="s">
        <v>257</v>
      </c>
      <c r="X12" s="51" t="s">
        <v>257</v>
      </c>
      <c r="Y12" s="51" t="s">
        <v>257</v>
      </c>
      <c r="Z12" s="56" t="s">
        <v>229</v>
      </c>
      <c r="AA12" s="56" t="s">
        <v>229</v>
      </c>
      <c r="AB12" s="56" t="s">
        <v>229</v>
      </c>
      <c r="AC12" s="56" t="s">
        <v>230</v>
      </c>
      <c r="AD12" s="56" t="s">
        <v>254</v>
      </c>
      <c r="AE12" s="51" t="s">
        <v>257</v>
      </c>
      <c r="AF12" s="51" t="s">
        <v>257</v>
      </c>
      <c r="AG12" s="51" t="s">
        <v>257</v>
      </c>
      <c r="AH12" s="98" t="s">
        <v>229</v>
      </c>
      <c r="AI12" s="98" t="s">
        <v>229</v>
      </c>
      <c r="AJ12" s="51" t="s">
        <v>230</v>
      </c>
      <c r="AL12" s="50">
        <f t="shared" si="0"/>
        <v>0</v>
      </c>
      <c r="AM12" s="50">
        <f t="shared" si="1"/>
        <v>7</v>
      </c>
      <c r="AN12" s="50">
        <f t="shared" si="2"/>
        <v>4</v>
      </c>
      <c r="AO12" s="50">
        <f t="shared" si="3"/>
        <v>3</v>
      </c>
      <c r="AP12" s="50">
        <f t="shared" si="4"/>
        <v>11</v>
      </c>
    </row>
    <row r="13" spans="2:42" ht="18.75" x14ac:dyDescent="0.25">
      <c r="B13" s="58">
        <v>9</v>
      </c>
      <c r="C13" s="149" t="s">
        <v>221</v>
      </c>
      <c r="D13" s="236"/>
      <c r="F13" s="56" t="s">
        <v>257</v>
      </c>
      <c r="G13" s="56" t="s">
        <v>257</v>
      </c>
      <c r="H13" s="56" t="s">
        <v>257</v>
      </c>
      <c r="I13" s="56" t="s">
        <v>258</v>
      </c>
      <c r="J13" s="56" t="s">
        <v>258</v>
      </c>
      <c r="K13" s="56" t="s">
        <v>230</v>
      </c>
      <c r="L13" s="56" t="s">
        <v>258</v>
      </c>
      <c r="M13" s="56" t="s">
        <v>254</v>
      </c>
      <c r="N13" s="51" t="s">
        <v>257</v>
      </c>
      <c r="O13" s="51" t="s">
        <v>257</v>
      </c>
      <c r="P13" s="51" t="s">
        <v>257</v>
      </c>
      <c r="Q13" s="98" t="s">
        <v>144</v>
      </c>
      <c r="R13" s="98" t="s">
        <v>253</v>
      </c>
      <c r="S13" s="51" t="s">
        <v>230</v>
      </c>
      <c r="T13" s="51" t="s">
        <v>256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6" t="s">
        <v>253</v>
      </c>
      <c r="Z13" s="56" t="s">
        <v>229</v>
      </c>
      <c r="AA13" s="56" t="s">
        <v>230</v>
      </c>
      <c r="AB13" s="56" t="s">
        <v>230</v>
      </c>
      <c r="AC13" s="56" t="s">
        <v>254</v>
      </c>
      <c r="AD13" s="56" t="s">
        <v>257</v>
      </c>
      <c r="AE13" s="56" t="s">
        <v>257</v>
      </c>
      <c r="AF13" s="56" t="s">
        <v>257</v>
      </c>
      <c r="AG13" s="56" t="s">
        <v>258</v>
      </c>
      <c r="AH13" s="56" t="s">
        <v>258</v>
      </c>
      <c r="AI13" s="56" t="s">
        <v>258</v>
      </c>
      <c r="AJ13" s="56" t="s">
        <v>258</v>
      </c>
      <c r="AL13" s="50">
        <f t="shared" si="0"/>
        <v>3</v>
      </c>
      <c r="AM13" s="50">
        <f t="shared" si="1"/>
        <v>1</v>
      </c>
      <c r="AN13" s="50">
        <f t="shared" si="2"/>
        <v>4</v>
      </c>
      <c r="AO13" s="50">
        <f t="shared" si="3"/>
        <v>3</v>
      </c>
      <c r="AP13" s="50">
        <f t="shared" si="4"/>
        <v>12</v>
      </c>
    </row>
    <row r="14" spans="2:42" ht="18.75" x14ac:dyDescent="0.25">
      <c r="B14" s="58">
        <v>10</v>
      </c>
      <c r="C14" s="149" t="s">
        <v>145</v>
      </c>
      <c r="D14" s="236"/>
      <c r="F14" s="51" t="s">
        <v>257</v>
      </c>
      <c r="G14" s="51" t="s">
        <v>257</v>
      </c>
      <c r="H14" s="56" t="s">
        <v>229</v>
      </c>
      <c r="I14" s="98" t="s">
        <v>229</v>
      </c>
      <c r="J14" s="51" t="s">
        <v>229</v>
      </c>
      <c r="K14" s="51" t="s">
        <v>144</v>
      </c>
      <c r="L14" s="51" t="s">
        <v>254</v>
      </c>
      <c r="M14" s="51" t="s">
        <v>257</v>
      </c>
      <c r="N14" s="51" t="s">
        <v>257</v>
      </c>
      <c r="O14" s="51" t="s">
        <v>257</v>
      </c>
      <c r="P14" s="56" t="s">
        <v>253</v>
      </c>
      <c r="Q14" s="51" t="s">
        <v>229</v>
      </c>
      <c r="R14" s="51" t="s">
        <v>255</v>
      </c>
      <c r="S14" s="51" t="s">
        <v>254</v>
      </c>
      <c r="T14" s="51" t="s">
        <v>254</v>
      </c>
      <c r="U14" s="51" t="s">
        <v>257</v>
      </c>
      <c r="V14" s="51" t="s">
        <v>257</v>
      </c>
      <c r="W14" s="51" t="s">
        <v>257</v>
      </c>
      <c r="X14" s="56" t="s">
        <v>253</v>
      </c>
      <c r="Y14" s="98" t="s">
        <v>229</v>
      </c>
      <c r="Z14" s="98" t="s">
        <v>230</v>
      </c>
      <c r="AA14" s="51" t="s">
        <v>230</v>
      </c>
      <c r="AB14" s="51" t="s">
        <v>254</v>
      </c>
      <c r="AC14" s="51" t="s">
        <v>257</v>
      </c>
      <c r="AD14" s="51" t="s">
        <v>257</v>
      </c>
      <c r="AE14" s="51" t="s">
        <v>257</v>
      </c>
      <c r="AF14" s="56" t="s">
        <v>229</v>
      </c>
      <c r="AG14" s="98" t="s">
        <v>229</v>
      </c>
      <c r="AH14" s="51" t="s">
        <v>230</v>
      </c>
      <c r="AI14" s="51" t="s">
        <v>230</v>
      </c>
      <c r="AJ14" s="51" t="s">
        <v>254</v>
      </c>
      <c r="AL14" s="50">
        <f t="shared" si="0"/>
        <v>3</v>
      </c>
      <c r="AM14" s="50">
        <f t="shared" si="1"/>
        <v>7</v>
      </c>
      <c r="AN14" s="50">
        <f t="shared" si="2"/>
        <v>4</v>
      </c>
      <c r="AO14" s="50">
        <f t="shared" si="3"/>
        <v>5</v>
      </c>
      <c r="AP14" s="50">
        <f t="shared" si="4"/>
        <v>11</v>
      </c>
    </row>
    <row r="15" spans="2:42" ht="18.75" x14ac:dyDescent="0.25">
      <c r="B15" s="58">
        <v>11</v>
      </c>
      <c r="C15" s="145" t="s">
        <v>147</v>
      </c>
      <c r="D15" s="242"/>
      <c r="F15" s="51" t="s">
        <v>257</v>
      </c>
      <c r="G15" s="56" t="s">
        <v>229</v>
      </c>
      <c r="H15" s="98" t="s">
        <v>229</v>
      </c>
      <c r="I15" s="51" t="s">
        <v>230</v>
      </c>
      <c r="J15" s="51" t="s">
        <v>230</v>
      </c>
      <c r="K15" s="51" t="s">
        <v>254</v>
      </c>
      <c r="L15" s="51" t="s">
        <v>257</v>
      </c>
      <c r="M15" s="51" t="s">
        <v>257</v>
      </c>
      <c r="N15" s="51" t="s">
        <v>257</v>
      </c>
      <c r="O15" s="56" t="s">
        <v>229</v>
      </c>
      <c r="P15" s="98" t="s">
        <v>253</v>
      </c>
      <c r="Q15" s="51" t="s">
        <v>230</v>
      </c>
      <c r="R15" s="51" t="s">
        <v>230</v>
      </c>
      <c r="S15" s="51" t="s">
        <v>144</v>
      </c>
      <c r="T15" s="51" t="s">
        <v>257</v>
      </c>
      <c r="U15" s="51" t="s">
        <v>257</v>
      </c>
      <c r="V15" s="51" t="s">
        <v>257</v>
      </c>
      <c r="W15" s="98" t="s">
        <v>229</v>
      </c>
      <c r="X15" s="98" t="s">
        <v>253</v>
      </c>
      <c r="Y15" s="98" t="s">
        <v>230</v>
      </c>
      <c r="Z15" s="51" t="s">
        <v>255</v>
      </c>
      <c r="AA15" s="51" t="s">
        <v>254</v>
      </c>
      <c r="AB15" s="51" t="s">
        <v>257</v>
      </c>
      <c r="AC15" s="51" t="s">
        <v>257</v>
      </c>
      <c r="AD15" s="51" t="s">
        <v>257</v>
      </c>
      <c r="AE15" s="56" t="s">
        <v>229</v>
      </c>
      <c r="AF15" s="98" t="s">
        <v>255</v>
      </c>
      <c r="AG15" s="51" t="s">
        <v>230</v>
      </c>
      <c r="AH15" s="51" t="s">
        <v>256</v>
      </c>
      <c r="AI15" s="51" t="s">
        <v>254</v>
      </c>
      <c r="AJ15" s="51" t="s">
        <v>257</v>
      </c>
      <c r="AL15" s="50">
        <f t="shared" si="0"/>
        <v>5</v>
      </c>
      <c r="AM15" s="50">
        <f t="shared" si="1"/>
        <v>5</v>
      </c>
      <c r="AN15" s="50">
        <f t="shared" si="2"/>
        <v>6</v>
      </c>
      <c r="AO15" s="50">
        <f t="shared" si="3"/>
        <v>3</v>
      </c>
      <c r="AP15" s="50">
        <f t="shared" si="4"/>
        <v>11</v>
      </c>
    </row>
    <row r="16" spans="2:42" ht="18.75" x14ac:dyDescent="0.25">
      <c r="B16" s="58">
        <v>12</v>
      </c>
      <c r="C16" s="145" t="s">
        <v>170</v>
      </c>
      <c r="D16" s="242"/>
      <c r="F16" s="56" t="s">
        <v>258</v>
      </c>
      <c r="G16" s="98" t="s">
        <v>258</v>
      </c>
      <c r="H16" s="51" t="s">
        <v>230</v>
      </c>
      <c r="I16" s="51" t="s">
        <v>256</v>
      </c>
      <c r="J16" s="51" t="s">
        <v>256</v>
      </c>
      <c r="K16" s="51" t="s">
        <v>257</v>
      </c>
      <c r="L16" s="51" t="s">
        <v>257</v>
      </c>
      <c r="M16" s="51" t="s">
        <v>257</v>
      </c>
      <c r="N16" s="56" t="s">
        <v>229</v>
      </c>
      <c r="O16" s="98" t="s">
        <v>229</v>
      </c>
      <c r="P16" s="51" t="s">
        <v>230</v>
      </c>
      <c r="Q16" s="51" t="s">
        <v>144</v>
      </c>
      <c r="R16" s="51" t="s">
        <v>254</v>
      </c>
      <c r="S16" s="51" t="s">
        <v>257</v>
      </c>
      <c r="T16" s="51" t="s">
        <v>257</v>
      </c>
      <c r="U16" s="51" t="s">
        <v>257</v>
      </c>
      <c r="V16" s="56" t="s">
        <v>229</v>
      </c>
      <c r="W16" s="56" t="s">
        <v>253</v>
      </c>
      <c r="X16" s="56" t="s">
        <v>230</v>
      </c>
      <c r="Y16" s="56" t="s">
        <v>230</v>
      </c>
      <c r="Z16" s="56" t="s">
        <v>254</v>
      </c>
      <c r="AA16" s="51" t="s">
        <v>257</v>
      </c>
      <c r="AB16" s="51" t="s">
        <v>257</v>
      </c>
      <c r="AC16" s="51" t="s">
        <v>257</v>
      </c>
      <c r="AD16" s="56" t="s">
        <v>229</v>
      </c>
      <c r="AE16" s="98" t="s">
        <v>255</v>
      </c>
      <c r="AF16" s="51" t="s">
        <v>230</v>
      </c>
      <c r="AG16" s="51" t="s">
        <v>256</v>
      </c>
      <c r="AH16" s="51" t="s">
        <v>254</v>
      </c>
      <c r="AI16" s="51" t="s">
        <v>257</v>
      </c>
      <c r="AJ16" s="51" t="s">
        <v>257</v>
      </c>
      <c r="AL16" s="50">
        <f t="shared" si="0"/>
        <v>5</v>
      </c>
      <c r="AM16" s="50">
        <f t="shared" si="1"/>
        <v>4</v>
      </c>
      <c r="AN16" s="50">
        <f t="shared" si="2"/>
        <v>5</v>
      </c>
      <c r="AO16" s="50">
        <f t="shared" si="3"/>
        <v>3</v>
      </c>
      <c r="AP16" s="50">
        <f t="shared" si="4"/>
        <v>11</v>
      </c>
    </row>
    <row r="17" spans="2:42" ht="18.75" x14ac:dyDescent="0.25">
      <c r="B17" s="58">
        <v>13</v>
      </c>
      <c r="C17" s="145" t="s">
        <v>222</v>
      </c>
      <c r="D17" s="242"/>
      <c r="F17" s="98" t="s">
        <v>258</v>
      </c>
      <c r="G17" s="98" t="s">
        <v>258</v>
      </c>
      <c r="H17" s="98" t="s">
        <v>258</v>
      </c>
      <c r="I17" s="98" t="s">
        <v>258</v>
      </c>
      <c r="J17" s="98" t="s">
        <v>258</v>
      </c>
      <c r="K17" s="98" t="s">
        <v>257</v>
      </c>
      <c r="L17" s="98" t="s">
        <v>257</v>
      </c>
      <c r="M17" s="98" t="s">
        <v>229</v>
      </c>
      <c r="N17" s="98" t="s">
        <v>230</v>
      </c>
      <c r="O17" s="98" t="s">
        <v>230</v>
      </c>
      <c r="P17" s="98" t="s">
        <v>254</v>
      </c>
      <c r="Q17" s="98" t="s">
        <v>254</v>
      </c>
      <c r="R17" s="98" t="s">
        <v>257</v>
      </c>
      <c r="S17" s="51" t="s">
        <v>257</v>
      </c>
      <c r="T17" s="51" t="s">
        <v>257</v>
      </c>
      <c r="U17" s="56" t="s">
        <v>229</v>
      </c>
      <c r="V17" s="98" t="s">
        <v>230</v>
      </c>
      <c r="W17" s="51" t="s">
        <v>230</v>
      </c>
      <c r="X17" s="51" t="s">
        <v>256</v>
      </c>
      <c r="Y17" s="51" t="s">
        <v>254</v>
      </c>
      <c r="Z17" s="51" t="s">
        <v>257</v>
      </c>
      <c r="AA17" s="51" t="s">
        <v>257</v>
      </c>
      <c r="AB17" s="51" t="s">
        <v>257</v>
      </c>
      <c r="AC17" s="98" t="s">
        <v>229</v>
      </c>
      <c r="AD17" s="98" t="s">
        <v>253</v>
      </c>
      <c r="AE17" s="51" t="s">
        <v>230</v>
      </c>
      <c r="AF17" s="51" t="s">
        <v>256</v>
      </c>
      <c r="AG17" s="51" t="s">
        <v>254</v>
      </c>
      <c r="AH17" s="51" t="s">
        <v>257</v>
      </c>
      <c r="AI17" s="51" t="s">
        <v>257</v>
      </c>
      <c r="AJ17" s="51" t="s">
        <v>257</v>
      </c>
      <c r="AL17" s="50">
        <f t="shared" si="0"/>
        <v>3</v>
      </c>
      <c r="AM17" s="50">
        <f t="shared" si="1"/>
        <v>3</v>
      </c>
      <c r="AN17" s="50">
        <f t="shared" si="2"/>
        <v>5</v>
      </c>
      <c r="AO17" s="50">
        <f t="shared" si="3"/>
        <v>4</v>
      </c>
      <c r="AP17" s="50">
        <f t="shared" si="4"/>
        <v>11</v>
      </c>
    </row>
    <row r="18" spans="2:42" ht="18.75" x14ac:dyDescent="0.25">
      <c r="B18" s="58">
        <v>14</v>
      </c>
      <c r="C18" s="145" t="s">
        <v>223</v>
      </c>
      <c r="D18" s="242"/>
      <c r="F18" s="51" t="s">
        <v>230</v>
      </c>
      <c r="G18" s="51" t="s">
        <v>230</v>
      </c>
      <c r="H18" s="51" t="s">
        <v>256</v>
      </c>
      <c r="I18" s="51" t="s">
        <v>257</v>
      </c>
      <c r="J18" s="51" t="s">
        <v>257</v>
      </c>
      <c r="K18" s="51" t="s">
        <v>257</v>
      </c>
      <c r="L18" s="98" t="s">
        <v>258</v>
      </c>
      <c r="M18" s="98" t="s">
        <v>258</v>
      </c>
      <c r="N18" s="51" t="s">
        <v>258</v>
      </c>
      <c r="O18" s="51" t="s">
        <v>258</v>
      </c>
      <c r="P18" s="51" t="s">
        <v>258</v>
      </c>
      <c r="Q18" s="51" t="s">
        <v>257</v>
      </c>
      <c r="R18" s="51" t="s">
        <v>257</v>
      </c>
      <c r="S18" s="51" t="s">
        <v>257</v>
      </c>
      <c r="T18" s="56" t="s">
        <v>229</v>
      </c>
      <c r="U18" s="98" t="s">
        <v>230</v>
      </c>
      <c r="V18" s="51" t="s">
        <v>254</v>
      </c>
      <c r="W18" s="51" t="s">
        <v>254</v>
      </c>
      <c r="X18" s="51" t="s">
        <v>254</v>
      </c>
      <c r="Y18" s="51" t="s">
        <v>257</v>
      </c>
      <c r="Z18" s="51" t="s">
        <v>257</v>
      </c>
      <c r="AA18" s="51" t="s">
        <v>257</v>
      </c>
      <c r="AB18" s="98" t="s">
        <v>229</v>
      </c>
      <c r="AC18" s="98" t="s">
        <v>230</v>
      </c>
      <c r="AD18" s="51" t="s">
        <v>230</v>
      </c>
      <c r="AE18" s="51" t="s">
        <v>254</v>
      </c>
      <c r="AF18" s="51" t="s">
        <v>254</v>
      </c>
      <c r="AG18" s="51" t="s">
        <v>257</v>
      </c>
      <c r="AH18" s="51" t="s">
        <v>257</v>
      </c>
      <c r="AI18" s="51" t="s">
        <v>257</v>
      </c>
      <c r="AJ18" s="98" t="s">
        <v>229</v>
      </c>
      <c r="AL18" s="50">
        <f t="shared" si="0"/>
        <v>1</v>
      </c>
      <c r="AM18" s="50">
        <f t="shared" si="1"/>
        <v>3</v>
      </c>
      <c r="AN18" s="50">
        <f t="shared" si="2"/>
        <v>5</v>
      </c>
      <c r="AO18" s="50">
        <f t="shared" si="3"/>
        <v>5</v>
      </c>
      <c r="AP18" s="50">
        <f t="shared" si="4"/>
        <v>12</v>
      </c>
    </row>
    <row r="19" spans="2:42" ht="19.5" thickBot="1" x14ac:dyDescent="0.3">
      <c r="B19" s="59">
        <v>15</v>
      </c>
      <c r="C19" s="240" t="s">
        <v>224</v>
      </c>
      <c r="D19" s="241"/>
      <c r="F19" s="64" t="s">
        <v>254</v>
      </c>
      <c r="G19" s="64" t="s">
        <v>254</v>
      </c>
      <c r="H19" s="64" t="s">
        <v>257</v>
      </c>
      <c r="I19" s="64" t="s">
        <v>257</v>
      </c>
      <c r="J19" s="64" t="s">
        <v>257</v>
      </c>
      <c r="K19" s="265" t="s">
        <v>271</v>
      </c>
      <c r="L19" s="265" t="s">
        <v>271</v>
      </c>
      <c r="M19" s="265" t="s">
        <v>271</v>
      </c>
      <c r="N19" s="265" t="s">
        <v>271</v>
      </c>
      <c r="O19" s="265" t="s">
        <v>271</v>
      </c>
      <c r="P19" s="265" t="s">
        <v>271</v>
      </c>
      <c r="Q19" s="265" t="s">
        <v>271</v>
      </c>
      <c r="R19" s="265" t="s">
        <v>271</v>
      </c>
      <c r="S19" s="265" t="s">
        <v>271</v>
      </c>
      <c r="T19" s="265" t="s">
        <v>271</v>
      </c>
      <c r="U19" s="265" t="s">
        <v>271</v>
      </c>
      <c r="V19" s="265" t="s">
        <v>271</v>
      </c>
      <c r="W19" s="265" t="s">
        <v>271</v>
      </c>
      <c r="X19" s="265" t="s">
        <v>271</v>
      </c>
      <c r="Y19" s="265" t="s">
        <v>271</v>
      </c>
      <c r="Z19" s="265" t="s">
        <v>271</v>
      </c>
      <c r="AA19" s="265" t="s">
        <v>271</v>
      </c>
      <c r="AB19" s="265" t="s">
        <v>271</v>
      </c>
      <c r="AC19" s="265" t="s">
        <v>271</v>
      </c>
      <c r="AD19" s="265" t="s">
        <v>271</v>
      </c>
      <c r="AE19" s="265" t="s">
        <v>271</v>
      </c>
      <c r="AF19" s="265" t="s">
        <v>271</v>
      </c>
      <c r="AG19" s="265" t="s">
        <v>271</v>
      </c>
      <c r="AH19" s="265" t="s">
        <v>271</v>
      </c>
      <c r="AI19" s="265" t="s">
        <v>271</v>
      </c>
      <c r="AJ19" s="265" t="s">
        <v>271</v>
      </c>
      <c r="AL19" s="50">
        <f t="shared" si="0"/>
        <v>0</v>
      </c>
      <c r="AM19" s="50">
        <f t="shared" si="1"/>
        <v>0</v>
      </c>
      <c r="AN19" s="50">
        <f t="shared" si="2"/>
        <v>0</v>
      </c>
      <c r="AO19" s="50">
        <f t="shared" si="3"/>
        <v>2</v>
      </c>
      <c r="AP19" s="50">
        <f t="shared" si="4"/>
        <v>3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79" t="s">
        <v>91</v>
      </c>
      <c r="D21" s="179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1</v>
      </c>
      <c r="L21" s="37">
        <f t="shared" si="5"/>
        <v>1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79" t="s">
        <v>92</v>
      </c>
      <c r="D22" s="179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3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3</v>
      </c>
      <c r="V22" s="37">
        <f t="shared" si="6"/>
        <v>2</v>
      </c>
      <c r="W22" s="37">
        <f t="shared" si="6"/>
        <v>3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3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79" t="s">
        <v>72</v>
      </c>
      <c r="D23" s="179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3</v>
      </c>
      <c r="Q23" s="37">
        <f t="shared" si="7"/>
        <v>3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3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79" t="s">
        <v>73</v>
      </c>
      <c r="D24" s="179"/>
      <c r="E24" s="36"/>
      <c r="F24" s="37">
        <f t="shared" ref="F24:AJ24" si="8">COUNTIF(F$5:F$19,"O*")</f>
        <v>6</v>
      </c>
      <c r="G24" s="37">
        <f t="shared" si="8"/>
        <v>5</v>
      </c>
      <c r="H24" s="37">
        <f t="shared" si="8"/>
        <v>5</v>
      </c>
      <c r="I24" s="37">
        <f t="shared" si="8"/>
        <v>5</v>
      </c>
      <c r="J24" s="37">
        <f t="shared" si="8"/>
        <v>5</v>
      </c>
      <c r="K24" s="37">
        <f t="shared" si="8"/>
        <v>6</v>
      </c>
      <c r="L24" s="37">
        <f t="shared" si="8"/>
        <v>6</v>
      </c>
      <c r="M24" s="37">
        <f t="shared" si="8"/>
        <v>6</v>
      </c>
      <c r="N24" s="37">
        <f t="shared" si="8"/>
        <v>6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5</v>
      </c>
      <c r="S24" s="37">
        <f t="shared" si="8"/>
        <v>6</v>
      </c>
      <c r="T24" s="37">
        <f t="shared" si="8"/>
        <v>6</v>
      </c>
      <c r="U24" s="37">
        <f t="shared" si="8"/>
        <v>6</v>
      </c>
      <c r="V24" s="37">
        <f t="shared" si="8"/>
        <v>6</v>
      </c>
      <c r="W24" s="37">
        <f t="shared" si="8"/>
        <v>5</v>
      </c>
      <c r="X24" s="37">
        <f t="shared" si="8"/>
        <v>4</v>
      </c>
      <c r="Y24" s="37">
        <f t="shared" si="8"/>
        <v>4</v>
      </c>
      <c r="Z24" s="37">
        <f t="shared" si="8"/>
        <v>5</v>
      </c>
      <c r="AA24" s="37">
        <f t="shared" si="8"/>
        <v>6</v>
      </c>
      <c r="AB24" s="37">
        <f t="shared" si="8"/>
        <v>6</v>
      </c>
      <c r="AC24" s="37">
        <f t="shared" si="8"/>
        <v>6</v>
      </c>
      <c r="AD24" s="37">
        <f t="shared" si="8"/>
        <v>6</v>
      </c>
      <c r="AE24" s="37">
        <f t="shared" si="8"/>
        <v>5</v>
      </c>
      <c r="AF24" s="37">
        <f t="shared" si="8"/>
        <v>4</v>
      </c>
      <c r="AG24" s="37">
        <f t="shared" si="8"/>
        <v>3</v>
      </c>
      <c r="AH24" s="37">
        <f t="shared" si="8"/>
        <v>5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75" t="s">
        <v>106</v>
      </c>
      <c r="D25" s="176"/>
      <c r="E25" s="36"/>
      <c r="F25" s="37">
        <f t="shared" ref="F25:AJ25" si="9">COUNTIF(F$5:F$19,"ST*")</f>
        <v>1</v>
      </c>
      <c r="G25" s="37">
        <f t="shared" si="9"/>
        <v>2</v>
      </c>
      <c r="H25" s="37">
        <f t="shared" si="9"/>
        <v>3</v>
      </c>
      <c r="I25" s="37">
        <f t="shared" si="9"/>
        <v>2</v>
      </c>
      <c r="J25" s="37">
        <f t="shared" si="9"/>
        <v>1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1</v>
      </c>
      <c r="P25" s="37">
        <f t="shared" si="9"/>
        <v>2</v>
      </c>
      <c r="Q25" s="37">
        <f t="shared" si="9"/>
        <v>1</v>
      </c>
      <c r="R25" s="37">
        <f t="shared" si="9"/>
        <v>3</v>
      </c>
      <c r="S25" s="37">
        <f t="shared" si="9"/>
        <v>0</v>
      </c>
      <c r="T25" s="37">
        <f t="shared" si="9"/>
        <v>2</v>
      </c>
      <c r="U25" s="37">
        <f t="shared" si="9"/>
        <v>1</v>
      </c>
      <c r="V25" s="37">
        <f t="shared" si="9"/>
        <v>1</v>
      </c>
      <c r="W25" s="37">
        <f t="shared" si="9"/>
        <v>2</v>
      </c>
      <c r="X25" s="37">
        <f t="shared" si="9"/>
        <v>4</v>
      </c>
      <c r="Y25" s="37">
        <f t="shared" si="9"/>
        <v>4</v>
      </c>
      <c r="Z25" s="37">
        <f t="shared" si="9"/>
        <v>3</v>
      </c>
      <c r="AA25" s="37">
        <f t="shared" si="9"/>
        <v>1</v>
      </c>
      <c r="AB25" s="37">
        <f t="shared" si="9"/>
        <v>0</v>
      </c>
      <c r="AC25" s="37">
        <f t="shared" si="9"/>
        <v>0</v>
      </c>
      <c r="AD25" s="37">
        <f t="shared" si="9"/>
        <v>1</v>
      </c>
      <c r="AE25" s="37">
        <f t="shared" si="9"/>
        <v>2</v>
      </c>
      <c r="AF25" s="37">
        <f t="shared" si="9"/>
        <v>3</v>
      </c>
      <c r="AG25" s="37">
        <f t="shared" si="9"/>
        <v>3</v>
      </c>
      <c r="AH25" s="37">
        <f t="shared" si="9"/>
        <v>2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77" t="s">
        <v>104</v>
      </c>
      <c r="D26" s="177"/>
      <c r="E26" s="38"/>
      <c r="F26" s="53">
        <f>F28-F29</f>
        <v>0</v>
      </c>
      <c r="G26" s="53">
        <f t="shared" ref="G26:AJ26" si="10">G28-G29</f>
        <v>0</v>
      </c>
      <c r="H26" s="53">
        <f t="shared" si="10"/>
        <v>0</v>
      </c>
      <c r="I26" s="53">
        <f t="shared" si="10"/>
        <v>0</v>
      </c>
      <c r="J26" s="53">
        <f t="shared" si="10"/>
        <v>0</v>
      </c>
      <c r="K26" s="53">
        <f t="shared" si="10"/>
        <v>-1</v>
      </c>
      <c r="L26" s="53">
        <f t="shared" si="10"/>
        <v>-1</v>
      </c>
      <c r="M26" s="53">
        <f t="shared" si="10"/>
        <v>0</v>
      </c>
      <c r="N26" s="53">
        <f t="shared" si="10"/>
        <v>0</v>
      </c>
      <c r="O26" s="53">
        <f t="shared" si="10"/>
        <v>1</v>
      </c>
      <c r="P26" s="53">
        <f t="shared" si="10"/>
        <v>1</v>
      </c>
      <c r="Q26" s="53">
        <f t="shared" si="10"/>
        <v>1</v>
      </c>
      <c r="R26" s="53">
        <f t="shared" si="10"/>
        <v>0</v>
      </c>
      <c r="S26" s="53">
        <f t="shared" si="10"/>
        <v>0</v>
      </c>
      <c r="T26" s="53">
        <f t="shared" si="10"/>
        <v>0</v>
      </c>
      <c r="U26" s="53">
        <f t="shared" si="10"/>
        <v>1</v>
      </c>
      <c r="V26" s="53">
        <f t="shared" si="10"/>
        <v>1</v>
      </c>
      <c r="W26" s="53">
        <f t="shared" si="10"/>
        <v>1</v>
      </c>
      <c r="X26" s="53">
        <f t="shared" si="10"/>
        <v>0</v>
      </c>
      <c r="Y26" s="53">
        <f t="shared" si="10"/>
        <v>0</v>
      </c>
      <c r="Z26" s="53">
        <f t="shared" si="10"/>
        <v>0</v>
      </c>
      <c r="AA26" s="53">
        <f t="shared" si="10"/>
        <v>1</v>
      </c>
      <c r="AB26" s="53">
        <f t="shared" si="10"/>
        <v>1</v>
      </c>
      <c r="AC26" s="53">
        <f t="shared" si="10"/>
        <v>1</v>
      </c>
      <c r="AD26" s="53">
        <f t="shared" si="10"/>
        <v>0</v>
      </c>
      <c r="AE26" s="53">
        <f t="shared" si="10"/>
        <v>0</v>
      </c>
      <c r="AF26" s="53">
        <f t="shared" si="10"/>
        <v>0</v>
      </c>
      <c r="AG26" s="53">
        <f t="shared" si="10"/>
        <v>0</v>
      </c>
      <c r="AH26" s="53">
        <f t="shared" si="10"/>
        <v>0</v>
      </c>
      <c r="AI26" s="53">
        <f t="shared" si="10"/>
        <v>0</v>
      </c>
      <c r="AJ26" s="53">
        <f t="shared" si="10"/>
        <v>0</v>
      </c>
    </row>
    <row r="27" spans="2:42" ht="18.75" x14ac:dyDescent="0.3">
      <c r="C27" s="40"/>
      <c r="D27" s="40"/>
      <c r="E27" s="36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</row>
    <row r="28" spans="2:42" ht="18.75" x14ac:dyDescent="0.3">
      <c r="C28" s="179" t="s">
        <v>102</v>
      </c>
      <c r="D28" s="179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5</v>
      </c>
      <c r="L28" s="41">
        <f t="shared" si="11"/>
        <v>5</v>
      </c>
      <c r="M28" s="41">
        <f t="shared" si="11"/>
        <v>6</v>
      </c>
      <c r="N28" s="41">
        <f t="shared" si="11"/>
        <v>6</v>
      </c>
      <c r="O28" s="41">
        <f t="shared" si="11"/>
        <v>7</v>
      </c>
      <c r="P28" s="41">
        <f t="shared" si="11"/>
        <v>7</v>
      </c>
      <c r="Q28" s="41">
        <f t="shared" si="11"/>
        <v>7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7</v>
      </c>
      <c r="V28" s="41">
        <f t="shared" si="11"/>
        <v>7</v>
      </c>
      <c r="W28" s="41">
        <f t="shared" si="11"/>
        <v>7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7</v>
      </c>
      <c r="AB28" s="41">
        <f t="shared" si="11"/>
        <v>7</v>
      </c>
      <c r="AC28" s="41">
        <f t="shared" si="11"/>
        <v>7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6</v>
      </c>
    </row>
    <row r="29" spans="2:42" ht="18.75" x14ac:dyDescent="0.3">
      <c r="C29" s="179" t="s">
        <v>90</v>
      </c>
      <c r="D29" s="179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79" t="s">
        <v>103</v>
      </c>
      <c r="D30" s="179"/>
      <c r="E30" s="36"/>
      <c r="F30" s="37">
        <f>SUM(F21,F22,F23,F24,F25)</f>
        <v>13</v>
      </c>
      <c r="G30" s="37">
        <f t="shared" ref="G30:AJ30" si="12">SUM(G21,G22,G23,G24,G25)</f>
        <v>13</v>
      </c>
      <c r="H30" s="37">
        <f t="shared" si="12"/>
        <v>14</v>
      </c>
      <c r="I30" s="37">
        <f t="shared" si="12"/>
        <v>13</v>
      </c>
      <c r="J30" s="37">
        <f t="shared" si="12"/>
        <v>12</v>
      </c>
      <c r="K30" s="37">
        <f t="shared" si="12"/>
        <v>11</v>
      </c>
      <c r="L30" s="37">
        <f t="shared" si="12"/>
        <v>11</v>
      </c>
      <c r="M30" s="37">
        <f t="shared" si="12"/>
        <v>12</v>
      </c>
      <c r="N30" s="37">
        <f t="shared" si="12"/>
        <v>12</v>
      </c>
      <c r="O30" s="37">
        <f t="shared" si="12"/>
        <v>12</v>
      </c>
      <c r="P30" s="37">
        <f t="shared" si="12"/>
        <v>13</v>
      </c>
      <c r="Q30" s="37">
        <f t="shared" si="12"/>
        <v>12</v>
      </c>
      <c r="R30" s="37">
        <f t="shared" si="12"/>
        <v>14</v>
      </c>
      <c r="S30" s="37">
        <f t="shared" si="12"/>
        <v>12</v>
      </c>
      <c r="T30" s="37">
        <f t="shared" si="12"/>
        <v>14</v>
      </c>
      <c r="U30" s="37">
        <f t="shared" si="12"/>
        <v>14</v>
      </c>
      <c r="V30" s="37">
        <f t="shared" si="12"/>
        <v>14</v>
      </c>
      <c r="W30" s="37">
        <f t="shared" si="12"/>
        <v>14</v>
      </c>
      <c r="X30" s="37">
        <f t="shared" si="12"/>
        <v>14</v>
      </c>
      <c r="Y30" s="37">
        <f t="shared" si="12"/>
        <v>14</v>
      </c>
      <c r="Z30" s="37">
        <f t="shared" si="12"/>
        <v>14</v>
      </c>
      <c r="AA30" s="37">
        <f t="shared" si="12"/>
        <v>14</v>
      </c>
      <c r="AB30" s="37">
        <f t="shared" si="12"/>
        <v>13</v>
      </c>
      <c r="AC30" s="37">
        <f t="shared" si="12"/>
        <v>13</v>
      </c>
      <c r="AD30" s="37">
        <f t="shared" si="12"/>
        <v>13</v>
      </c>
      <c r="AE30" s="37">
        <f t="shared" si="12"/>
        <v>13</v>
      </c>
      <c r="AF30" s="37">
        <f t="shared" si="12"/>
        <v>13</v>
      </c>
      <c r="AG30" s="37">
        <f t="shared" si="12"/>
        <v>12</v>
      </c>
      <c r="AH30" s="37">
        <f t="shared" si="12"/>
        <v>13</v>
      </c>
      <c r="AI30" s="37">
        <f t="shared" si="12"/>
        <v>12</v>
      </c>
      <c r="AJ30" s="37">
        <f t="shared" si="12"/>
        <v>12</v>
      </c>
    </row>
    <row r="32" spans="2:42" ht="9.75" customHeight="1" thickBot="1" x14ac:dyDescent="0.3"/>
    <row r="33" spans="6:8" ht="16.5" thickBot="1" x14ac:dyDescent="0.3">
      <c r="F33" s="198" t="s">
        <v>232</v>
      </c>
      <c r="G33" s="199"/>
      <c r="H33" s="200"/>
    </row>
    <row r="34" spans="6:8" x14ac:dyDescent="0.25">
      <c r="F34" s="70" t="s">
        <v>142</v>
      </c>
      <c r="G34" s="201" t="s">
        <v>228</v>
      </c>
      <c r="H34" s="202"/>
    </row>
    <row r="35" spans="6:8" x14ac:dyDescent="0.25">
      <c r="F35" s="71" t="s">
        <v>119</v>
      </c>
      <c r="G35" s="218" t="s">
        <v>229</v>
      </c>
      <c r="H35" s="245"/>
    </row>
    <row r="36" spans="6:8" x14ac:dyDescent="0.25">
      <c r="F36" s="72" t="s">
        <v>226</v>
      </c>
      <c r="G36" s="204" t="s">
        <v>230</v>
      </c>
      <c r="H36" s="205"/>
    </row>
    <row r="37" spans="6:8" x14ac:dyDescent="0.25">
      <c r="F37" s="73" t="s">
        <v>227</v>
      </c>
      <c r="G37" s="206" t="s">
        <v>231</v>
      </c>
      <c r="H37" s="207"/>
    </row>
    <row r="38" spans="6:8" x14ac:dyDescent="0.25">
      <c r="F38" s="74" t="s">
        <v>144</v>
      </c>
      <c r="G38" s="190" t="s">
        <v>234</v>
      </c>
      <c r="H38" s="191"/>
    </row>
    <row r="39" spans="6:8" x14ac:dyDescent="0.25">
      <c r="F39" s="75"/>
      <c r="G39" s="192" t="s">
        <v>233</v>
      </c>
      <c r="H39" s="193"/>
    </row>
    <row r="40" spans="6:8" ht="16.5" thickBot="1" x14ac:dyDescent="0.3">
      <c r="F40" s="76" t="s">
        <v>235</v>
      </c>
      <c r="G40" s="243" t="s">
        <v>236</v>
      </c>
      <c r="H40" s="244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36" priority="1" operator="containsText" text="STMN06">
      <formula>NOT(ISERROR(SEARCH("STMN06",F5)))</formula>
    </cfRule>
    <cfRule type="containsText" dxfId="135" priority="3" operator="containsText" text="STAN13">
      <formula>NOT(ISERROR(SEARCH("STAN13",F5)))</formula>
    </cfRule>
    <cfRule type="containsText" dxfId="134" priority="4" operator="containsText" text="TR">
      <formula>NOT(ISERROR(SEARCH("TR",F5)))</formula>
    </cfRule>
    <cfRule type="containsText" dxfId="133" priority="5" operator="containsText" text="LV">
      <formula>NOT(ISERROR(SEARCH("LV",F5)))</formula>
    </cfRule>
    <cfRule type="containsText" dxfId="132" priority="6" operator="containsText" text="AN13">
      <formula>NOT(ISERROR(SEARCH("AN13",F5)))</formula>
    </cfRule>
    <cfRule type="containsText" dxfId="131" priority="7" operator="containsText" text="AN13">
      <formula>NOT(ISERROR(SEARCH("AN13",F5)))</formula>
    </cfRule>
    <cfRule type="containsText" dxfId="130" priority="8" operator="containsText" text="AN13">
      <formula>NOT(ISERROR(SEARCH("AN13",F5)))</formula>
    </cfRule>
    <cfRule type="containsText" dxfId="129" priority="9" operator="containsText" text="MN06">
      <formula>NOT(ISERROR(SEARCH("MN06",F5)))</formula>
    </cfRule>
    <cfRule type="containsText" dxfId="128" priority="10" operator="containsText" text="STAN13">
      <formula>NOT(ISERROR(SEARCH("STAN13",F5)))</formula>
    </cfRule>
    <cfRule type="containsText" dxfId="127" priority="11" operator="containsText" text="STNN21">
      <formula>NOT(ISERROR(SEARCH("STNN21",F5)))</formula>
    </cfRule>
    <cfRule type="containsText" dxfId="126" priority="12" operator="containsText" text="NN21">
      <formula>NOT(ISERROR(SEARCH("NN21",F5)))</formula>
    </cfRule>
    <cfRule type="containsText" dxfId="125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80" zoomScaleNormal="80" workbookViewId="0">
      <pane xSplit="4" ySplit="3" topLeftCell="E12" activePane="bottomRight" state="frozen"/>
      <selection activeCell="A2" sqref="A2"/>
      <selection pane="topRight" activeCell="E2" sqref="E2"/>
      <selection pane="bottomLeft" activeCell="A5" sqref="A5"/>
      <selection pane="bottomRight" activeCell="L30" sqref="L3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4" t="s">
        <v>261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6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.75" thickBot="1" x14ac:dyDescent="0.3">
      <c r="B3" s="180" t="s">
        <v>105</v>
      </c>
      <c r="C3" s="180"/>
      <c r="D3" s="18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180"/>
      <c r="C4" s="180"/>
      <c r="D4" s="18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149" t="s">
        <v>146</v>
      </c>
      <c r="D5" s="149"/>
      <c r="F5" s="44" t="s">
        <v>257</v>
      </c>
      <c r="G5" s="44" t="s">
        <v>257</v>
      </c>
      <c r="H5" s="44" t="s">
        <v>229</v>
      </c>
      <c r="I5" s="44" t="s">
        <v>229</v>
      </c>
      <c r="J5" s="44" t="s">
        <v>230</v>
      </c>
      <c r="K5" s="44" t="s">
        <v>230</v>
      </c>
      <c r="L5" s="44" t="s">
        <v>254</v>
      </c>
      <c r="M5" s="44" t="s">
        <v>257</v>
      </c>
      <c r="N5" s="44" t="s">
        <v>257</v>
      </c>
      <c r="O5" s="44" t="s">
        <v>257</v>
      </c>
      <c r="P5" s="44" t="s">
        <v>229</v>
      </c>
      <c r="Q5" s="44" t="s">
        <v>229</v>
      </c>
      <c r="R5" s="44" t="s">
        <v>230</v>
      </c>
      <c r="S5" s="44" t="s">
        <v>254</v>
      </c>
      <c r="T5" s="44" t="s">
        <v>254</v>
      </c>
      <c r="U5" s="44" t="s">
        <v>257</v>
      </c>
      <c r="V5" s="44" t="s">
        <v>257</v>
      </c>
      <c r="W5" s="44" t="s">
        <v>257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254</v>
      </c>
      <c r="AC5" s="44" t="s">
        <v>257</v>
      </c>
      <c r="AD5" s="44" t="s">
        <v>257</v>
      </c>
      <c r="AE5" s="44" t="s">
        <v>257</v>
      </c>
      <c r="AF5" s="44" t="s">
        <v>258</v>
      </c>
      <c r="AG5" s="44" t="s">
        <v>258</v>
      </c>
      <c r="AH5" s="44" t="s">
        <v>258</v>
      </c>
      <c r="AI5" s="44" t="s">
        <v>258</v>
      </c>
      <c r="AJ5" s="44" t="s">
        <v>258</v>
      </c>
      <c r="AL5" s="50">
        <f t="shared" ref="AL5:AL40" si="0">COUNTIF($F5:$AJ5,"ST*")</f>
        <v>0</v>
      </c>
      <c r="AM5" s="50">
        <f t="shared" ref="AM5:AM40" si="1">COUNTIF($F5:$AJ5,"M*")</f>
        <v>5</v>
      </c>
      <c r="AN5" s="50">
        <f t="shared" ref="AN5:AN40" si="2">COUNTIF($F5:$AJ5,"A*")</f>
        <v>5</v>
      </c>
      <c r="AO5" s="50">
        <f t="shared" ref="AO5:AO40" si="3">COUNTIF($F5:$AJ5,"N*")</f>
        <v>5</v>
      </c>
      <c r="AP5" s="50">
        <f t="shared" ref="AP5:AP40" si="4">COUNTIF($F5:$AJ5,"O*")</f>
        <v>11</v>
      </c>
    </row>
    <row r="6" spans="2:42" ht="18.75" x14ac:dyDescent="0.25">
      <c r="B6" s="37">
        <v>2</v>
      </c>
      <c r="C6" s="149" t="s">
        <v>149</v>
      </c>
      <c r="D6" s="149"/>
      <c r="F6" s="51" t="s">
        <v>229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51" t="s">
        <v>229</v>
      </c>
      <c r="N6" s="51" t="s">
        <v>229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51" t="s">
        <v>229</v>
      </c>
      <c r="V6" s="51" t="s">
        <v>229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51" t="s">
        <v>229</v>
      </c>
      <c r="AD6" s="51" t="s">
        <v>229</v>
      </c>
      <c r="AE6" s="51" t="s">
        <v>229</v>
      </c>
      <c r="AF6" s="51" t="s">
        <v>230</v>
      </c>
      <c r="AG6" s="51" t="s">
        <v>254</v>
      </c>
      <c r="AH6" s="51" t="s">
        <v>257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8</v>
      </c>
      <c r="AN6" s="50">
        <f t="shared" si="2"/>
        <v>4</v>
      </c>
      <c r="AO6" s="50">
        <f t="shared" si="3"/>
        <v>7</v>
      </c>
      <c r="AP6" s="50">
        <f t="shared" si="4"/>
        <v>12</v>
      </c>
    </row>
    <row r="7" spans="2:42" ht="18.75" x14ac:dyDescent="0.25">
      <c r="B7" s="37">
        <v>3</v>
      </c>
      <c r="C7" s="149" t="s">
        <v>150</v>
      </c>
      <c r="D7" s="149"/>
      <c r="F7" s="51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51" t="s">
        <v>229</v>
      </c>
      <c r="M7" s="51" t="s">
        <v>230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51" t="s">
        <v>229</v>
      </c>
      <c r="AC7" s="51" t="s">
        <v>229</v>
      </c>
      <c r="AD7" s="51" t="s">
        <v>230</v>
      </c>
      <c r="AE7" s="51" t="s">
        <v>230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51" t="s">
        <v>229</v>
      </c>
      <c r="AL7" s="50">
        <f t="shared" si="0"/>
        <v>0</v>
      </c>
      <c r="AM7" s="50">
        <f t="shared" si="1"/>
        <v>6</v>
      </c>
      <c r="AN7" s="50">
        <f t="shared" si="2"/>
        <v>6</v>
      </c>
      <c r="AO7" s="50">
        <f t="shared" si="3"/>
        <v>7</v>
      </c>
      <c r="AP7" s="50">
        <f t="shared" si="4"/>
        <v>12</v>
      </c>
    </row>
    <row r="8" spans="2:42" ht="18.75" x14ac:dyDescent="0.25">
      <c r="B8" s="37">
        <v>4</v>
      </c>
      <c r="C8" s="149" t="s">
        <v>151</v>
      </c>
      <c r="D8" s="149"/>
      <c r="F8" s="51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56" t="s">
        <v>258</v>
      </c>
      <c r="L8" s="56" t="s">
        <v>258</v>
      </c>
      <c r="M8" s="56" t="s">
        <v>258</v>
      </c>
      <c r="N8" s="56" t="s">
        <v>258</v>
      </c>
      <c r="O8" s="56" t="s">
        <v>258</v>
      </c>
      <c r="P8" s="56" t="s">
        <v>258</v>
      </c>
      <c r="Q8" s="56" t="s">
        <v>257</v>
      </c>
      <c r="R8" s="56" t="s">
        <v>257</v>
      </c>
      <c r="S8" s="51" t="s">
        <v>229</v>
      </c>
      <c r="T8" s="51" t="s">
        <v>229</v>
      </c>
      <c r="U8" s="51" t="s">
        <v>230</v>
      </c>
      <c r="V8" s="51" t="s">
        <v>230</v>
      </c>
      <c r="W8" s="51" t="s">
        <v>254</v>
      </c>
      <c r="X8" s="51" t="s">
        <v>257</v>
      </c>
      <c r="Y8" s="51" t="s">
        <v>257</v>
      </c>
      <c r="Z8" s="51" t="s">
        <v>257</v>
      </c>
      <c r="AA8" s="51" t="s">
        <v>229</v>
      </c>
      <c r="AB8" s="51" t="s">
        <v>253</v>
      </c>
      <c r="AC8" s="51" t="s">
        <v>230</v>
      </c>
      <c r="AD8" s="51" t="s">
        <v>254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56" t="s">
        <v>229</v>
      </c>
      <c r="AJ8" s="56" t="s">
        <v>230</v>
      </c>
      <c r="AL8" s="50">
        <f t="shared" si="0"/>
        <v>1</v>
      </c>
      <c r="AM8" s="50">
        <f t="shared" si="1"/>
        <v>4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37">
        <v>5</v>
      </c>
      <c r="C9" s="149" t="s">
        <v>152</v>
      </c>
      <c r="D9" s="149"/>
      <c r="F9" s="51" t="s">
        <v>254</v>
      </c>
      <c r="G9" s="51" t="s">
        <v>257</v>
      </c>
      <c r="H9" s="51" t="s">
        <v>257</v>
      </c>
      <c r="I9" s="51" t="s">
        <v>257</v>
      </c>
      <c r="J9" s="51" t="s">
        <v>229</v>
      </c>
      <c r="K9" s="51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51" t="s">
        <v>229</v>
      </c>
      <c r="S9" s="51" t="s">
        <v>230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51" t="s">
        <v>229</v>
      </c>
      <c r="AA9" s="51" t="s">
        <v>229</v>
      </c>
      <c r="AB9" s="51" t="s">
        <v>230</v>
      </c>
      <c r="AC9" s="51" t="s">
        <v>254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51" t="s">
        <v>229</v>
      </c>
      <c r="AI9" s="51" t="s">
        <v>230</v>
      </c>
      <c r="AJ9" s="51" t="s">
        <v>230</v>
      </c>
      <c r="AL9" s="50">
        <f t="shared" si="0"/>
        <v>0</v>
      </c>
      <c r="AM9" s="50">
        <f t="shared" si="1"/>
        <v>6</v>
      </c>
      <c r="AN9" s="50">
        <f t="shared" si="2"/>
        <v>6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37">
        <v>6</v>
      </c>
      <c r="C10" s="149" t="s">
        <v>153</v>
      </c>
      <c r="D10" s="149"/>
      <c r="F10" s="51" t="s">
        <v>257</v>
      </c>
      <c r="G10" s="51" t="s">
        <v>257</v>
      </c>
      <c r="H10" s="51" t="s">
        <v>257</v>
      </c>
      <c r="I10" s="51" t="s">
        <v>229</v>
      </c>
      <c r="J10" s="51" t="s">
        <v>144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51" t="s">
        <v>229</v>
      </c>
      <c r="R10" s="51" t="s">
        <v>230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51" t="s">
        <v>229</v>
      </c>
      <c r="Z10" s="51" t="s">
        <v>230</v>
      </c>
      <c r="AA10" s="51" t="s">
        <v>230</v>
      </c>
      <c r="AB10" s="51" t="s">
        <v>254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51" t="s">
        <v>229</v>
      </c>
      <c r="AH10" s="51" t="s">
        <v>230</v>
      </c>
      <c r="AI10" s="51" t="s">
        <v>230</v>
      </c>
      <c r="AJ10" s="51" t="s">
        <v>254</v>
      </c>
      <c r="AL10" s="50">
        <f t="shared" si="0"/>
        <v>0</v>
      </c>
      <c r="AM10" s="50">
        <f t="shared" si="1"/>
        <v>4</v>
      </c>
      <c r="AN10" s="50">
        <f t="shared" si="2"/>
        <v>7</v>
      </c>
      <c r="AO10" s="50">
        <f t="shared" si="3"/>
        <v>7</v>
      </c>
      <c r="AP10" s="50">
        <f t="shared" si="4"/>
        <v>12</v>
      </c>
    </row>
    <row r="11" spans="2:42" ht="18.75" x14ac:dyDescent="0.25">
      <c r="B11" s="37">
        <v>7</v>
      </c>
      <c r="C11" s="149" t="s">
        <v>154</v>
      </c>
      <c r="D11" s="149"/>
      <c r="F11" s="51" t="s">
        <v>257</v>
      </c>
      <c r="G11" s="51" t="s">
        <v>257</v>
      </c>
      <c r="H11" s="51" t="s">
        <v>229</v>
      </c>
      <c r="I11" s="51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103" t="s">
        <v>229</v>
      </c>
      <c r="Q11" s="104" t="s">
        <v>144</v>
      </c>
      <c r="R11" s="104" t="s">
        <v>230</v>
      </c>
      <c r="S11" s="104" t="s">
        <v>254</v>
      </c>
      <c r="T11" s="104" t="s">
        <v>254</v>
      </c>
      <c r="U11" s="56" t="s">
        <v>257</v>
      </c>
      <c r="V11" s="57" t="s">
        <v>257</v>
      </c>
      <c r="W11" s="51" t="s">
        <v>257</v>
      </c>
      <c r="X11" s="51" t="s">
        <v>229</v>
      </c>
      <c r="Y11" s="51" t="s">
        <v>230</v>
      </c>
      <c r="Z11" s="51" t="s">
        <v>230</v>
      </c>
      <c r="AA11" s="51" t="s">
        <v>230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51" t="s">
        <v>229</v>
      </c>
      <c r="AG11" s="51" t="s">
        <v>230</v>
      </c>
      <c r="AH11" s="51" t="s">
        <v>230</v>
      </c>
      <c r="AI11" s="51" t="s">
        <v>254</v>
      </c>
      <c r="AJ11" s="51" t="s">
        <v>254</v>
      </c>
      <c r="AL11" s="50">
        <f t="shared" si="0"/>
        <v>0</v>
      </c>
      <c r="AM11" s="50">
        <f t="shared" si="1"/>
        <v>5</v>
      </c>
      <c r="AN11" s="50">
        <f t="shared" si="2"/>
        <v>7</v>
      </c>
      <c r="AO11" s="50">
        <f t="shared" si="3"/>
        <v>7</v>
      </c>
      <c r="AP11" s="50">
        <f t="shared" si="4"/>
        <v>11</v>
      </c>
    </row>
    <row r="12" spans="2:42" ht="18.75" x14ac:dyDescent="0.25">
      <c r="B12" s="37">
        <v>8</v>
      </c>
      <c r="C12" s="149" t="s">
        <v>155</v>
      </c>
      <c r="D12" s="149"/>
      <c r="F12" s="51" t="s">
        <v>257</v>
      </c>
      <c r="G12" s="51" t="s">
        <v>258</v>
      </c>
      <c r="H12" s="51" t="s">
        <v>258</v>
      </c>
      <c r="I12" s="51" t="s">
        <v>258</v>
      </c>
      <c r="J12" s="51" t="s">
        <v>258</v>
      </c>
      <c r="K12" s="51" t="s">
        <v>258</v>
      </c>
      <c r="L12" s="51" t="s">
        <v>258</v>
      </c>
      <c r="M12" s="51" t="s">
        <v>257</v>
      </c>
      <c r="N12" s="51" t="s">
        <v>257</v>
      </c>
      <c r="O12" s="103" t="s">
        <v>229</v>
      </c>
      <c r="P12" s="104" t="s">
        <v>230</v>
      </c>
      <c r="Q12" s="104" t="s">
        <v>230</v>
      </c>
      <c r="R12" s="104" t="s">
        <v>254</v>
      </c>
      <c r="S12" s="104" t="s">
        <v>254</v>
      </c>
      <c r="T12" s="56" t="s">
        <v>257</v>
      </c>
      <c r="U12" s="56" t="s">
        <v>257</v>
      </c>
      <c r="V12" s="57" t="s">
        <v>257</v>
      </c>
      <c r="W12" s="51" t="s">
        <v>229</v>
      </c>
      <c r="X12" s="51" t="s">
        <v>230</v>
      </c>
      <c r="Y12" s="51" t="s">
        <v>254</v>
      </c>
      <c r="Z12" s="51" t="s">
        <v>254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229</v>
      </c>
      <c r="AF12" s="51" t="s">
        <v>230</v>
      </c>
      <c r="AG12" s="51" t="s">
        <v>230</v>
      </c>
      <c r="AH12" s="51" t="s">
        <v>254</v>
      </c>
      <c r="AI12" s="51" t="s">
        <v>254</v>
      </c>
      <c r="AJ12" s="51" t="s">
        <v>257</v>
      </c>
      <c r="AL12" s="50">
        <f t="shared" si="0"/>
        <v>0</v>
      </c>
      <c r="AM12" s="50">
        <f t="shared" si="1"/>
        <v>3</v>
      </c>
      <c r="AN12" s="50">
        <f t="shared" si="2"/>
        <v>5</v>
      </c>
      <c r="AO12" s="50">
        <f t="shared" si="3"/>
        <v>7</v>
      </c>
      <c r="AP12" s="50">
        <f t="shared" si="4"/>
        <v>10</v>
      </c>
    </row>
    <row r="13" spans="2:42" ht="18.75" x14ac:dyDescent="0.25">
      <c r="B13" s="37">
        <v>9</v>
      </c>
      <c r="C13" s="149" t="s">
        <v>156</v>
      </c>
      <c r="D13" s="149"/>
      <c r="F13" s="51" t="s">
        <v>229</v>
      </c>
      <c r="G13" s="51" t="s">
        <v>230</v>
      </c>
      <c r="H13" s="51" t="s">
        <v>230</v>
      </c>
      <c r="I13" s="51" t="s">
        <v>230</v>
      </c>
      <c r="J13" s="51" t="s">
        <v>254</v>
      </c>
      <c r="K13" s="51" t="s">
        <v>257</v>
      </c>
      <c r="L13" s="51" t="s">
        <v>257</v>
      </c>
      <c r="M13" s="51" t="s">
        <v>257</v>
      </c>
      <c r="N13" s="103" t="s">
        <v>229</v>
      </c>
      <c r="O13" s="104" t="s">
        <v>230</v>
      </c>
      <c r="P13" s="104" t="s">
        <v>230</v>
      </c>
      <c r="Q13" s="104" t="s">
        <v>254</v>
      </c>
      <c r="R13" s="104" t="s">
        <v>254</v>
      </c>
      <c r="S13" s="56" t="s">
        <v>257</v>
      </c>
      <c r="T13" s="56" t="s">
        <v>257</v>
      </c>
      <c r="U13" s="56" t="s">
        <v>257</v>
      </c>
      <c r="V13" s="51" t="s">
        <v>258</v>
      </c>
      <c r="W13" s="51" t="s">
        <v>258</v>
      </c>
      <c r="X13" s="51" t="s">
        <v>258</v>
      </c>
      <c r="Y13" s="51" t="s">
        <v>258</v>
      </c>
      <c r="Z13" s="51" t="s">
        <v>258</v>
      </c>
      <c r="AA13" s="51" t="s">
        <v>258</v>
      </c>
      <c r="AB13" s="51" t="s">
        <v>257</v>
      </c>
      <c r="AC13" s="51" t="s">
        <v>257</v>
      </c>
      <c r="AD13" s="51" t="s">
        <v>229</v>
      </c>
      <c r="AE13" s="51" t="s">
        <v>230</v>
      </c>
      <c r="AF13" s="51" t="s">
        <v>230</v>
      </c>
      <c r="AG13" s="51" t="s">
        <v>254</v>
      </c>
      <c r="AH13" s="51" t="s">
        <v>254</v>
      </c>
      <c r="AI13" s="51" t="s">
        <v>257</v>
      </c>
      <c r="AJ13" s="51" t="s">
        <v>257</v>
      </c>
      <c r="AL13" s="50">
        <f t="shared" si="0"/>
        <v>0</v>
      </c>
      <c r="AM13" s="50">
        <f t="shared" si="1"/>
        <v>3</v>
      </c>
      <c r="AN13" s="50">
        <f t="shared" si="2"/>
        <v>7</v>
      </c>
      <c r="AO13" s="50">
        <f t="shared" si="3"/>
        <v>5</v>
      </c>
      <c r="AP13" s="50">
        <f t="shared" si="4"/>
        <v>10</v>
      </c>
    </row>
    <row r="14" spans="2:42" ht="18.75" x14ac:dyDescent="0.25">
      <c r="B14" s="37">
        <v>10</v>
      </c>
      <c r="C14" s="149" t="s">
        <v>157</v>
      </c>
      <c r="D14" s="149"/>
      <c r="F14" s="51" t="s">
        <v>230</v>
      </c>
      <c r="G14" s="51" t="s">
        <v>230</v>
      </c>
      <c r="H14" s="51" t="s">
        <v>254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103" t="s">
        <v>229</v>
      </c>
      <c r="N14" s="104" t="s">
        <v>230</v>
      </c>
      <c r="O14" s="104" t="s">
        <v>230</v>
      </c>
      <c r="P14" s="104" t="s">
        <v>254</v>
      </c>
      <c r="Q14" s="104" t="s">
        <v>254</v>
      </c>
      <c r="R14" s="51" t="s">
        <v>257</v>
      </c>
      <c r="S14" s="51" t="s">
        <v>257</v>
      </c>
      <c r="T14" s="51" t="s">
        <v>257</v>
      </c>
      <c r="U14" s="51" t="s">
        <v>229</v>
      </c>
      <c r="V14" s="51" t="s">
        <v>229</v>
      </c>
      <c r="W14" s="51" t="s">
        <v>230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51" t="s">
        <v>229</v>
      </c>
      <c r="AD14" s="51" t="s">
        <v>229</v>
      </c>
      <c r="AE14" s="51" t="s">
        <v>230</v>
      </c>
      <c r="AF14" s="51" t="s">
        <v>254</v>
      </c>
      <c r="AG14" s="51" t="s">
        <v>254</v>
      </c>
      <c r="AH14" s="51" t="s">
        <v>257</v>
      </c>
      <c r="AI14" s="51" t="s">
        <v>257</v>
      </c>
      <c r="AJ14" s="51" t="s">
        <v>257</v>
      </c>
      <c r="AL14" s="50">
        <f t="shared" si="0"/>
        <v>0</v>
      </c>
      <c r="AM14" s="50">
        <f t="shared" si="1"/>
        <v>5</v>
      </c>
      <c r="AN14" s="50">
        <f t="shared" si="2"/>
        <v>7</v>
      </c>
      <c r="AO14" s="50">
        <f t="shared" si="3"/>
        <v>7</v>
      </c>
      <c r="AP14" s="50">
        <f t="shared" si="4"/>
        <v>12</v>
      </c>
    </row>
    <row r="15" spans="2:42" ht="18.75" x14ac:dyDescent="0.25">
      <c r="B15" s="37">
        <v>11</v>
      </c>
      <c r="C15" s="149" t="s">
        <v>158</v>
      </c>
      <c r="D15" s="149"/>
      <c r="F15" s="51" t="s">
        <v>258</v>
      </c>
      <c r="G15" s="51" t="s">
        <v>258</v>
      </c>
      <c r="H15" s="51" t="s">
        <v>258</v>
      </c>
      <c r="I15" s="51" t="s">
        <v>258</v>
      </c>
      <c r="J15" s="51" t="s">
        <v>258</v>
      </c>
      <c r="K15" s="51" t="s">
        <v>258</v>
      </c>
      <c r="L15" s="51" t="s">
        <v>258</v>
      </c>
      <c r="M15" s="51" t="s">
        <v>258</v>
      </c>
      <c r="N15" s="51" t="s">
        <v>258</v>
      </c>
      <c r="O15" s="51" t="s">
        <v>258</v>
      </c>
      <c r="P15" s="51" t="s">
        <v>258</v>
      </c>
      <c r="Q15" s="51" t="s">
        <v>258</v>
      </c>
      <c r="R15" s="51" t="s">
        <v>257</v>
      </c>
      <c r="S15" s="51" t="s">
        <v>257</v>
      </c>
      <c r="T15" s="51" t="s">
        <v>229</v>
      </c>
      <c r="U15" s="51" t="s">
        <v>229</v>
      </c>
      <c r="V15" s="112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51" t="s">
        <v>229</v>
      </c>
      <c r="AC15" s="51" t="s">
        <v>230</v>
      </c>
      <c r="AD15" s="51" t="s">
        <v>230</v>
      </c>
      <c r="AE15" s="51" t="s">
        <v>144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51" t="s">
        <v>229</v>
      </c>
      <c r="AL15" s="50">
        <f t="shared" si="0"/>
        <v>0</v>
      </c>
      <c r="AM15" s="50">
        <f t="shared" si="1"/>
        <v>4</v>
      </c>
      <c r="AN15" s="50">
        <f t="shared" si="2"/>
        <v>4</v>
      </c>
      <c r="AO15" s="50">
        <f t="shared" si="3"/>
        <v>2</v>
      </c>
      <c r="AP15" s="50">
        <f t="shared" si="4"/>
        <v>8</v>
      </c>
    </row>
    <row r="16" spans="2:42" ht="18.75" x14ac:dyDescent="0.25">
      <c r="B16" s="37">
        <v>12</v>
      </c>
      <c r="C16" s="149" t="s">
        <v>166</v>
      </c>
      <c r="D16" s="149"/>
      <c r="F16" s="51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51" t="s">
        <v>229</v>
      </c>
      <c r="L16" s="51" t="s">
        <v>230</v>
      </c>
      <c r="M16" s="51" t="s">
        <v>230</v>
      </c>
      <c r="N16" s="51" t="s">
        <v>254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51" t="s">
        <v>229</v>
      </c>
      <c r="T16" s="51" t="s">
        <v>230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51" t="s">
        <v>229</v>
      </c>
      <c r="AB16" s="51" t="s">
        <v>230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51" t="s">
        <v>258</v>
      </c>
      <c r="AJ16" s="51" t="s">
        <v>258</v>
      </c>
      <c r="AL16" s="50">
        <f t="shared" si="0"/>
        <v>0</v>
      </c>
      <c r="AM16" s="50">
        <f t="shared" si="1"/>
        <v>3</v>
      </c>
      <c r="AN16" s="50">
        <f t="shared" si="2"/>
        <v>6</v>
      </c>
      <c r="AO16" s="50">
        <f t="shared" si="3"/>
        <v>8</v>
      </c>
      <c r="AP16" s="50">
        <f t="shared" si="4"/>
        <v>12</v>
      </c>
    </row>
    <row r="17" spans="2:42" ht="18.75" x14ac:dyDescent="0.25">
      <c r="B17" s="37">
        <v>13</v>
      </c>
      <c r="C17" s="149" t="s">
        <v>159</v>
      </c>
      <c r="D17" s="149"/>
      <c r="F17" s="51" t="s">
        <v>254</v>
      </c>
      <c r="G17" s="51" t="s">
        <v>257</v>
      </c>
      <c r="H17" s="51" t="s">
        <v>257</v>
      </c>
      <c r="I17" s="51" t="s">
        <v>257</v>
      </c>
      <c r="J17" s="51" t="s">
        <v>144</v>
      </c>
      <c r="K17" s="51" t="s">
        <v>229</v>
      </c>
      <c r="L17" s="51" t="s">
        <v>229</v>
      </c>
      <c r="M17" s="51" t="s">
        <v>230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51" t="s">
        <v>229</v>
      </c>
      <c r="S17" s="51" t="s">
        <v>229</v>
      </c>
      <c r="T17" s="51" t="s">
        <v>229</v>
      </c>
      <c r="U17" s="51" t="s">
        <v>230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51" t="s">
        <v>229</v>
      </c>
      <c r="AA17" s="51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51" t="s">
        <v>229</v>
      </c>
      <c r="AI17" s="51" t="s">
        <v>229</v>
      </c>
      <c r="AJ17" s="51" t="s">
        <v>230</v>
      </c>
      <c r="AL17" s="50">
        <f t="shared" si="0"/>
        <v>0</v>
      </c>
      <c r="AM17" s="50">
        <f t="shared" si="1"/>
        <v>9</v>
      </c>
      <c r="AN17" s="50">
        <f t="shared" si="2"/>
        <v>4</v>
      </c>
      <c r="AO17" s="50">
        <f t="shared" si="3"/>
        <v>5</v>
      </c>
      <c r="AP17" s="50">
        <f t="shared" si="4"/>
        <v>12</v>
      </c>
    </row>
    <row r="18" spans="2:42" ht="18.75" x14ac:dyDescent="0.25">
      <c r="B18" s="37">
        <v>14</v>
      </c>
      <c r="C18" s="149" t="s">
        <v>160</v>
      </c>
      <c r="D18" s="149"/>
      <c r="F18" s="51" t="s">
        <v>257</v>
      </c>
      <c r="G18" s="51" t="s">
        <v>257</v>
      </c>
      <c r="H18" s="51" t="s">
        <v>257</v>
      </c>
      <c r="I18" s="51" t="s">
        <v>258</v>
      </c>
      <c r="J18" s="51" t="s">
        <v>229</v>
      </c>
      <c r="K18" s="51" t="s">
        <v>258</v>
      </c>
      <c r="L18" s="51" t="s">
        <v>230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51" t="s">
        <v>229</v>
      </c>
      <c r="R18" s="51" t="s">
        <v>144</v>
      </c>
      <c r="S18" s="51" t="s">
        <v>230</v>
      </c>
      <c r="T18" s="51" t="s">
        <v>254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51" t="s">
        <v>229</v>
      </c>
      <c r="Z18" s="51" t="s">
        <v>229</v>
      </c>
      <c r="AA18" s="51" t="s">
        <v>230</v>
      </c>
      <c r="AB18" s="51" t="s">
        <v>230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51" t="s">
        <v>229</v>
      </c>
      <c r="AH18" s="51" t="s">
        <v>229</v>
      </c>
      <c r="AI18" s="51" t="s">
        <v>230</v>
      </c>
      <c r="AJ18" s="51" t="s">
        <v>254</v>
      </c>
      <c r="AL18" s="50">
        <f t="shared" si="0"/>
        <v>0</v>
      </c>
      <c r="AM18" s="50">
        <f t="shared" si="1"/>
        <v>6</v>
      </c>
      <c r="AN18" s="50">
        <f t="shared" si="2"/>
        <v>5</v>
      </c>
      <c r="AO18" s="50">
        <f t="shared" si="3"/>
        <v>5</v>
      </c>
      <c r="AP18" s="50">
        <f t="shared" si="4"/>
        <v>12</v>
      </c>
    </row>
    <row r="19" spans="2:42" ht="18.75" x14ac:dyDescent="0.25">
      <c r="B19" s="37">
        <v>15</v>
      </c>
      <c r="C19" s="149" t="s">
        <v>161</v>
      </c>
      <c r="D19" s="149"/>
      <c r="F19" s="51" t="s">
        <v>257</v>
      </c>
      <c r="G19" s="51" t="s">
        <v>257</v>
      </c>
      <c r="H19" s="51" t="s">
        <v>229</v>
      </c>
      <c r="I19" s="51" t="s">
        <v>229</v>
      </c>
      <c r="J19" s="51" t="s">
        <v>229</v>
      </c>
      <c r="K19" s="51" t="s">
        <v>144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51" t="s">
        <v>229</v>
      </c>
      <c r="Q19" s="51" t="s">
        <v>230</v>
      </c>
      <c r="R19" s="51" t="s">
        <v>230</v>
      </c>
      <c r="S19" s="51" t="s">
        <v>254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51" t="s">
        <v>258</v>
      </c>
      <c r="Y19" s="51" t="s">
        <v>258</v>
      </c>
      <c r="Z19" s="51" t="s">
        <v>258</v>
      </c>
      <c r="AA19" s="51" t="s">
        <v>258</v>
      </c>
      <c r="AB19" s="51" t="s">
        <v>258</v>
      </c>
      <c r="AC19" s="51" t="s">
        <v>258</v>
      </c>
      <c r="AD19" s="51" t="s">
        <v>257</v>
      </c>
      <c r="AE19" s="51" t="s">
        <v>257</v>
      </c>
      <c r="AF19" s="51" t="s">
        <v>229</v>
      </c>
      <c r="AG19" s="51" t="s">
        <v>230</v>
      </c>
      <c r="AH19" s="51" t="s">
        <v>230</v>
      </c>
      <c r="AI19" s="51" t="s">
        <v>254</v>
      </c>
      <c r="AJ19" s="51" t="s">
        <v>254</v>
      </c>
      <c r="AL19" s="50">
        <f t="shared" si="0"/>
        <v>0</v>
      </c>
      <c r="AM19" s="50">
        <f t="shared" si="1"/>
        <v>5</v>
      </c>
      <c r="AN19" s="50">
        <f t="shared" si="2"/>
        <v>4</v>
      </c>
      <c r="AO19" s="50">
        <f t="shared" si="3"/>
        <v>5</v>
      </c>
      <c r="AP19" s="50">
        <f t="shared" si="4"/>
        <v>10</v>
      </c>
    </row>
    <row r="20" spans="2:42" ht="18.75" x14ac:dyDescent="0.25">
      <c r="B20" s="37">
        <v>16</v>
      </c>
      <c r="C20" s="149" t="s">
        <v>162</v>
      </c>
      <c r="D20" s="149"/>
      <c r="F20" s="104" t="s">
        <v>257</v>
      </c>
      <c r="G20" s="51" t="s">
        <v>229</v>
      </c>
      <c r="H20" s="51" t="s">
        <v>229</v>
      </c>
      <c r="I20" s="51" t="s">
        <v>230</v>
      </c>
      <c r="J20" s="51" t="s">
        <v>230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51" t="s">
        <v>258</v>
      </c>
      <c r="P20" s="51" t="s">
        <v>258</v>
      </c>
      <c r="Q20" s="51" t="s">
        <v>258</v>
      </c>
      <c r="R20" s="51" t="s">
        <v>258</v>
      </c>
      <c r="S20" s="51" t="s">
        <v>258</v>
      </c>
      <c r="T20" s="51" t="s">
        <v>258</v>
      </c>
      <c r="U20" s="51" t="s">
        <v>257</v>
      </c>
      <c r="V20" s="51" t="s">
        <v>257</v>
      </c>
      <c r="W20" s="103" t="s">
        <v>229</v>
      </c>
      <c r="X20" s="104" t="s">
        <v>230</v>
      </c>
      <c r="Y20" s="104" t="s">
        <v>230</v>
      </c>
      <c r="Z20" s="104" t="s">
        <v>254</v>
      </c>
      <c r="AA20" s="104" t="s">
        <v>254</v>
      </c>
      <c r="AB20" s="103" t="s">
        <v>257</v>
      </c>
      <c r="AC20" s="104" t="s">
        <v>257</v>
      </c>
      <c r="AD20" s="104" t="s">
        <v>257</v>
      </c>
      <c r="AE20" s="51" t="s">
        <v>229</v>
      </c>
      <c r="AF20" s="51" t="s">
        <v>229</v>
      </c>
      <c r="AG20" s="51" t="s">
        <v>230</v>
      </c>
      <c r="AH20" s="51" t="s">
        <v>254</v>
      </c>
      <c r="AI20" s="51" t="s">
        <v>254</v>
      </c>
      <c r="AJ20" s="51" t="s">
        <v>257</v>
      </c>
      <c r="AL20" s="50">
        <f t="shared" si="0"/>
        <v>0</v>
      </c>
      <c r="AM20" s="50">
        <f t="shared" si="1"/>
        <v>5</v>
      </c>
      <c r="AN20" s="50">
        <f t="shared" si="2"/>
        <v>5</v>
      </c>
      <c r="AO20" s="50">
        <f t="shared" si="3"/>
        <v>5</v>
      </c>
      <c r="AP20" s="50">
        <f t="shared" si="4"/>
        <v>10</v>
      </c>
    </row>
    <row r="21" spans="2:42" ht="18.75" x14ac:dyDescent="0.25">
      <c r="B21" s="37">
        <v>17</v>
      </c>
      <c r="C21" s="149" t="s">
        <v>163</v>
      </c>
      <c r="D21" s="149"/>
      <c r="F21" s="51" t="s">
        <v>229</v>
      </c>
      <c r="G21" s="51" t="s">
        <v>229</v>
      </c>
      <c r="H21" s="51" t="s">
        <v>230</v>
      </c>
      <c r="I21" s="51" t="s">
        <v>254</v>
      </c>
      <c r="J21" s="51" t="s">
        <v>254</v>
      </c>
      <c r="K21" s="51" t="s">
        <v>257</v>
      </c>
      <c r="L21" s="51" t="s">
        <v>257</v>
      </c>
      <c r="M21" s="51" t="s">
        <v>257</v>
      </c>
      <c r="N21" s="51" t="s">
        <v>229</v>
      </c>
      <c r="O21" s="51" t="s">
        <v>230</v>
      </c>
      <c r="P21" s="51" t="s">
        <v>230</v>
      </c>
      <c r="Q21" s="51" t="s">
        <v>254</v>
      </c>
      <c r="R21" s="51" t="s">
        <v>254</v>
      </c>
      <c r="S21" s="51" t="s">
        <v>257</v>
      </c>
      <c r="T21" s="51" t="s">
        <v>257</v>
      </c>
      <c r="U21" s="51" t="s">
        <v>257</v>
      </c>
      <c r="V21" s="57" t="s">
        <v>258</v>
      </c>
      <c r="W21" s="51" t="s">
        <v>258</v>
      </c>
      <c r="X21" s="51" t="s">
        <v>258</v>
      </c>
      <c r="Y21" s="51" t="s">
        <v>258</v>
      </c>
      <c r="Z21" s="51" t="s">
        <v>258</v>
      </c>
      <c r="AA21" s="51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258</v>
      </c>
      <c r="AH21" s="51" t="s">
        <v>258</v>
      </c>
      <c r="AI21" s="51" t="s">
        <v>258</v>
      </c>
      <c r="AJ21" s="51" t="s">
        <v>257</v>
      </c>
      <c r="AL21" s="50">
        <f t="shared" si="0"/>
        <v>0</v>
      </c>
      <c r="AM21" s="50">
        <f t="shared" si="1"/>
        <v>3</v>
      </c>
      <c r="AN21" s="50">
        <f t="shared" si="2"/>
        <v>3</v>
      </c>
      <c r="AO21" s="50">
        <f t="shared" si="3"/>
        <v>4</v>
      </c>
      <c r="AP21" s="50">
        <f t="shared" si="4"/>
        <v>7</v>
      </c>
    </row>
    <row r="22" spans="2:42" ht="18.75" x14ac:dyDescent="0.25">
      <c r="B22" s="37">
        <v>18</v>
      </c>
      <c r="C22" s="149" t="s">
        <v>164</v>
      </c>
      <c r="D22" s="149"/>
      <c r="F22" s="51" t="s">
        <v>258</v>
      </c>
      <c r="G22" s="51" t="s">
        <v>258</v>
      </c>
      <c r="H22" s="51" t="s">
        <v>258</v>
      </c>
      <c r="I22" s="51" t="s">
        <v>258</v>
      </c>
      <c r="J22" s="51" t="s">
        <v>258</v>
      </c>
      <c r="K22" s="51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258</v>
      </c>
      <c r="Q22" s="51" t="s">
        <v>258</v>
      </c>
      <c r="R22" s="51" t="s">
        <v>258</v>
      </c>
      <c r="S22" s="51" t="s">
        <v>258</v>
      </c>
      <c r="T22" s="51" t="s">
        <v>258</v>
      </c>
      <c r="U22" s="51" t="s">
        <v>258</v>
      </c>
      <c r="V22" s="51" t="s">
        <v>258</v>
      </c>
      <c r="W22" s="51" t="s">
        <v>230</v>
      </c>
      <c r="X22" s="51" t="s">
        <v>254</v>
      </c>
      <c r="Y22" s="51" t="s">
        <v>257</v>
      </c>
      <c r="Z22" s="51" t="s">
        <v>257</v>
      </c>
      <c r="AA22" s="51" t="s">
        <v>257</v>
      </c>
      <c r="AB22" s="51" t="s">
        <v>229</v>
      </c>
      <c r="AC22" s="51" t="s">
        <v>253</v>
      </c>
      <c r="AD22" s="51" t="s">
        <v>230</v>
      </c>
      <c r="AE22" s="51" t="s">
        <v>254</v>
      </c>
      <c r="AF22" s="51" t="s">
        <v>254</v>
      </c>
      <c r="AG22" s="51" t="s">
        <v>257</v>
      </c>
      <c r="AH22" s="51" t="s">
        <v>257</v>
      </c>
      <c r="AI22" s="51" t="s">
        <v>257</v>
      </c>
      <c r="AJ22" s="51" t="s">
        <v>229</v>
      </c>
      <c r="AL22" s="50">
        <f t="shared" si="0"/>
        <v>1</v>
      </c>
      <c r="AM22" s="50">
        <f t="shared" si="1"/>
        <v>2</v>
      </c>
      <c r="AN22" s="50">
        <f t="shared" si="2"/>
        <v>2</v>
      </c>
      <c r="AO22" s="50">
        <f t="shared" si="3"/>
        <v>3</v>
      </c>
      <c r="AP22" s="50">
        <f t="shared" si="4"/>
        <v>6</v>
      </c>
    </row>
    <row r="23" spans="2:42" ht="18.75" x14ac:dyDescent="0.25">
      <c r="B23" s="37">
        <v>19</v>
      </c>
      <c r="C23" s="149" t="s">
        <v>165</v>
      </c>
      <c r="D23" s="149"/>
      <c r="F23" s="51" t="s">
        <v>258</v>
      </c>
      <c r="G23" s="51" t="s">
        <v>258</v>
      </c>
      <c r="H23" s="51" t="s">
        <v>258</v>
      </c>
      <c r="I23" s="51" t="s">
        <v>257</v>
      </c>
      <c r="J23" s="51" t="s">
        <v>257</v>
      </c>
      <c r="K23" s="51" t="s">
        <v>229</v>
      </c>
      <c r="L23" s="51" t="s">
        <v>144</v>
      </c>
      <c r="M23" s="51" t="s">
        <v>230</v>
      </c>
      <c r="N23" s="51" t="s">
        <v>254</v>
      </c>
      <c r="O23" s="51" t="s">
        <v>254</v>
      </c>
      <c r="P23" s="51" t="s">
        <v>257</v>
      </c>
      <c r="Q23" s="51" t="s">
        <v>257</v>
      </c>
      <c r="R23" s="51" t="s">
        <v>257</v>
      </c>
      <c r="S23" s="51" t="s">
        <v>229</v>
      </c>
      <c r="T23" s="51" t="s">
        <v>230</v>
      </c>
      <c r="U23" s="51" t="s">
        <v>230</v>
      </c>
      <c r="V23" s="51" t="s">
        <v>230</v>
      </c>
      <c r="W23" s="51" t="s">
        <v>254</v>
      </c>
      <c r="X23" s="51" t="s">
        <v>257</v>
      </c>
      <c r="Y23" s="51" t="s">
        <v>257</v>
      </c>
      <c r="Z23" s="51" t="s">
        <v>257</v>
      </c>
      <c r="AA23" s="51" t="s">
        <v>144</v>
      </c>
      <c r="AB23" s="51" t="s">
        <v>230</v>
      </c>
      <c r="AC23" s="51" t="s">
        <v>230</v>
      </c>
      <c r="AD23" s="51" t="s">
        <v>254</v>
      </c>
      <c r="AE23" s="51" t="s">
        <v>254</v>
      </c>
      <c r="AF23" s="51" t="s">
        <v>257</v>
      </c>
      <c r="AG23" s="51" t="s">
        <v>257</v>
      </c>
      <c r="AH23" s="51" t="s">
        <v>257</v>
      </c>
      <c r="AI23" s="51" t="s">
        <v>229</v>
      </c>
      <c r="AJ23" s="51" t="s">
        <v>230</v>
      </c>
      <c r="AL23" s="50">
        <f t="shared" si="0"/>
        <v>0</v>
      </c>
      <c r="AM23" s="50">
        <f t="shared" si="1"/>
        <v>3</v>
      </c>
      <c r="AN23" s="50">
        <f t="shared" si="2"/>
        <v>7</v>
      </c>
      <c r="AO23" s="50">
        <f t="shared" si="3"/>
        <v>5</v>
      </c>
      <c r="AP23" s="50">
        <f t="shared" si="4"/>
        <v>11</v>
      </c>
    </row>
    <row r="24" spans="2:42" ht="18.75" x14ac:dyDescent="0.25">
      <c r="B24" s="37">
        <v>20</v>
      </c>
      <c r="C24" s="149" t="s">
        <v>167</v>
      </c>
      <c r="D24" s="149"/>
      <c r="F24" s="104" t="s">
        <v>257</v>
      </c>
      <c r="G24" s="104" t="s">
        <v>257</v>
      </c>
      <c r="H24" s="103" t="s">
        <v>257</v>
      </c>
      <c r="I24" s="104" t="s">
        <v>229</v>
      </c>
      <c r="J24" s="104" t="s">
        <v>144</v>
      </c>
      <c r="K24" s="104" t="s">
        <v>230</v>
      </c>
      <c r="L24" s="104" t="s">
        <v>230</v>
      </c>
      <c r="M24" s="103" t="s">
        <v>254</v>
      </c>
      <c r="N24" s="104" t="s">
        <v>257</v>
      </c>
      <c r="O24" s="104" t="s">
        <v>257</v>
      </c>
      <c r="P24" s="104" t="s">
        <v>257</v>
      </c>
      <c r="Q24" s="104" t="s">
        <v>144</v>
      </c>
      <c r="R24" s="103" t="s">
        <v>229</v>
      </c>
      <c r="S24" s="104" t="s">
        <v>144</v>
      </c>
      <c r="T24" s="104" t="s">
        <v>254</v>
      </c>
      <c r="U24" s="104" t="s">
        <v>254</v>
      </c>
      <c r="V24" s="104" t="s">
        <v>257</v>
      </c>
      <c r="W24" s="104" t="s">
        <v>257</v>
      </c>
      <c r="X24" s="104" t="s">
        <v>257</v>
      </c>
      <c r="Y24" s="104" t="s">
        <v>229</v>
      </c>
      <c r="Z24" s="104" t="s">
        <v>229</v>
      </c>
      <c r="AA24" s="103" t="s">
        <v>230</v>
      </c>
      <c r="AB24" s="104" t="s">
        <v>254</v>
      </c>
      <c r="AC24" s="104" t="s">
        <v>254</v>
      </c>
      <c r="AD24" s="104" t="s">
        <v>257</v>
      </c>
      <c r="AE24" s="104" t="s">
        <v>257</v>
      </c>
      <c r="AF24" s="103" t="s">
        <v>257</v>
      </c>
      <c r="AG24" s="104" t="s">
        <v>229</v>
      </c>
      <c r="AH24" s="104" t="s">
        <v>230</v>
      </c>
      <c r="AI24" s="104" t="s">
        <v>230</v>
      </c>
      <c r="AJ24" s="104" t="s">
        <v>254</v>
      </c>
      <c r="AL24" s="50">
        <f t="shared" si="0"/>
        <v>0</v>
      </c>
      <c r="AM24" s="50">
        <f t="shared" si="1"/>
        <v>5</v>
      </c>
      <c r="AN24" s="50">
        <f t="shared" si="2"/>
        <v>5</v>
      </c>
      <c r="AO24" s="50">
        <f t="shared" si="3"/>
        <v>6</v>
      </c>
      <c r="AP24" s="50">
        <f t="shared" si="4"/>
        <v>12</v>
      </c>
    </row>
    <row r="25" spans="2:42" ht="18.75" x14ac:dyDescent="0.25">
      <c r="B25" s="37">
        <v>21</v>
      </c>
      <c r="C25" s="149" t="s">
        <v>168</v>
      </c>
      <c r="D25" s="149"/>
      <c r="F25" s="104" t="s">
        <v>257</v>
      </c>
      <c r="G25" s="104" t="s">
        <v>257</v>
      </c>
      <c r="H25" s="104" t="s">
        <v>258</v>
      </c>
      <c r="I25" s="104" t="s">
        <v>258</v>
      </c>
      <c r="J25" s="56" t="s">
        <v>258</v>
      </c>
      <c r="K25" s="56" t="s">
        <v>258</v>
      </c>
      <c r="L25" s="56" t="s">
        <v>258</v>
      </c>
      <c r="M25" s="56" t="s">
        <v>258</v>
      </c>
      <c r="N25" s="51" t="s">
        <v>258</v>
      </c>
      <c r="O25" s="51" t="s">
        <v>258</v>
      </c>
      <c r="P25" s="51" t="s">
        <v>258</v>
      </c>
      <c r="Q25" s="51" t="s">
        <v>258</v>
      </c>
      <c r="R25" s="51" t="s">
        <v>258</v>
      </c>
      <c r="S25" s="51" t="s">
        <v>258</v>
      </c>
      <c r="T25" s="51" t="s">
        <v>258</v>
      </c>
      <c r="U25" s="51" t="s">
        <v>258</v>
      </c>
      <c r="V25" s="51" t="s">
        <v>257</v>
      </c>
      <c r="W25" s="51" t="s">
        <v>257</v>
      </c>
      <c r="X25" s="103" t="s">
        <v>229</v>
      </c>
      <c r="Y25" s="104" t="s">
        <v>230</v>
      </c>
      <c r="Z25" s="104" t="s">
        <v>230</v>
      </c>
      <c r="AA25" s="104" t="s">
        <v>254</v>
      </c>
      <c r="AB25" s="104" t="s">
        <v>254</v>
      </c>
      <c r="AC25" s="103" t="s">
        <v>257</v>
      </c>
      <c r="AD25" s="104" t="s">
        <v>257</v>
      </c>
      <c r="AE25" s="104" t="s">
        <v>257</v>
      </c>
      <c r="AF25" s="104" t="s">
        <v>229</v>
      </c>
      <c r="AG25" s="104" t="s">
        <v>230</v>
      </c>
      <c r="AH25" s="56" t="s">
        <v>230</v>
      </c>
      <c r="AI25" s="56" t="s">
        <v>254</v>
      </c>
      <c r="AJ25" s="56" t="s">
        <v>254</v>
      </c>
      <c r="AL25" s="50">
        <f t="shared" si="0"/>
        <v>0</v>
      </c>
      <c r="AM25" s="50">
        <f t="shared" si="1"/>
        <v>2</v>
      </c>
      <c r="AN25" s="50">
        <f t="shared" si="2"/>
        <v>4</v>
      </c>
      <c r="AO25" s="50">
        <f t="shared" si="3"/>
        <v>4</v>
      </c>
      <c r="AP25" s="50">
        <f t="shared" si="4"/>
        <v>7</v>
      </c>
    </row>
    <row r="26" spans="2:42" ht="18.75" x14ac:dyDescent="0.25">
      <c r="B26" s="37">
        <v>22</v>
      </c>
      <c r="C26" s="149" t="s">
        <v>169</v>
      </c>
      <c r="D26" s="149"/>
      <c r="F26" s="51" t="s">
        <v>257</v>
      </c>
      <c r="G26" s="51" t="s">
        <v>229</v>
      </c>
      <c r="H26" s="51" t="s">
        <v>230</v>
      </c>
      <c r="I26" s="51" t="s">
        <v>230</v>
      </c>
      <c r="J26" s="51" t="s">
        <v>230</v>
      </c>
      <c r="K26" s="51" t="s">
        <v>254</v>
      </c>
      <c r="L26" s="51" t="s">
        <v>257</v>
      </c>
      <c r="M26" s="51" t="s">
        <v>257</v>
      </c>
      <c r="N26" s="51" t="s">
        <v>257</v>
      </c>
      <c r="O26" s="51" t="s">
        <v>229</v>
      </c>
      <c r="P26" s="51" t="s">
        <v>229</v>
      </c>
      <c r="Q26" s="51" t="s">
        <v>230</v>
      </c>
      <c r="R26" s="51" t="s">
        <v>230</v>
      </c>
      <c r="S26" s="51" t="s">
        <v>254</v>
      </c>
      <c r="T26" s="51" t="s">
        <v>257</v>
      </c>
      <c r="U26" s="51" t="s">
        <v>257</v>
      </c>
      <c r="V26" s="51" t="s">
        <v>257</v>
      </c>
      <c r="W26" s="51" t="s">
        <v>258</v>
      </c>
      <c r="X26" s="51" t="s">
        <v>258</v>
      </c>
      <c r="Y26" s="51" t="s">
        <v>258</v>
      </c>
      <c r="Z26" s="51" t="s">
        <v>258</v>
      </c>
      <c r="AA26" s="51" t="s">
        <v>258</v>
      </c>
      <c r="AB26" s="51" t="s">
        <v>258</v>
      </c>
      <c r="AC26" s="51" t="s">
        <v>258</v>
      </c>
      <c r="AD26" s="51" t="s">
        <v>258</v>
      </c>
      <c r="AE26" s="51" t="s">
        <v>258</v>
      </c>
      <c r="AF26" s="51" t="s">
        <v>258</v>
      </c>
      <c r="AG26" s="51" t="s">
        <v>258</v>
      </c>
      <c r="AH26" s="51" t="s">
        <v>258</v>
      </c>
      <c r="AI26" s="51" t="s">
        <v>258</v>
      </c>
      <c r="AJ26" s="51" t="s">
        <v>258</v>
      </c>
      <c r="AL26" s="50">
        <f t="shared" si="0"/>
        <v>0</v>
      </c>
      <c r="AM26" s="50">
        <f t="shared" si="1"/>
        <v>3</v>
      </c>
      <c r="AN26" s="50">
        <f t="shared" si="2"/>
        <v>5</v>
      </c>
      <c r="AO26" s="50">
        <f t="shared" si="3"/>
        <v>2</v>
      </c>
      <c r="AP26" s="50">
        <f t="shared" si="4"/>
        <v>7</v>
      </c>
    </row>
    <row r="27" spans="2:42" ht="18.75" x14ac:dyDescent="0.25">
      <c r="B27" s="37">
        <v>23</v>
      </c>
      <c r="C27" s="149" t="s">
        <v>148</v>
      </c>
      <c r="D27" s="149"/>
      <c r="F27" s="51" t="s">
        <v>229</v>
      </c>
      <c r="G27" s="51" t="s">
        <v>230</v>
      </c>
      <c r="H27" s="51" t="s">
        <v>230</v>
      </c>
      <c r="I27" s="51" t="s">
        <v>254</v>
      </c>
      <c r="J27" s="51" t="s">
        <v>254</v>
      </c>
      <c r="K27" s="51" t="s">
        <v>257</v>
      </c>
      <c r="L27" s="51" t="s">
        <v>257</v>
      </c>
      <c r="M27" s="51" t="s">
        <v>257</v>
      </c>
      <c r="N27" s="51" t="s">
        <v>229</v>
      </c>
      <c r="O27" s="51" t="s">
        <v>229</v>
      </c>
      <c r="P27" s="51" t="s">
        <v>230</v>
      </c>
      <c r="Q27" s="51" t="s">
        <v>230</v>
      </c>
      <c r="R27" s="51" t="s">
        <v>254</v>
      </c>
      <c r="S27" s="51" t="s">
        <v>257</v>
      </c>
      <c r="T27" s="51" t="s">
        <v>257</v>
      </c>
      <c r="U27" s="51" t="s">
        <v>257</v>
      </c>
      <c r="V27" s="51" t="s">
        <v>229</v>
      </c>
      <c r="W27" s="104" t="s">
        <v>229</v>
      </c>
      <c r="X27" s="104" t="s">
        <v>230</v>
      </c>
      <c r="Y27" s="104" t="s">
        <v>254</v>
      </c>
      <c r="Z27" s="104" t="s">
        <v>254</v>
      </c>
      <c r="AA27" s="51" t="s">
        <v>257</v>
      </c>
      <c r="AB27" s="51" t="s">
        <v>257</v>
      </c>
      <c r="AC27" s="51" t="s">
        <v>257</v>
      </c>
      <c r="AD27" s="51" t="s">
        <v>229</v>
      </c>
      <c r="AE27" s="51" t="s">
        <v>230</v>
      </c>
      <c r="AF27" s="51" t="s">
        <v>230</v>
      </c>
      <c r="AG27" s="51" t="s">
        <v>254</v>
      </c>
      <c r="AH27" s="51" t="s">
        <v>254</v>
      </c>
      <c r="AI27" s="51" t="s">
        <v>257</v>
      </c>
      <c r="AJ27" s="51" t="s">
        <v>257</v>
      </c>
      <c r="AL27" s="50">
        <f t="shared" si="0"/>
        <v>0</v>
      </c>
      <c r="AM27" s="50">
        <f t="shared" si="1"/>
        <v>6</v>
      </c>
      <c r="AN27" s="50">
        <f t="shared" si="2"/>
        <v>7</v>
      </c>
      <c r="AO27" s="50">
        <f t="shared" si="3"/>
        <v>7</v>
      </c>
      <c r="AP27" s="50">
        <f t="shared" si="4"/>
        <v>11</v>
      </c>
    </row>
    <row r="28" spans="2:42" ht="18.75" x14ac:dyDescent="0.25">
      <c r="B28" s="37">
        <v>24</v>
      </c>
      <c r="C28" s="149" t="s">
        <v>171</v>
      </c>
      <c r="D28" s="149"/>
      <c r="F28" s="51" t="s">
        <v>230</v>
      </c>
      <c r="G28" s="51" t="s">
        <v>230</v>
      </c>
      <c r="H28" s="51" t="s">
        <v>254</v>
      </c>
      <c r="I28" s="51" t="s">
        <v>254</v>
      </c>
      <c r="J28" s="51" t="s">
        <v>257</v>
      </c>
      <c r="K28" s="51" t="s">
        <v>257</v>
      </c>
      <c r="L28" s="51" t="s">
        <v>257</v>
      </c>
      <c r="M28" s="51" t="s">
        <v>229</v>
      </c>
      <c r="N28" s="51" t="s">
        <v>230</v>
      </c>
      <c r="O28" s="51" t="s">
        <v>230</v>
      </c>
      <c r="P28" s="51" t="s">
        <v>254</v>
      </c>
      <c r="Q28" s="51" t="s">
        <v>254</v>
      </c>
      <c r="R28" s="51" t="s">
        <v>257</v>
      </c>
      <c r="S28" s="51" t="s">
        <v>257</v>
      </c>
      <c r="T28" s="51" t="s">
        <v>257</v>
      </c>
      <c r="U28" s="51" t="s">
        <v>258</v>
      </c>
      <c r="V28" s="51" t="s">
        <v>258</v>
      </c>
      <c r="W28" s="51" t="s">
        <v>258</v>
      </c>
      <c r="X28" s="51" t="s">
        <v>258</v>
      </c>
      <c r="Y28" s="51" t="s">
        <v>258</v>
      </c>
      <c r="Z28" s="51" t="s">
        <v>258</v>
      </c>
      <c r="AA28" s="51" t="s">
        <v>258</v>
      </c>
      <c r="AB28" s="51" t="s">
        <v>258</v>
      </c>
      <c r="AC28" s="51" t="s">
        <v>258</v>
      </c>
      <c r="AD28" s="51" t="s">
        <v>258</v>
      </c>
      <c r="AE28" s="51" t="s">
        <v>258</v>
      </c>
      <c r="AF28" s="51" t="s">
        <v>258</v>
      </c>
      <c r="AG28" s="51" t="s">
        <v>258</v>
      </c>
      <c r="AH28" s="51" t="s">
        <v>258</v>
      </c>
      <c r="AI28" s="51" t="s">
        <v>257</v>
      </c>
      <c r="AJ28" s="51" t="s">
        <v>257</v>
      </c>
      <c r="AL28" s="50">
        <f t="shared" si="0"/>
        <v>0</v>
      </c>
      <c r="AM28" s="50">
        <f t="shared" si="1"/>
        <v>1</v>
      </c>
      <c r="AN28" s="50">
        <f t="shared" si="2"/>
        <v>4</v>
      </c>
      <c r="AO28" s="50">
        <f t="shared" si="3"/>
        <v>4</v>
      </c>
      <c r="AP28" s="50">
        <f t="shared" si="4"/>
        <v>8</v>
      </c>
    </row>
    <row r="29" spans="2:42" ht="18.75" x14ac:dyDescent="0.25">
      <c r="B29" s="37">
        <v>25</v>
      </c>
      <c r="C29" s="149" t="s">
        <v>172</v>
      </c>
      <c r="D29" s="149"/>
      <c r="F29" s="51" t="s">
        <v>230</v>
      </c>
      <c r="G29" s="51" t="s">
        <v>254</v>
      </c>
      <c r="H29" s="51" t="s">
        <v>254</v>
      </c>
      <c r="I29" s="51" t="s">
        <v>257</v>
      </c>
      <c r="J29" s="51" t="s">
        <v>257</v>
      </c>
      <c r="K29" s="51" t="s">
        <v>257</v>
      </c>
      <c r="L29" s="51" t="s">
        <v>144</v>
      </c>
      <c r="M29" s="51" t="s">
        <v>144</v>
      </c>
      <c r="N29" s="51" t="s">
        <v>230</v>
      </c>
      <c r="O29" s="51" t="s">
        <v>254</v>
      </c>
      <c r="P29" s="51" t="s">
        <v>254</v>
      </c>
      <c r="Q29" s="51" t="s">
        <v>257</v>
      </c>
      <c r="R29" s="51" t="s">
        <v>257</v>
      </c>
      <c r="S29" s="51" t="s">
        <v>257</v>
      </c>
      <c r="T29" s="51" t="s">
        <v>258</v>
      </c>
      <c r="U29" s="51" t="s">
        <v>258</v>
      </c>
      <c r="V29" s="51" t="s">
        <v>258</v>
      </c>
      <c r="W29" s="51" t="s">
        <v>258</v>
      </c>
      <c r="X29" s="51" t="s">
        <v>258</v>
      </c>
      <c r="Y29" s="51" t="s">
        <v>258</v>
      </c>
      <c r="Z29" s="51" t="s">
        <v>257</v>
      </c>
      <c r="AA29" s="51" t="s">
        <v>257</v>
      </c>
      <c r="AB29" s="51" t="s">
        <v>229</v>
      </c>
      <c r="AC29" s="51" t="s">
        <v>230</v>
      </c>
      <c r="AD29" s="51" t="s">
        <v>230</v>
      </c>
      <c r="AE29" s="51" t="s">
        <v>230</v>
      </c>
      <c r="AF29" s="51" t="s">
        <v>254</v>
      </c>
      <c r="AG29" s="51" t="s">
        <v>257</v>
      </c>
      <c r="AH29" s="51" t="s">
        <v>257</v>
      </c>
      <c r="AI29" s="51" t="s">
        <v>257</v>
      </c>
      <c r="AJ29" s="51" t="s">
        <v>229</v>
      </c>
      <c r="AL29" s="50">
        <f t="shared" si="0"/>
        <v>0</v>
      </c>
      <c r="AM29" s="50">
        <f t="shared" si="1"/>
        <v>2</v>
      </c>
      <c r="AN29" s="50">
        <f t="shared" si="2"/>
        <v>5</v>
      </c>
      <c r="AO29" s="50">
        <f t="shared" si="3"/>
        <v>5</v>
      </c>
      <c r="AP29" s="50">
        <f t="shared" si="4"/>
        <v>11</v>
      </c>
    </row>
    <row r="30" spans="2:42" ht="18.75" x14ac:dyDescent="0.25">
      <c r="B30" s="37">
        <v>26</v>
      </c>
      <c r="C30" s="145" t="s">
        <v>173</v>
      </c>
      <c r="D30" s="146"/>
      <c r="F30" s="51" t="s">
        <v>254</v>
      </c>
      <c r="G30" s="51" t="s">
        <v>254</v>
      </c>
      <c r="H30" s="51" t="s">
        <v>257</v>
      </c>
      <c r="I30" s="51" t="s">
        <v>257</v>
      </c>
      <c r="J30" s="51" t="s">
        <v>257</v>
      </c>
      <c r="K30" s="51" t="s">
        <v>229</v>
      </c>
      <c r="L30" s="51" t="s">
        <v>230</v>
      </c>
      <c r="M30" s="51" t="s">
        <v>230</v>
      </c>
      <c r="N30" s="51" t="s">
        <v>254</v>
      </c>
      <c r="O30" s="51" t="s">
        <v>254</v>
      </c>
      <c r="P30" s="51" t="s">
        <v>257</v>
      </c>
      <c r="Q30" s="51" t="s">
        <v>257</v>
      </c>
      <c r="R30" s="51" t="s">
        <v>257</v>
      </c>
      <c r="S30" s="51" t="s">
        <v>229</v>
      </c>
      <c r="T30" s="51" t="s">
        <v>230</v>
      </c>
      <c r="U30" s="51" t="s">
        <v>230</v>
      </c>
      <c r="V30" s="51" t="s">
        <v>254</v>
      </c>
      <c r="W30" s="51" t="s">
        <v>254</v>
      </c>
      <c r="X30" s="51" t="s">
        <v>257</v>
      </c>
      <c r="Y30" s="51" t="s">
        <v>257</v>
      </c>
      <c r="Z30" s="51" t="s">
        <v>257</v>
      </c>
      <c r="AA30" s="51" t="s">
        <v>229</v>
      </c>
      <c r="AB30" s="51" t="s">
        <v>255</v>
      </c>
      <c r="AC30" s="51" t="s">
        <v>230</v>
      </c>
      <c r="AD30" s="51" t="s">
        <v>254</v>
      </c>
      <c r="AE30" s="51" t="s">
        <v>254</v>
      </c>
      <c r="AF30" s="51" t="s">
        <v>257</v>
      </c>
      <c r="AG30" s="51" t="s">
        <v>257</v>
      </c>
      <c r="AH30" s="51" t="s">
        <v>257</v>
      </c>
      <c r="AI30" s="51" t="s">
        <v>229</v>
      </c>
      <c r="AJ30" s="51" t="s">
        <v>230</v>
      </c>
      <c r="AL30" s="50">
        <f t="shared" si="0"/>
        <v>1</v>
      </c>
      <c r="AM30" s="50">
        <f t="shared" si="1"/>
        <v>4</v>
      </c>
      <c r="AN30" s="50">
        <f t="shared" si="2"/>
        <v>6</v>
      </c>
      <c r="AO30" s="50">
        <f t="shared" si="3"/>
        <v>8</v>
      </c>
      <c r="AP30" s="50">
        <f t="shared" si="4"/>
        <v>12</v>
      </c>
    </row>
    <row r="31" spans="2:42" ht="18.75" x14ac:dyDescent="0.25">
      <c r="B31" s="37">
        <v>27</v>
      </c>
      <c r="C31" s="145" t="s">
        <v>211</v>
      </c>
      <c r="D31" s="146"/>
      <c r="F31" s="51" t="s">
        <v>254</v>
      </c>
      <c r="G31" s="51" t="s">
        <v>257</v>
      </c>
      <c r="H31" s="51" t="s">
        <v>257</v>
      </c>
      <c r="I31" s="51" t="s">
        <v>257</v>
      </c>
      <c r="J31" s="51" t="s">
        <v>229</v>
      </c>
      <c r="K31" s="51" t="s">
        <v>230</v>
      </c>
      <c r="L31" s="51" t="s">
        <v>144</v>
      </c>
      <c r="M31" s="51" t="s">
        <v>144</v>
      </c>
      <c r="N31" s="51" t="s">
        <v>254</v>
      </c>
      <c r="O31" s="51" t="s">
        <v>257</v>
      </c>
      <c r="P31" s="51" t="s">
        <v>257</v>
      </c>
      <c r="Q31" s="51" t="s">
        <v>257</v>
      </c>
      <c r="R31" s="51" t="s">
        <v>229</v>
      </c>
      <c r="S31" s="51" t="s">
        <v>230</v>
      </c>
      <c r="T31" s="51" t="s">
        <v>230</v>
      </c>
      <c r="U31" s="51" t="s">
        <v>254</v>
      </c>
      <c r="V31" s="51" t="s">
        <v>254</v>
      </c>
      <c r="W31" s="51" t="s">
        <v>257</v>
      </c>
      <c r="X31" s="51" t="s">
        <v>257</v>
      </c>
      <c r="Y31" s="51" t="s">
        <v>257</v>
      </c>
      <c r="Z31" s="51" t="s">
        <v>144</v>
      </c>
      <c r="AA31" s="51" t="s">
        <v>144</v>
      </c>
      <c r="AB31" s="51" t="s">
        <v>230</v>
      </c>
      <c r="AC31" s="51" t="s">
        <v>254</v>
      </c>
      <c r="AD31" s="51" t="s">
        <v>254</v>
      </c>
      <c r="AE31" s="51" t="s">
        <v>257</v>
      </c>
      <c r="AF31" s="51" t="s">
        <v>257</v>
      </c>
      <c r="AG31" s="51" t="s">
        <v>257</v>
      </c>
      <c r="AH31" s="51" t="s">
        <v>229</v>
      </c>
      <c r="AI31" s="51" t="s">
        <v>229</v>
      </c>
      <c r="AJ31" s="51" t="s">
        <v>255</v>
      </c>
      <c r="AL31" s="50">
        <f t="shared" si="0"/>
        <v>1</v>
      </c>
      <c r="AM31" s="50">
        <f t="shared" si="1"/>
        <v>4</v>
      </c>
      <c r="AN31" s="50">
        <f t="shared" si="2"/>
        <v>4</v>
      </c>
      <c r="AO31" s="50">
        <f t="shared" si="3"/>
        <v>6</v>
      </c>
      <c r="AP31" s="50">
        <f t="shared" si="4"/>
        <v>12</v>
      </c>
    </row>
    <row r="32" spans="2:42" ht="18.75" x14ac:dyDescent="0.25">
      <c r="B32" s="37">
        <v>28</v>
      </c>
      <c r="C32" s="145" t="s">
        <v>213</v>
      </c>
      <c r="D32" s="146"/>
      <c r="F32" s="51" t="s">
        <v>257</v>
      </c>
      <c r="G32" s="51" t="s">
        <v>257</v>
      </c>
      <c r="H32" s="51" t="s">
        <v>257</v>
      </c>
      <c r="I32" s="51" t="s">
        <v>229</v>
      </c>
      <c r="J32" s="51" t="s">
        <v>144</v>
      </c>
      <c r="K32" s="51" t="s">
        <v>230</v>
      </c>
      <c r="L32" s="51" t="s">
        <v>230</v>
      </c>
      <c r="M32" s="51" t="s">
        <v>254</v>
      </c>
      <c r="N32" s="51" t="s">
        <v>257</v>
      </c>
      <c r="O32" s="51" t="s">
        <v>257</v>
      </c>
      <c r="P32" s="51" t="s">
        <v>257</v>
      </c>
      <c r="Q32" s="51" t="s">
        <v>229</v>
      </c>
      <c r="R32" s="51" t="s">
        <v>144</v>
      </c>
      <c r="S32" s="51" t="s">
        <v>230</v>
      </c>
      <c r="T32" s="51" t="s">
        <v>230</v>
      </c>
      <c r="U32" s="51" t="s">
        <v>254</v>
      </c>
      <c r="V32" s="51" t="s">
        <v>257</v>
      </c>
      <c r="W32" s="51" t="s">
        <v>257</v>
      </c>
      <c r="X32" s="51" t="s">
        <v>257</v>
      </c>
      <c r="Y32" s="51" t="s">
        <v>229</v>
      </c>
      <c r="Z32" s="51" t="s">
        <v>229</v>
      </c>
      <c r="AA32" s="51" t="s">
        <v>230</v>
      </c>
      <c r="AB32" s="51" t="s">
        <v>254</v>
      </c>
      <c r="AC32" s="51" t="s">
        <v>254</v>
      </c>
      <c r="AD32" s="51" t="s">
        <v>257</v>
      </c>
      <c r="AE32" s="51" t="s">
        <v>257</v>
      </c>
      <c r="AF32" s="51" t="s">
        <v>257</v>
      </c>
      <c r="AG32" s="51" t="s">
        <v>229</v>
      </c>
      <c r="AH32" s="51" t="s">
        <v>229</v>
      </c>
      <c r="AI32" s="51" t="s">
        <v>230</v>
      </c>
      <c r="AJ32" s="51" t="s">
        <v>230</v>
      </c>
      <c r="AL32" s="50">
        <f t="shared" si="0"/>
        <v>0</v>
      </c>
      <c r="AM32" s="50">
        <f t="shared" si="1"/>
        <v>6</v>
      </c>
      <c r="AN32" s="50">
        <f t="shared" si="2"/>
        <v>7</v>
      </c>
      <c r="AO32" s="50">
        <f t="shared" si="3"/>
        <v>4</v>
      </c>
      <c r="AP32" s="50">
        <f t="shared" si="4"/>
        <v>12</v>
      </c>
    </row>
    <row r="33" spans="2:42" ht="18.75" x14ac:dyDescent="0.25">
      <c r="B33" s="37">
        <v>29</v>
      </c>
      <c r="C33" s="145" t="s">
        <v>212</v>
      </c>
      <c r="D33" s="146"/>
      <c r="F33" s="51" t="s">
        <v>257</v>
      </c>
      <c r="G33" s="51" t="s">
        <v>257</v>
      </c>
      <c r="H33" s="51" t="s">
        <v>229</v>
      </c>
      <c r="I33" s="51" t="s">
        <v>230</v>
      </c>
      <c r="J33" s="51" t="s">
        <v>230</v>
      </c>
      <c r="K33" s="51" t="s">
        <v>254</v>
      </c>
      <c r="L33" s="51" t="s">
        <v>254</v>
      </c>
      <c r="M33" s="51" t="s">
        <v>257</v>
      </c>
      <c r="N33" s="51" t="s">
        <v>257</v>
      </c>
      <c r="O33" s="51" t="s">
        <v>257</v>
      </c>
      <c r="P33" s="51" t="s">
        <v>258</v>
      </c>
      <c r="Q33" s="51" t="s">
        <v>258</v>
      </c>
      <c r="R33" s="51" t="s">
        <v>258</v>
      </c>
      <c r="S33" s="51" t="s">
        <v>258</v>
      </c>
      <c r="T33" s="51" t="s">
        <v>258</v>
      </c>
      <c r="U33" s="51" t="s">
        <v>258</v>
      </c>
      <c r="V33" s="51" t="s">
        <v>257</v>
      </c>
      <c r="W33" s="51" t="s">
        <v>257</v>
      </c>
      <c r="X33" s="51" t="s">
        <v>229</v>
      </c>
      <c r="Y33" s="51" t="s">
        <v>229</v>
      </c>
      <c r="Z33" s="51" t="s">
        <v>230</v>
      </c>
      <c r="AA33" s="51" t="s">
        <v>254</v>
      </c>
      <c r="AB33" s="51" t="s">
        <v>254</v>
      </c>
      <c r="AC33" s="51" t="s">
        <v>257</v>
      </c>
      <c r="AD33" s="51" t="s">
        <v>257</v>
      </c>
      <c r="AE33" s="51" t="s">
        <v>257</v>
      </c>
      <c r="AF33" s="51" t="s">
        <v>229</v>
      </c>
      <c r="AG33" s="51" t="s">
        <v>229</v>
      </c>
      <c r="AH33" s="51" t="s">
        <v>230</v>
      </c>
      <c r="AI33" s="51" t="s">
        <v>230</v>
      </c>
      <c r="AJ33" s="51" t="s">
        <v>254</v>
      </c>
      <c r="AL33" s="50">
        <f t="shared" si="0"/>
        <v>0</v>
      </c>
      <c r="AM33" s="50">
        <f t="shared" si="1"/>
        <v>5</v>
      </c>
      <c r="AN33" s="50">
        <f t="shared" si="2"/>
        <v>5</v>
      </c>
      <c r="AO33" s="50">
        <f t="shared" si="3"/>
        <v>5</v>
      </c>
      <c r="AP33" s="50">
        <f t="shared" si="4"/>
        <v>10</v>
      </c>
    </row>
    <row r="34" spans="2:42" ht="18.75" x14ac:dyDescent="0.25">
      <c r="B34" s="37">
        <v>30</v>
      </c>
      <c r="C34" s="149" t="s">
        <v>174</v>
      </c>
      <c r="D34" s="149"/>
      <c r="F34" s="51" t="s">
        <v>257</v>
      </c>
      <c r="G34" s="51" t="s">
        <v>229</v>
      </c>
      <c r="H34" s="51" t="s">
        <v>230</v>
      </c>
      <c r="I34" s="51" t="s">
        <v>230</v>
      </c>
      <c r="J34" s="51" t="s">
        <v>254</v>
      </c>
      <c r="K34" s="51" t="s">
        <v>254</v>
      </c>
      <c r="L34" s="51" t="s">
        <v>257</v>
      </c>
      <c r="M34" s="51" t="s">
        <v>257</v>
      </c>
      <c r="N34" s="51" t="s">
        <v>257</v>
      </c>
      <c r="O34" s="103" t="s">
        <v>229</v>
      </c>
      <c r="P34" s="104" t="s">
        <v>229</v>
      </c>
      <c r="Q34" s="104" t="s">
        <v>230</v>
      </c>
      <c r="R34" s="104" t="s">
        <v>254</v>
      </c>
      <c r="S34" s="104" t="s">
        <v>254</v>
      </c>
      <c r="T34" s="51" t="s">
        <v>257</v>
      </c>
      <c r="U34" s="51" t="s">
        <v>257</v>
      </c>
      <c r="V34" s="51" t="s">
        <v>257</v>
      </c>
      <c r="W34" s="51" t="s">
        <v>229</v>
      </c>
      <c r="X34" s="51" t="s">
        <v>229</v>
      </c>
      <c r="Y34" s="51" t="s">
        <v>230</v>
      </c>
      <c r="Z34" s="51" t="s">
        <v>254</v>
      </c>
      <c r="AA34" s="51" t="s">
        <v>254</v>
      </c>
      <c r="AB34" s="51" t="s">
        <v>257</v>
      </c>
      <c r="AC34" s="51" t="s">
        <v>257</v>
      </c>
      <c r="AD34" s="51" t="s">
        <v>257</v>
      </c>
      <c r="AE34" s="51" t="s">
        <v>229</v>
      </c>
      <c r="AF34" s="51" t="s">
        <v>230</v>
      </c>
      <c r="AG34" s="51" t="s">
        <v>230</v>
      </c>
      <c r="AH34" s="51" t="s">
        <v>254</v>
      </c>
      <c r="AI34" s="51" t="s">
        <v>254</v>
      </c>
      <c r="AJ34" s="51" t="s">
        <v>257</v>
      </c>
      <c r="AL34" s="50">
        <f t="shared" si="0"/>
        <v>0</v>
      </c>
      <c r="AM34" s="50">
        <f t="shared" si="1"/>
        <v>6</v>
      </c>
      <c r="AN34" s="50">
        <f t="shared" si="2"/>
        <v>6</v>
      </c>
      <c r="AO34" s="50">
        <f t="shared" si="3"/>
        <v>8</v>
      </c>
      <c r="AP34" s="50">
        <f t="shared" si="4"/>
        <v>11</v>
      </c>
    </row>
    <row r="35" spans="2:42" ht="18.75" x14ac:dyDescent="0.25">
      <c r="B35" s="37">
        <v>31</v>
      </c>
      <c r="C35" s="149" t="s">
        <v>175</v>
      </c>
      <c r="D35" s="149"/>
      <c r="F35" s="51" t="s">
        <v>229</v>
      </c>
      <c r="G35" s="51" t="s">
        <v>229</v>
      </c>
      <c r="H35" s="51" t="s">
        <v>230</v>
      </c>
      <c r="I35" s="51" t="s">
        <v>254</v>
      </c>
      <c r="J35" s="51" t="s">
        <v>254</v>
      </c>
      <c r="K35" s="51" t="s">
        <v>257</v>
      </c>
      <c r="L35" s="51" t="s">
        <v>257</v>
      </c>
      <c r="M35" s="51" t="s">
        <v>257</v>
      </c>
      <c r="N35" s="51" t="s">
        <v>229</v>
      </c>
      <c r="O35" s="51" t="s">
        <v>229</v>
      </c>
      <c r="P35" s="51" t="s">
        <v>230</v>
      </c>
      <c r="Q35" s="51" t="s">
        <v>254</v>
      </c>
      <c r="R35" s="51" t="s">
        <v>254</v>
      </c>
      <c r="S35" s="51" t="s">
        <v>257</v>
      </c>
      <c r="T35" s="51" t="s">
        <v>257</v>
      </c>
      <c r="U35" s="51" t="s">
        <v>257</v>
      </c>
      <c r="V35" s="51" t="s">
        <v>229</v>
      </c>
      <c r="W35" s="51" t="s">
        <v>229</v>
      </c>
      <c r="X35" s="51" t="s">
        <v>230</v>
      </c>
      <c r="Y35" s="51" t="s">
        <v>254</v>
      </c>
      <c r="Z35" s="51" t="s">
        <v>254</v>
      </c>
      <c r="AA35" s="51" t="s">
        <v>257</v>
      </c>
      <c r="AB35" s="51" t="s">
        <v>257</v>
      </c>
      <c r="AC35" s="51" t="s">
        <v>257</v>
      </c>
      <c r="AD35" s="51" t="s">
        <v>229</v>
      </c>
      <c r="AE35" s="51" t="s">
        <v>229</v>
      </c>
      <c r="AF35" s="51" t="s">
        <v>230</v>
      </c>
      <c r="AG35" s="51" t="s">
        <v>254</v>
      </c>
      <c r="AH35" s="51" t="s">
        <v>254</v>
      </c>
      <c r="AI35" s="51" t="s">
        <v>257</v>
      </c>
      <c r="AJ35" s="51" t="s">
        <v>257</v>
      </c>
      <c r="AL35" s="50">
        <f t="shared" si="0"/>
        <v>0</v>
      </c>
      <c r="AM35" s="50">
        <f t="shared" si="1"/>
        <v>8</v>
      </c>
      <c r="AN35" s="50">
        <f t="shared" si="2"/>
        <v>4</v>
      </c>
      <c r="AO35" s="50">
        <f t="shared" si="3"/>
        <v>8</v>
      </c>
      <c r="AP35" s="50">
        <f t="shared" si="4"/>
        <v>11</v>
      </c>
    </row>
    <row r="36" spans="2:42" ht="18.75" x14ac:dyDescent="0.25">
      <c r="B36" s="37">
        <v>32</v>
      </c>
      <c r="C36" s="145" t="s">
        <v>176</v>
      </c>
      <c r="D36" s="146"/>
      <c r="F36" s="51" t="s">
        <v>258</v>
      </c>
      <c r="G36" s="51" t="s">
        <v>258</v>
      </c>
      <c r="H36" s="51" t="s">
        <v>258</v>
      </c>
      <c r="I36" s="51" t="s">
        <v>258</v>
      </c>
      <c r="J36" s="51" t="s">
        <v>258</v>
      </c>
      <c r="K36" s="51" t="s">
        <v>258</v>
      </c>
      <c r="L36" s="51" t="s">
        <v>258</v>
      </c>
      <c r="M36" s="51" t="s">
        <v>258</v>
      </c>
      <c r="N36" s="51" t="s">
        <v>258</v>
      </c>
      <c r="O36" s="51" t="s">
        <v>258</v>
      </c>
      <c r="P36" s="51" t="s">
        <v>258</v>
      </c>
      <c r="Q36" s="51" t="s">
        <v>258</v>
      </c>
      <c r="R36" s="51" t="s">
        <v>258</v>
      </c>
      <c r="S36" s="51" t="s">
        <v>257</v>
      </c>
      <c r="T36" s="51" t="s">
        <v>257</v>
      </c>
      <c r="U36" s="51" t="s">
        <v>229</v>
      </c>
      <c r="V36" s="51" t="s">
        <v>229</v>
      </c>
      <c r="W36" s="51" t="s">
        <v>230</v>
      </c>
      <c r="X36" s="51" t="s">
        <v>254</v>
      </c>
      <c r="Y36" s="51" t="s">
        <v>254</v>
      </c>
      <c r="Z36" s="51" t="s">
        <v>257</v>
      </c>
      <c r="AA36" s="51" t="s">
        <v>257</v>
      </c>
      <c r="AB36" s="51" t="s">
        <v>257</v>
      </c>
      <c r="AC36" s="51" t="s">
        <v>229</v>
      </c>
      <c r="AD36" s="51" t="s">
        <v>230</v>
      </c>
      <c r="AE36" s="51" t="s">
        <v>230</v>
      </c>
      <c r="AF36" s="51" t="s">
        <v>254</v>
      </c>
      <c r="AG36" s="51" t="s">
        <v>254</v>
      </c>
      <c r="AH36" s="51" t="s">
        <v>257</v>
      </c>
      <c r="AI36" s="51" t="s">
        <v>257</v>
      </c>
      <c r="AJ36" s="51" t="s">
        <v>257</v>
      </c>
      <c r="AL36" s="50">
        <f t="shared" si="0"/>
        <v>0</v>
      </c>
      <c r="AM36" s="50">
        <f t="shared" si="1"/>
        <v>3</v>
      </c>
      <c r="AN36" s="50">
        <f t="shared" si="2"/>
        <v>3</v>
      </c>
      <c r="AO36" s="50">
        <f t="shared" si="3"/>
        <v>4</v>
      </c>
      <c r="AP36" s="50">
        <f t="shared" si="4"/>
        <v>8</v>
      </c>
    </row>
    <row r="37" spans="2:42" ht="18.75" x14ac:dyDescent="0.25">
      <c r="B37" s="37">
        <v>33</v>
      </c>
      <c r="C37" s="149" t="s">
        <v>177</v>
      </c>
      <c r="D37" s="149"/>
      <c r="F37" s="51" t="s">
        <v>230</v>
      </c>
      <c r="G37" s="51" t="s">
        <v>254</v>
      </c>
      <c r="H37" s="51" t="s">
        <v>254</v>
      </c>
      <c r="I37" s="51" t="s">
        <v>257</v>
      </c>
      <c r="J37" s="51" t="s">
        <v>257</v>
      </c>
      <c r="K37" s="51" t="s">
        <v>257</v>
      </c>
      <c r="L37" s="51" t="s">
        <v>229</v>
      </c>
      <c r="M37" s="51" t="s">
        <v>229</v>
      </c>
      <c r="N37" s="51" t="s">
        <v>230</v>
      </c>
      <c r="O37" s="51" t="s">
        <v>254</v>
      </c>
      <c r="P37" s="51" t="s">
        <v>254</v>
      </c>
      <c r="Q37" s="51" t="s">
        <v>257</v>
      </c>
      <c r="R37" s="51" t="s">
        <v>257</v>
      </c>
      <c r="S37" s="51" t="s">
        <v>257</v>
      </c>
      <c r="T37" s="51" t="s">
        <v>229</v>
      </c>
      <c r="U37" s="51" t="s">
        <v>230</v>
      </c>
      <c r="V37" s="112" t="s">
        <v>230</v>
      </c>
      <c r="W37" s="51" t="s">
        <v>254</v>
      </c>
      <c r="X37" s="51" t="s">
        <v>254</v>
      </c>
      <c r="Y37" s="51" t="s">
        <v>257</v>
      </c>
      <c r="Z37" s="51" t="s">
        <v>257</v>
      </c>
      <c r="AA37" s="51" t="s">
        <v>257</v>
      </c>
      <c r="AB37" s="51" t="s">
        <v>229</v>
      </c>
      <c r="AC37" s="51" t="s">
        <v>229</v>
      </c>
      <c r="AD37" s="51" t="s">
        <v>230</v>
      </c>
      <c r="AE37" s="51" t="s">
        <v>254</v>
      </c>
      <c r="AF37" s="51" t="s">
        <v>254</v>
      </c>
      <c r="AG37" s="51" t="s">
        <v>257</v>
      </c>
      <c r="AH37" s="51" t="s">
        <v>257</v>
      </c>
      <c r="AI37" s="51" t="s">
        <v>257</v>
      </c>
      <c r="AJ37" s="51" t="s">
        <v>229</v>
      </c>
      <c r="AL37" s="50">
        <f t="shared" si="0"/>
        <v>0</v>
      </c>
      <c r="AM37" s="50">
        <f t="shared" si="1"/>
        <v>6</v>
      </c>
      <c r="AN37" s="50">
        <f t="shared" si="2"/>
        <v>5</v>
      </c>
      <c r="AO37" s="50">
        <f t="shared" si="3"/>
        <v>8</v>
      </c>
      <c r="AP37" s="50">
        <f t="shared" si="4"/>
        <v>12</v>
      </c>
    </row>
    <row r="38" spans="2:42" ht="18.75" x14ac:dyDescent="0.25">
      <c r="B38" s="37">
        <v>34</v>
      </c>
      <c r="C38" s="246" t="s">
        <v>184</v>
      </c>
      <c r="D38" s="247"/>
      <c r="F38" s="51" t="s">
        <v>230</v>
      </c>
      <c r="G38" s="51" t="s">
        <v>257</v>
      </c>
      <c r="H38" s="51" t="s">
        <v>257</v>
      </c>
      <c r="I38" s="51" t="s">
        <v>229</v>
      </c>
      <c r="J38" s="51" t="s">
        <v>229</v>
      </c>
      <c r="K38" s="51" t="s">
        <v>229</v>
      </c>
      <c r="L38" s="51" t="s">
        <v>230</v>
      </c>
      <c r="M38" s="51" t="s">
        <v>230</v>
      </c>
      <c r="N38" s="51" t="s">
        <v>257</v>
      </c>
      <c r="O38" s="51" t="s">
        <v>257</v>
      </c>
      <c r="P38" s="51" t="s">
        <v>229</v>
      </c>
      <c r="Q38" s="51" t="s">
        <v>229</v>
      </c>
      <c r="R38" s="51" t="s">
        <v>229</v>
      </c>
      <c r="S38" s="51" t="s">
        <v>230</v>
      </c>
      <c r="T38" s="51" t="s">
        <v>230</v>
      </c>
      <c r="U38" s="51" t="s">
        <v>257</v>
      </c>
      <c r="V38" s="51" t="s">
        <v>257</v>
      </c>
      <c r="W38" s="51" t="s">
        <v>229</v>
      </c>
      <c r="X38" s="51" t="s">
        <v>229</v>
      </c>
      <c r="Y38" s="51" t="s">
        <v>229</v>
      </c>
      <c r="Z38" s="51" t="s">
        <v>230</v>
      </c>
      <c r="AA38" s="51" t="s">
        <v>230</v>
      </c>
      <c r="AB38" s="51" t="s">
        <v>257</v>
      </c>
      <c r="AC38" s="51" t="s">
        <v>257</v>
      </c>
      <c r="AD38" s="51" t="s">
        <v>229</v>
      </c>
      <c r="AE38" s="51" t="s">
        <v>229</v>
      </c>
      <c r="AF38" s="51" t="s">
        <v>229</v>
      </c>
      <c r="AG38" s="51" t="s">
        <v>230</v>
      </c>
      <c r="AH38" s="51" t="s">
        <v>230</v>
      </c>
      <c r="AI38" s="51" t="s">
        <v>257</v>
      </c>
      <c r="AJ38" s="51" t="s">
        <v>257</v>
      </c>
      <c r="AL38" s="50">
        <f t="shared" si="0"/>
        <v>0</v>
      </c>
      <c r="AM38" s="50">
        <f t="shared" si="1"/>
        <v>12</v>
      </c>
      <c r="AN38" s="50">
        <f t="shared" si="2"/>
        <v>9</v>
      </c>
      <c r="AO38" s="50">
        <f t="shared" si="3"/>
        <v>0</v>
      </c>
      <c r="AP38" s="50">
        <f t="shared" si="4"/>
        <v>10</v>
      </c>
    </row>
    <row r="39" spans="2:42" ht="18.75" x14ac:dyDescent="0.25">
      <c r="B39" s="37">
        <v>35</v>
      </c>
      <c r="C39" s="246" t="s">
        <v>185</v>
      </c>
      <c r="D39" s="247"/>
      <c r="F39" s="51" t="s">
        <v>229</v>
      </c>
      <c r="G39" s="51" t="s">
        <v>257</v>
      </c>
      <c r="H39" s="51" t="s">
        <v>257</v>
      </c>
      <c r="I39" s="51" t="s">
        <v>230</v>
      </c>
      <c r="J39" s="51" t="s">
        <v>230</v>
      </c>
      <c r="K39" s="51" t="s">
        <v>230</v>
      </c>
      <c r="L39" s="51" t="s">
        <v>229</v>
      </c>
      <c r="M39" s="51" t="s">
        <v>229</v>
      </c>
      <c r="N39" s="51" t="s">
        <v>257</v>
      </c>
      <c r="O39" s="51" t="s">
        <v>257</v>
      </c>
      <c r="P39" s="51" t="s">
        <v>230</v>
      </c>
      <c r="Q39" s="51" t="s">
        <v>230</v>
      </c>
      <c r="R39" s="51" t="s">
        <v>230</v>
      </c>
      <c r="S39" s="51" t="s">
        <v>229</v>
      </c>
      <c r="T39" s="51" t="s">
        <v>229</v>
      </c>
      <c r="U39" s="51" t="s">
        <v>257</v>
      </c>
      <c r="V39" s="51" t="s">
        <v>257</v>
      </c>
      <c r="W39" s="51" t="s">
        <v>230</v>
      </c>
      <c r="X39" s="51" t="s">
        <v>230</v>
      </c>
      <c r="Y39" s="51" t="s">
        <v>230</v>
      </c>
      <c r="Z39" s="51" t="s">
        <v>229</v>
      </c>
      <c r="AA39" s="51" t="s">
        <v>229</v>
      </c>
      <c r="AB39" s="51" t="s">
        <v>257</v>
      </c>
      <c r="AC39" s="51" t="s">
        <v>257</v>
      </c>
      <c r="AD39" s="51" t="s">
        <v>230</v>
      </c>
      <c r="AE39" s="51" t="s">
        <v>230</v>
      </c>
      <c r="AF39" s="51" t="s">
        <v>230</v>
      </c>
      <c r="AG39" s="51" t="s">
        <v>229</v>
      </c>
      <c r="AH39" s="51" t="s">
        <v>229</v>
      </c>
      <c r="AI39" s="51" t="s">
        <v>257</v>
      </c>
      <c r="AJ39" s="51" t="s">
        <v>257</v>
      </c>
      <c r="AL39" s="50">
        <f t="shared" si="0"/>
        <v>0</v>
      </c>
      <c r="AM39" s="50">
        <f t="shared" si="1"/>
        <v>9</v>
      </c>
      <c r="AN39" s="50">
        <f t="shared" si="2"/>
        <v>12</v>
      </c>
      <c r="AO39" s="50">
        <f t="shared" si="3"/>
        <v>0</v>
      </c>
      <c r="AP39" s="50">
        <f t="shared" si="4"/>
        <v>10</v>
      </c>
    </row>
    <row r="40" spans="2:42" ht="19.5" thickBot="1" x14ac:dyDescent="0.3">
      <c r="B40" s="37">
        <v>36</v>
      </c>
      <c r="C40" s="248" t="s">
        <v>268</v>
      </c>
      <c r="D40" s="248"/>
      <c r="F40" s="64" t="s">
        <v>257</v>
      </c>
      <c r="G40" s="64" t="s">
        <v>257</v>
      </c>
      <c r="H40" s="64" t="s">
        <v>229</v>
      </c>
      <c r="I40" s="64" t="s">
        <v>257</v>
      </c>
      <c r="J40" s="64" t="s">
        <v>239</v>
      </c>
      <c r="K40" s="64" t="s">
        <v>239</v>
      </c>
      <c r="L40" s="64" t="s">
        <v>239</v>
      </c>
      <c r="M40" s="64" t="s">
        <v>229</v>
      </c>
      <c r="N40" s="64" t="s">
        <v>229</v>
      </c>
      <c r="O40" s="64" t="s">
        <v>257</v>
      </c>
      <c r="P40" s="64" t="s">
        <v>257</v>
      </c>
      <c r="Q40" s="64" t="s">
        <v>239</v>
      </c>
      <c r="R40" s="64" t="s">
        <v>239</v>
      </c>
      <c r="S40" s="64" t="s">
        <v>239</v>
      </c>
      <c r="T40" s="64" t="s">
        <v>229</v>
      </c>
      <c r="U40" s="64" t="s">
        <v>229</v>
      </c>
      <c r="V40" s="64" t="s">
        <v>257</v>
      </c>
      <c r="W40" s="64" t="s">
        <v>257</v>
      </c>
      <c r="X40" s="64" t="s">
        <v>239</v>
      </c>
      <c r="Y40" s="64" t="s">
        <v>239</v>
      </c>
      <c r="Z40" s="64" t="s">
        <v>239</v>
      </c>
      <c r="AA40" s="64" t="s">
        <v>229</v>
      </c>
      <c r="AB40" s="64" t="s">
        <v>229</v>
      </c>
      <c r="AC40" s="64" t="s">
        <v>257</v>
      </c>
      <c r="AD40" s="64" t="s">
        <v>257</v>
      </c>
      <c r="AE40" s="64" t="s">
        <v>239</v>
      </c>
      <c r="AF40" s="64" t="s">
        <v>239</v>
      </c>
      <c r="AG40" s="64" t="s">
        <v>239</v>
      </c>
      <c r="AH40" s="64" t="s">
        <v>229</v>
      </c>
      <c r="AI40" s="64" t="s">
        <v>229</v>
      </c>
      <c r="AJ40" s="64" t="s">
        <v>257</v>
      </c>
      <c r="AL40" s="50">
        <f t="shared" si="0"/>
        <v>0</v>
      </c>
      <c r="AM40" s="50">
        <f t="shared" si="1"/>
        <v>21</v>
      </c>
      <c r="AN40" s="50">
        <f t="shared" si="2"/>
        <v>0</v>
      </c>
      <c r="AO40" s="50">
        <f t="shared" si="3"/>
        <v>0</v>
      </c>
      <c r="AP40" s="50">
        <f t="shared" si="4"/>
        <v>10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79" t="s">
        <v>91</v>
      </c>
      <c r="D42" s="179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6</v>
      </c>
      <c r="J42" s="37">
        <f t="shared" si="5"/>
        <v>4</v>
      </c>
      <c r="K42" s="37">
        <f t="shared" si="5"/>
        <v>5</v>
      </c>
      <c r="L42" s="37">
        <f t="shared" si="5"/>
        <v>3</v>
      </c>
      <c r="M42" s="37">
        <f t="shared" si="5"/>
        <v>4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4</v>
      </c>
      <c r="R42" s="37">
        <f t="shared" si="5"/>
        <v>4</v>
      </c>
      <c r="S42" s="37">
        <f t="shared" si="5"/>
        <v>5</v>
      </c>
      <c r="T42" s="37">
        <f t="shared" si="5"/>
        <v>5</v>
      </c>
      <c r="U42" s="37">
        <f t="shared" si="5"/>
        <v>5</v>
      </c>
      <c r="V42" s="37">
        <f t="shared" si="5"/>
        <v>5</v>
      </c>
      <c r="W42" s="37">
        <f>COUNTIF(W$5:W$37,"M*")</f>
        <v>5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5</v>
      </c>
      <c r="AC42" s="37">
        <f t="shared" si="5"/>
        <v>5</v>
      </c>
      <c r="AD42" s="37">
        <f t="shared" si="5"/>
        <v>5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5</v>
      </c>
      <c r="AI42" s="37">
        <f t="shared" si="5"/>
        <v>5</v>
      </c>
      <c r="AJ42" s="37">
        <f t="shared" si="5"/>
        <v>5</v>
      </c>
    </row>
    <row r="43" spans="2:42" ht="18.75" x14ac:dyDescent="0.3">
      <c r="C43" s="179" t="s">
        <v>92</v>
      </c>
      <c r="D43" s="179"/>
      <c r="E43" s="36"/>
      <c r="F43" s="37">
        <f>COUNTIF(F$5:F$37,"A*")</f>
        <v>5</v>
      </c>
      <c r="G43" s="37">
        <f t="shared" ref="G43:AJ43" si="6">COUNTIF(G$5:G$37,"A*")</f>
        <v>5</v>
      </c>
      <c r="H43" s="37">
        <f t="shared" si="6"/>
        <v>6</v>
      </c>
      <c r="I43" s="37">
        <f t="shared" si="6"/>
        <v>5</v>
      </c>
      <c r="J43" s="37">
        <f t="shared" si="6"/>
        <v>5</v>
      </c>
      <c r="K43" s="37">
        <f t="shared" si="6"/>
        <v>5</v>
      </c>
      <c r="L43" s="37">
        <f t="shared" si="6"/>
        <v>6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5</v>
      </c>
      <c r="Q43" s="37">
        <f t="shared" si="6"/>
        <v>5</v>
      </c>
      <c r="R43" s="37">
        <f t="shared" si="6"/>
        <v>5</v>
      </c>
      <c r="S43" s="37">
        <f t="shared" si="6"/>
        <v>5</v>
      </c>
      <c r="T43" s="37">
        <f t="shared" si="6"/>
        <v>6</v>
      </c>
      <c r="U43" s="37">
        <f t="shared" si="6"/>
        <v>6</v>
      </c>
      <c r="V43" s="37">
        <f t="shared" si="6"/>
        <v>5</v>
      </c>
      <c r="W43" s="37">
        <f t="shared" si="6"/>
        <v>5</v>
      </c>
      <c r="X43" s="37">
        <f t="shared" si="6"/>
        <v>5</v>
      </c>
      <c r="Y43" s="37">
        <f t="shared" si="6"/>
        <v>5</v>
      </c>
      <c r="Z43" s="37">
        <f t="shared" si="6"/>
        <v>5</v>
      </c>
      <c r="AA43" s="37">
        <f t="shared" si="6"/>
        <v>5</v>
      </c>
      <c r="AB43" s="37">
        <f t="shared" si="6"/>
        <v>6</v>
      </c>
      <c r="AC43" s="37">
        <f t="shared" si="6"/>
        <v>6</v>
      </c>
      <c r="AD43" s="37">
        <f t="shared" si="6"/>
        <v>6</v>
      </c>
      <c r="AE43" s="37">
        <f t="shared" si="6"/>
        <v>6</v>
      </c>
      <c r="AF43" s="37">
        <f t="shared" si="6"/>
        <v>6</v>
      </c>
      <c r="AG43" s="37">
        <f t="shared" si="6"/>
        <v>6</v>
      </c>
      <c r="AH43" s="37">
        <f t="shared" si="6"/>
        <v>6</v>
      </c>
      <c r="AI43" s="37">
        <f t="shared" si="6"/>
        <v>6</v>
      </c>
      <c r="AJ43" s="37">
        <f t="shared" si="6"/>
        <v>6</v>
      </c>
    </row>
    <row r="44" spans="2:42" ht="18.75" x14ac:dyDescent="0.3">
      <c r="C44" s="179" t="s">
        <v>72</v>
      </c>
      <c r="D44" s="179"/>
      <c r="E44" s="36"/>
      <c r="F44" s="37">
        <f>COUNTIF(F$5:F$37,"N*")</f>
        <v>6</v>
      </c>
      <c r="G44" s="37">
        <f t="shared" ref="G44:AJ44" si="7">COUNTIF(G$5:G$37,"N*")</f>
        <v>6</v>
      </c>
      <c r="H44" s="37">
        <f t="shared" si="7"/>
        <v>6</v>
      </c>
      <c r="I44" s="37">
        <f t="shared" si="7"/>
        <v>6</v>
      </c>
      <c r="J44" s="37">
        <f t="shared" si="7"/>
        <v>5</v>
      </c>
      <c r="K44" s="37">
        <f t="shared" si="7"/>
        <v>5</v>
      </c>
      <c r="L44" s="37">
        <f t="shared" si="7"/>
        <v>5</v>
      </c>
      <c r="M44" s="37">
        <f t="shared" si="7"/>
        <v>5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6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5</v>
      </c>
      <c r="W44" s="37">
        <f t="shared" si="7"/>
        <v>6</v>
      </c>
      <c r="X44" s="37">
        <f t="shared" si="7"/>
        <v>6</v>
      </c>
      <c r="Y44" s="37">
        <f t="shared" si="7"/>
        <v>6</v>
      </c>
      <c r="Z44" s="37">
        <f t="shared" si="7"/>
        <v>5</v>
      </c>
      <c r="AA44" s="37">
        <f t="shared" si="7"/>
        <v>6</v>
      </c>
      <c r="AB44" s="37">
        <f t="shared" si="7"/>
        <v>7</v>
      </c>
      <c r="AC44" s="37">
        <f t="shared" si="7"/>
        <v>7</v>
      </c>
      <c r="AD44" s="37">
        <f t="shared" si="7"/>
        <v>7</v>
      </c>
      <c r="AE44" s="37">
        <f t="shared" si="7"/>
        <v>6</v>
      </c>
      <c r="AF44" s="37">
        <f t="shared" si="7"/>
        <v>7</v>
      </c>
      <c r="AG44" s="37">
        <f t="shared" si="7"/>
        <v>6</v>
      </c>
      <c r="AH44" s="37">
        <f t="shared" si="7"/>
        <v>6</v>
      </c>
      <c r="AI44" s="37">
        <f t="shared" si="7"/>
        <v>6</v>
      </c>
      <c r="AJ44" s="37">
        <f t="shared" si="7"/>
        <v>7</v>
      </c>
    </row>
    <row r="45" spans="2:42" ht="18.75" x14ac:dyDescent="0.3">
      <c r="C45" s="179" t="s">
        <v>73</v>
      </c>
      <c r="D45" s="179"/>
      <c r="E45" s="36"/>
      <c r="F45" s="37">
        <f t="shared" ref="F45:AJ45" si="8">COUNTIF(F$5:F$40,"O*")</f>
        <v>14</v>
      </c>
      <c r="G45" s="37">
        <f t="shared" si="8"/>
        <v>15</v>
      </c>
      <c r="H45" s="37">
        <f t="shared" si="8"/>
        <v>12</v>
      </c>
      <c r="I45" s="37">
        <f t="shared" si="8"/>
        <v>11</v>
      </c>
      <c r="J45" s="37">
        <f t="shared" si="8"/>
        <v>10</v>
      </c>
      <c r="K45" s="37">
        <f t="shared" si="8"/>
        <v>10</v>
      </c>
      <c r="L45" s="37">
        <f t="shared" si="8"/>
        <v>10</v>
      </c>
      <c r="M45" s="37">
        <f t="shared" si="8"/>
        <v>12</v>
      </c>
      <c r="N45" s="37">
        <f t="shared" si="8"/>
        <v>14</v>
      </c>
      <c r="O45" s="37">
        <f t="shared" si="8"/>
        <v>14</v>
      </c>
      <c r="P45" s="37">
        <f t="shared" si="8"/>
        <v>11</v>
      </c>
      <c r="Q45" s="37">
        <f t="shared" si="8"/>
        <v>10</v>
      </c>
      <c r="R45" s="37">
        <f t="shared" si="8"/>
        <v>11</v>
      </c>
      <c r="S45" s="37">
        <f t="shared" si="8"/>
        <v>12</v>
      </c>
      <c r="T45" s="37">
        <f t="shared" si="8"/>
        <v>11</v>
      </c>
      <c r="U45" s="37">
        <f t="shared" si="8"/>
        <v>13</v>
      </c>
      <c r="V45" s="37">
        <f t="shared" si="8"/>
        <v>16</v>
      </c>
      <c r="W45" s="37">
        <f t="shared" si="8"/>
        <v>13</v>
      </c>
      <c r="X45" s="37">
        <f t="shared" si="8"/>
        <v>11</v>
      </c>
      <c r="Y45" s="37">
        <f t="shared" si="8"/>
        <v>11</v>
      </c>
      <c r="Z45" s="37">
        <f t="shared" si="8"/>
        <v>12</v>
      </c>
      <c r="AA45" s="37">
        <f t="shared" si="8"/>
        <v>10</v>
      </c>
      <c r="AB45" s="37">
        <f t="shared" si="8"/>
        <v>11</v>
      </c>
      <c r="AC45" s="37">
        <f t="shared" si="8"/>
        <v>13</v>
      </c>
      <c r="AD45" s="37">
        <f t="shared" si="8"/>
        <v>13</v>
      </c>
      <c r="AE45" s="37">
        <f t="shared" si="8"/>
        <v>12</v>
      </c>
      <c r="AF45" s="37">
        <f t="shared" si="8"/>
        <v>11</v>
      </c>
      <c r="AG45" s="37">
        <f t="shared" si="8"/>
        <v>12</v>
      </c>
      <c r="AH45" s="37">
        <f t="shared" si="8"/>
        <v>12</v>
      </c>
      <c r="AI45" s="37">
        <f t="shared" si="8"/>
        <v>14</v>
      </c>
      <c r="AJ45" s="37">
        <f t="shared" si="8"/>
        <v>14</v>
      </c>
    </row>
    <row r="46" spans="2:42" ht="18.75" x14ac:dyDescent="0.3">
      <c r="C46" s="175" t="s">
        <v>143</v>
      </c>
      <c r="D46" s="176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4</v>
      </c>
      <c r="K46" s="37">
        <f t="shared" si="9"/>
        <v>1</v>
      </c>
      <c r="L46" s="37">
        <f t="shared" si="9"/>
        <v>3</v>
      </c>
      <c r="M46" s="37">
        <f t="shared" si="9"/>
        <v>2</v>
      </c>
      <c r="N46" s="37">
        <f t="shared" si="9"/>
        <v>0</v>
      </c>
      <c r="O46" s="37">
        <f t="shared" si="9"/>
        <v>0</v>
      </c>
      <c r="P46" s="37">
        <f t="shared" si="9"/>
        <v>0</v>
      </c>
      <c r="Q46" s="37">
        <f t="shared" si="9"/>
        <v>2</v>
      </c>
      <c r="R46" s="37">
        <f t="shared" si="9"/>
        <v>2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0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1</v>
      </c>
      <c r="AA46" s="37">
        <f t="shared" si="9"/>
        <v>2</v>
      </c>
      <c r="AB46" s="37">
        <f t="shared" si="9"/>
        <v>0</v>
      </c>
      <c r="AC46" s="37">
        <f t="shared" si="9"/>
        <v>0</v>
      </c>
      <c r="AD46" s="37">
        <f t="shared" si="9"/>
        <v>0</v>
      </c>
      <c r="AE46" s="37">
        <f t="shared" si="9"/>
        <v>1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</row>
    <row r="47" spans="2:42" ht="18.75" x14ac:dyDescent="0.3">
      <c r="C47" s="175" t="s">
        <v>106</v>
      </c>
      <c r="D47" s="176"/>
      <c r="E47" s="36"/>
      <c r="F47" s="37">
        <f t="shared" ref="F47:AJ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2</v>
      </c>
      <c r="AC47" s="37">
        <f t="shared" si="10"/>
        <v>1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1</v>
      </c>
    </row>
    <row r="48" spans="2:42" ht="18.75" x14ac:dyDescent="0.3">
      <c r="C48" s="177" t="s">
        <v>104</v>
      </c>
      <c r="D48" s="177"/>
      <c r="E48" s="38"/>
      <c r="F48" s="53">
        <f>F50-F51</f>
        <v>-2</v>
      </c>
      <c r="G48" s="53">
        <f t="shared" ref="G48:AJ48" si="11">G50-G51</f>
        <v>-2</v>
      </c>
      <c r="H48" s="53">
        <f t="shared" si="11"/>
        <v>-1</v>
      </c>
      <c r="I48" s="53">
        <f t="shared" si="11"/>
        <v>-1</v>
      </c>
      <c r="J48" s="53">
        <f t="shared" si="11"/>
        <v>-4</v>
      </c>
      <c r="K48" s="53">
        <f t="shared" si="11"/>
        <v>-3</v>
      </c>
      <c r="L48" s="53">
        <f t="shared" si="11"/>
        <v>-4</v>
      </c>
      <c r="M48" s="53">
        <f t="shared" si="11"/>
        <v>-4</v>
      </c>
      <c r="N48" s="53">
        <f t="shared" si="11"/>
        <v>-2</v>
      </c>
      <c r="O48" s="53">
        <f t="shared" si="11"/>
        <v>-2</v>
      </c>
      <c r="P48" s="53">
        <f t="shared" si="11"/>
        <v>-2</v>
      </c>
      <c r="Q48" s="53">
        <f t="shared" si="11"/>
        <v>-3</v>
      </c>
      <c r="R48" s="53">
        <f t="shared" si="11"/>
        <v>-3</v>
      </c>
      <c r="S48" s="53">
        <f t="shared" si="11"/>
        <v>-2</v>
      </c>
      <c r="T48" s="53">
        <f t="shared" si="11"/>
        <v>-1</v>
      </c>
      <c r="U48" s="53">
        <f t="shared" si="11"/>
        <v>-1</v>
      </c>
      <c r="V48" s="53">
        <f t="shared" si="11"/>
        <v>-3</v>
      </c>
      <c r="W48" s="53">
        <f t="shared" si="11"/>
        <v>-2</v>
      </c>
      <c r="X48" s="53">
        <f t="shared" si="11"/>
        <v>-2</v>
      </c>
      <c r="Y48" s="53">
        <f t="shared" si="11"/>
        <v>-2</v>
      </c>
      <c r="Z48" s="53">
        <f t="shared" si="11"/>
        <v>-3</v>
      </c>
      <c r="AA48" s="53">
        <f t="shared" si="11"/>
        <v>-2</v>
      </c>
      <c r="AB48" s="53">
        <f t="shared" si="11"/>
        <v>0</v>
      </c>
      <c r="AC48" s="53">
        <f t="shared" si="11"/>
        <v>0</v>
      </c>
      <c r="AD48" s="53">
        <f t="shared" si="11"/>
        <v>0</v>
      </c>
      <c r="AE48" s="53">
        <f t="shared" si="11"/>
        <v>-1</v>
      </c>
      <c r="AF48" s="53">
        <f t="shared" si="11"/>
        <v>0</v>
      </c>
      <c r="AG48" s="53">
        <f t="shared" si="11"/>
        <v>-1</v>
      </c>
      <c r="AH48" s="53">
        <f t="shared" si="11"/>
        <v>-1</v>
      </c>
      <c r="AI48" s="53">
        <f t="shared" si="11"/>
        <v>-1</v>
      </c>
      <c r="AJ48" s="53">
        <f t="shared" si="11"/>
        <v>0</v>
      </c>
    </row>
    <row r="49" spans="3:36" ht="9.75" customHeight="1" x14ac:dyDescent="0.3">
      <c r="C49" s="40"/>
      <c r="D49" s="40"/>
      <c r="E49" s="36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</row>
    <row r="50" spans="3:36" ht="18.75" x14ac:dyDescent="0.3">
      <c r="C50" s="179" t="s">
        <v>102</v>
      </c>
      <c r="D50" s="179"/>
      <c r="E50" s="36"/>
      <c r="F50" s="41">
        <f>SUM(F42:F44)</f>
        <v>16</v>
      </c>
      <c r="G50" s="41">
        <f t="shared" ref="G50:AI50" si="12">SUM(G42:G44)</f>
        <v>16</v>
      </c>
      <c r="H50" s="41">
        <f t="shared" si="12"/>
        <v>17</v>
      </c>
      <c r="I50" s="41">
        <f t="shared" si="12"/>
        <v>17</v>
      </c>
      <c r="J50" s="41">
        <f t="shared" si="12"/>
        <v>14</v>
      </c>
      <c r="K50" s="41">
        <f t="shared" si="12"/>
        <v>15</v>
      </c>
      <c r="L50" s="41">
        <f t="shared" si="12"/>
        <v>14</v>
      </c>
      <c r="M50" s="41">
        <f t="shared" si="12"/>
        <v>14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15</v>
      </c>
      <c r="R50" s="41">
        <f t="shared" si="12"/>
        <v>15</v>
      </c>
      <c r="S50" s="41">
        <f t="shared" si="12"/>
        <v>16</v>
      </c>
      <c r="T50" s="41">
        <f t="shared" si="12"/>
        <v>17</v>
      </c>
      <c r="U50" s="41">
        <f t="shared" si="12"/>
        <v>17</v>
      </c>
      <c r="V50" s="41">
        <f t="shared" si="12"/>
        <v>15</v>
      </c>
      <c r="W50" s="41">
        <f t="shared" si="12"/>
        <v>16</v>
      </c>
      <c r="X50" s="41">
        <f t="shared" si="12"/>
        <v>16</v>
      </c>
      <c r="Y50" s="41">
        <f t="shared" si="12"/>
        <v>16</v>
      </c>
      <c r="Z50" s="41">
        <f t="shared" si="12"/>
        <v>15</v>
      </c>
      <c r="AA50" s="41">
        <f t="shared" si="12"/>
        <v>16</v>
      </c>
      <c r="AB50" s="41">
        <f t="shared" si="12"/>
        <v>18</v>
      </c>
      <c r="AC50" s="41">
        <f t="shared" si="12"/>
        <v>18</v>
      </c>
      <c r="AD50" s="41">
        <f t="shared" si="12"/>
        <v>18</v>
      </c>
      <c r="AE50" s="41">
        <f t="shared" si="12"/>
        <v>17</v>
      </c>
      <c r="AF50" s="41">
        <f t="shared" si="12"/>
        <v>18</v>
      </c>
      <c r="AG50" s="41">
        <f t="shared" si="12"/>
        <v>17</v>
      </c>
      <c r="AH50" s="41">
        <f t="shared" si="12"/>
        <v>17</v>
      </c>
      <c r="AI50" s="41">
        <f t="shared" si="12"/>
        <v>17</v>
      </c>
      <c r="AJ50" s="41">
        <v>18</v>
      </c>
    </row>
    <row r="51" spans="3:36" ht="18.75" x14ac:dyDescent="0.3">
      <c r="C51" s="179" t="s">
        <v>90</v>
      </c>
      <c r="D51" s="179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79" t="s">
        <v>103</v>
      </c>
      <c r="D52" s="179"/>
      <c r="E52" s="36"/>
      <c r="F52" s="37">
        <f>SUM(F42,F43,F44,F45,F47)</f>
        <v>30</v>
      </c>
      <c r="G52" s="37">
        <f t="shared" ref="G52:AI52" si="13">SUM(G42,G43,G44,G45,G47)</f>
        <v>31</v>
      </c>
      <c r="H52" s="37">
        <f t="shared" si="13"/>
        <v>29</v>
      </c>
      <c r="I52" s="37">
        <f t="shared" si="13"/>
        <v>28</v>
      </c>
      <c r="J52" s="37">
        <f t="shared" si="13"/>
        <v>24</v>
      </c>
      <c r="K52" s="37">
        <f t="shared" si="13"/>
        <v>25</v>
      </c>
      <c r="L52" s="37">
        <f t="shared" si="13"/>
        <v>24</v>
      </c>
      <c r="M52" s="37">
        <f t="shared" si="13"/>
        <v>26</v>
      </c>
      <c r="N52" s="37">
        <f t="shared" si="13"/>
        <v>30</v>
      </c>
      <c r="O52" s="37">
        <f t="shared" si="13"/>
        <v>30</v>
      </c>
      <c r="P52" s="37">
        <f t="shared" si="13"/>
        <v>27</v>
      </c>
      <c r="Q52" s="37">
        <f t="shared" si="13"/>
        <v>25</v>
      </c>
      <c r="R52" s="37">
        <f t="shared" si="13"/>
        <v>26</v>
      </c>
      <c r="S52" s="37">
        <f t="shared" si="13"/>
        <v>28</v>
      </c>
      <c r="T52" s="37">
        <f t="shared" si="13"/>
        <v>28</v>
      </c>
      <c r="U52" s="37">
        <f t="shared" si="13"/>
        <v>30</v>
      </c>
      <c r="V52" s="37">
        <f t="shared" si="13"/>
        <v>31</v>
      </c>
      <c r="W52" s="37">
        <f t="shared" si="13"/>
        <v>29</v>
      </c>
      <c r="X52" s="37">
        <f t="shared" si="13"/>
        <v>27</v>
      </c>
      <c r="Y52" s="37">
        <f t="shared" si="13"/>
        <v>27</v>
      </c>
      <c r="Z52" s="37">
        <f t="shared" si="13"/>
        <v>27</v>
      </c>
      <c r="AA52" s="37">
        <f t="shared" si="13"/>
        <v>26</v>
      </c>
      <c r="AB52" s="37">
        <f t="shared" si="13"/>
        <v>31</v>
      </c>
      <c r="AC52" s="37">
        <f t="shared" si="13"/>
        <v>32</v>
      </c>
      <c r="AD52" s="37">
        <f t="shared" si="13"/>
        <v>31</v>
      </c>
      <c r="AE52" s="37">
        <f t="shared" si="13"/>
        <v>29</v>
      </c>
      <c r="AF52" s="37">
        <f t="shared" si="13"/>
        <v>29</v>
      </c>
      <c r="AG52" s="37">
        <f t="shared" si="13"/>
        <v>29</v>
      </c>
      <c r="AH52" s="37">
        <f t="shared" si="13"/>
        <v>29</v>
      </c>
      <c r="AI52" s="37">
        <f t="shared" si="13"/>
        <v>31</v>
      </c>
      <c r="AJ52" s="37">
        <v>35</v>
      </c>
    </row>
    <row r="53" spans="3:36" ht="16.5" thickBot="1" x14ac:dyDescent="0.3"/>
    <row r="54" spans="3:36" ht="16.5" thickBot="1" x14ac:dyDescent="0.3">
      <c r="F54" s="208" t="s">
        <v>232</v>
      </c>
      <c r="G54" s="209"/>
      <c r="H54" s="209"/>
      <c r="I54" s="209"/>
      <c r="J54" s="209"/>
      <c r="K54" s="210"/>
    </row>
    <row r="55" spans="3:36" x14ac:dyDescent="0.25">
      <c r="F55" s="70" t="s">
        <v>142</v>
      </c>
      <c r="G55" s="216" t="s">
        <v>228</v>
      </c>
      <c r="H55" s="217"/>
      <c r="I55" s="83" t="s">
        <v>229</v>
      </c>
      <c r="J55" s="84" t="s">
        <v>240</v>
      </c>
      <c r="K55" s="85"/>
    </row>
    <row r="56" spans="3:36" x14ac:dyDescent="0.25">
      <c r="F56" s="71" t="s">
        <v>119</v>
      </c>
      <c r="G56" s="218" t="s">
        <v>229</v>
      </c>
      <c r="H56" s="219"/>
      <c r="I56" s="83" t="s">
        <v>239</v>
      </c>
      <c r="J56" s="196" t="s">
        <v>241</v>
      </c>
      <c r="K56" s="203"/>
    </row>
    <row r="57" spans="3:36" x14ac:dyDescent="0.25">
      <c r="F57" s="72" t="s">
        <v>226</v>
      </c>
      <c r="G57" s="204" t="s">
        <v>230</v>
      </c>
      <c r="H57" s="220"/>
      <c r="I57" s="86" t="s">
        <v>235</v>
      </c>
      <c r="J57" s="211" t="s">
        <v>242</v>
      </c>
      <c r="K57" s="212"/>
    </row>
    <row r="58" spans="3:36" x14ac:dyDescent="0.25">
      <c r="F58" s="73" t="s">
        <v>227</v>
      </c>
      <c r="G58" s="206" t="s">
        <v>254</v>
      </c>
      <c r="H58" s="221"/>
      <c r="I58" s="26"/>
      <c r="J58" s="213"/>
      <c r="K58" s="214"/>
    </row>
    <row r="59" spans="3:36" x14ac:dyDescent="0.25">
      <c r="F59" s="74" t="s">
        <v>144</v>
      </c>
      <c r="G59" s="190" t="s">
        <v>234</v>
      </c>
      <c r="H59" s="226"/>
      <c r="I59" s="19"/>
      <c r="J59" s="222"/>
      <c r="K59" s="223"/>
    </row>
    <row r="60" spans="3:36" ht="16.5" thickBot="1" x14ac:dyDescent="0.3">
      <c r="F60" s="81" t="s">
        <v>258</v>
      </c>
      <c r="G60" s="227" t="s">
        <v>233</v>
      </c>
      <c r="H60" s="228"/>
      <c r="I60" s="82"/>
      <c r="J60" s="224"/>
      <c r="K60" s="225"/>
    </row>
  </sheetData>
  <dataConsolidate/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40">
    <cfRule type="containsText" dxfId="124" priority="1" operator="containsText" text="MN12">
      <formula>NOT(ISERROR(SEARCH("MN12",F5)))</formula>
    </cfRule>
    <cfRule type="containsText" dxfId="123" priority="2" operator="containsText" text="STNN21">
      <formula>NOT(ISERROR(SEARCH("STNN21",F5)))</formula>
    </cfRule>
    <cfRule type="containsText" dxfId="122" priority="3" operator="containsText" text="STAN13">
      <formula>NOT(ISERROR(SEARCH("STAN13",F5)))</formula>
    </cfRule>
    <cfRule type="containsText" dxfId="121" priority="4" operator="containsText" text="STMN06">
      <formula>NOT(ISERROR(SEARCH("STMN06",F5)))</formula>
    </cfRule>
    <cfRule type="containsText" dxfId="120" priority="5" operator="containsText" text="LV">
      <formula>NOT(ISERROR(SEARCH("LV",F5)))</formula>
    </cfRule>
    <cfRule type="containsText" dxfId="119" priority="6" operator="containsText" text="TR">
      <formula>NOT(ISERROR(SEARCH("TR",F5)))</formula>
    </cfRule>
    <cfRule type="containsText" dxfId="118" priority="7" operator="containsText" text="NN21">
      <formula>NOT(ISERROR(SEARCH("NN21",F5)))</formula>
    </cfRule>
    <cfRule type="containsText" dxfId="117" priority="8" operator="containsText" text="AN13">
      <formula>NOT(ISERROR(SEARCH("AN13",F5)))</formula>
    </cfRule>
    <cfRule type="containsText" dxfId="116" priority="9" operator="containsText" text="MN06">
      <formula>NOT(ISERROR(SEARCH("MN06",F5)))</formula>
    </cfRule>
    <cfRule type="containsText" dxfId="115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14">
        <v>82658</v>
      </c>
      <c r="D2" s="114">
        <v>82673</v>
      </c>
      <c r="E2" s="114">
        <v>82464</v>
      </c>
      <c r="F2" s="114">
        <v>82649</v>
      </c>
      <c r="G2" s="114">
        <v>990465</v>
      </c>
      <c r="H2" s="114">
        <v>82659</v>
      </c>
      <c r="I2" s="114">
        <v>82545</v>
      </c>
      <c r="J2" s="114">
        <v>82671</v>
      </c>
      <c r="K2" s="114">
        <v>82615</v>
      </c>
      <c r="L2" s="114">
        <v>82672</v>
      </c>
      <c r="M2" s="114">
        <v>8930</v>
      </c>
      <c r="N2" s="114">
        <v>82283</v>
      </c>
      <c r="O2" s="114">
        <v>82587</v>
      </c>
      <c r="P2" s="114">
        <v>80270</v>
      </c>
      <c r="Q2" s="114">
        <v>990752</v>
      </c>
      <c r="R2" s="114">
        <v>81393</v>
      </c>
      <c r="S2" s="114">
        <v>80482</v>
      </c>
      <c r="T2" s="114">
        <v>82645</v>
      </c>
      <c r="U2" s="114">
        <v>82574</v>
      </c>
      <c r="V2" s="114">
        <v>82578</v>
      </c>
      <c r="W2" s="114">
        <v>82674</v>
      </c>
      <c r="X2" s="114">
        <v>8611</v>
      </c>
      <c r="Y2" s="114">
        <v>82666</v>
      </c>
      <c r="Z2" s="114">
        <v>82547</v>
      </c>
      <c r="AA2" s="114">
        <v>82577</v>
      </c>
      <c r="AB2" s="114">
        <v>80695</v>
      </c>
      <c r="AC2" s="114">
        <v>8646</v>
      </c>
      <c r="AD2" s="114">
        <v>82555</v>
      </c>
      <c r="AE2" s="114">
        <v>82424</v>
      </c>
      <c r="AF2" s="114">
        <v>82616</v>
      </c>
      <c r="AG2" s="114">
        <v>82439</v>
      </c>
      <c r="AH2" s="114">
        <v>82661</v>
      </c>
      <c r="AI2" s="114">
        <v>8715</v>
      </c>
      <c r="AJ2" s="114">
        <v>8584</v>
      </c>
      <c r="AK2" s="114">
        <v>81832</v>
      </c>
      <c r="AL2" s="114">
        <v>82670</v>
      </c>
    </row>
    <row r="3" spans="2:38" ht="15.75" x14ac:dyDescent="0.25">
      <c r="B3" s="116">
        <v>45992</v>
      </c>
      <c r="C3" s="115" t="s">
        <v>257</v>
      </c>
      <c r="D3" s="115" t="s">
        <v>230</v>
      </c>
      <c r="E3" s="115" t="s">
        <v>254</v>
      </c>
      <c r="F3" s="115" t="s">
        <v>254</v>
      </c>
      <c r="G3" s="115" t="s">
        <v>257</v>
      </c>
      <c r="H3" s="115" t="s">
        <v>257</v>
      </c>
      <c r="I3" s="115" t="s">
        <v>257</v>
      </c>
      <c r="J3" s="115" t="s">
        <v>229</v>
      </c>
      <c r="K3" s="115" t="s">
        <v>229</v>
      </c>
      <c r="L3" s="115" t="s">
        <v>230</v>
      </c>
      <c r="M3" s="115" t="s">
        <v>254</v>
      </c>
      <c r="N3" s="115" t="s">
        <v>254</v>
      </c>
      <c r="O3" s="115" t="s">
        <v>257</v>
      </c>
      <c r="P3" s="115" t="s">
        <v>257</v>
      </c>
      <c r="Q3" s="115" t="s">
        <v>257</v>
      </c>
      <c r="R3" s="115" t="s">
        <v>229</v>
      </c>
      <c r="S3" s="115" t="s">
        <v>230</v>
      </c>
      <c r="T3" s="115" t="s">
        <v>254</v>
      </c>
      <c r="U3" s="115" t="s">
        <v>254</v>
      </c>
      <c r="V3" s="115" t="s">
        <v>257</v>
      </c>
      <c r="W3" s="115" t="s">
        <v>257</v>
      </c>
      <c r="X3" s="115" t="s">
        <v>229</v>
      </c>
      <c r="Y3" s="115" t="s">
        <v>230</v>
      </c>
      <c r="Z3" s="115" t="s">
        <v>230</v>
      </c>
      <c r="AA3" s="115" t="s">
        <v>254</v>
      </c>
      <c r="AB3" s="115" t="s">
        <v>254</v>
      </c>
      <c r="AC3" s="115" t="s">
        <v>257</v>
      </c>
      <c r="AD3" s="115" t="s">
        <v>257</v>
      </c>
      <c r="AE3" s="115" t="s">
        <v>257</v>
      </c>
      <c r="AF3" s="115" t="s">
        <v>229</v>
      </c>
      <c r="AG3" s="115" t="s">
        <v>229</v>
      </c>
      <c r="AH3" s="115" t="s">
        <v>230</v>
      </c>
      <c r="AI3" s="115" t="s">
        <v>254</v>
      </c>
      <c r="AJ3" s="115" t="s">
        <v>229</v>
      </c>
      <c r="AK3" s="115" t="s">
        <v>230</v>
      </c>
      <c r="AL3" s="115" t="s">
        <v>239</v>
      </c>
    </row>
    <row r="4" spans="2:38" ht="15.75" x14ac:dyDescent="0.25">
      <c r="B4" s="116">
        <v>45993</v>
      </c>
      <c r="C4" s="115" t="s">
        <v>229</v>
      </c>
      <c r="D4" s="115" t="s">
        <v>254</v>
      </c>
      <c r="E4" s="115" t="s">
        <v>254</v>
      </c>
      <c r="F4" s="115" t="s">
        <v>257</v>
      </c>
      <c r="G4" s="115" t="s">
        <v>257</v>
      </c>
      <c r="H4" s="115" t="s">
        <v>257</v>
      </c>
      <c r="I4" s="115" t="s">
        <v>229</v>
      </c>
      <c r="J4" s="115" t="s">
        <v>230</v>
      </c>
      <c r="K4" s="115" t="s">
        <v>230</v>
      </c>
      <c r="L4" s="115" t="s">
        <v>254</v>
      </c>
      <c r="M4" s="115" t="s">
        <v>254</v>
      </c>
      <c r="N4" s="115" t="s">
        <v>257</v>
      </c>
      <c r="O4" s="115" t="s">
        <v>257</v>
      </c>
      <c r="P4" s="115" t="s">
        <v>257</v>
      </c>
      <c r="Q4" s="115" t="s">
        <v>229</v>
      </c>
      <c r="R4" s="115" t="s">
        <v>230</v>
      </c>
      <c r="S4" s="115" t="s">
        <v>230</v>
      </c>
      <c r="T4" s="115" t="s">
        <v>254</v>
      </c>
      <c r="U4" s="115" t="s">
        <v>257</v>
      </c>
      <c r="V4" s="115" t="s">
        <v>257</v>
      </c>
      <c r="W4" s="115" t="s">
        <v>229</v>
      </c>
      <c r="X4" s="115" t="s">
        <v>230</v>
      </c>
      <c r="Y4" s="115" t="s">
        <v>230</v>
      </c>
      <c r="Z4" s="115" t="s">
        <v>254</v>
      </c>
      <c r="AA4" s="115" t="s">
        <v>254</v>
      </c>
      <c r="AB4" s="115" t="s">
        <v>257</v>
      </c>
      <c r="AC4" s="115" t="s">
        <v>257</v>
      </c>
      <c r="AD4" s="115" t="s">
        <v>257</v>
      </c>
      <c r="AE4" s="115" t="s">
        <v>229</v>
      </c>
      <c r="AF4" s="115" t="s">
        <v>229</v>
      </c>
      <c r="AG4" s="115" t="s">
        <v>230</v>
      </c>
      <c r="AH4" s="115" t="s">
        <v>254</v>
      </c>
      <c r="AI4" s="115" t="s">
        <v>254</v>
      </c>
      <c r="AJ4" s="115" t="s">
        <v>229</v>
      </c>
      <c r="AK4" s="115" t="s">
        <v>230</v>
      </c>
      <c r="AL4" s="115" t="s">
        <v>229</v>
      </c>
    </row>
    <row r="5" spans="2:38" ht="15.75" x14ac:dyDescent="0.25">
      <c r="B5" s="116">
        <v>45994</v>
      </c>
      <c r="C5" s="115" t="s">
        <v>230</v>
      </c>
      <c r="D5" s="115" t="s">
        <v>254</v>
      </c>
      <c r="E5" s="115" t="s">
        <v>257</v>
      </c>
      <c r="F5" s="115" t="s">
        <v>257</v>
      </c>
      <c r="G5" s="115" t="s">
        <v>257</v>
      </c>
      <c r="H5" s="115" t="s">
        <v>229</v>
      </c>
      <c r="I5" s="115" t="s">
        <v>230</v>
      </c>
      <c r="J5" s="115" t="s">
        <v>230</v>
      </c>
      <c r="K5" s="115" t="s">
        <v>254</v>
      </c>
      <c r="L5" s="115" t="s">
        <v>254</v>
      </c>
      <c r="M5" s="115" t="s">
        <v>257</v>
      </c>
      <c r="N5" s="115" t="s">
        <v>257</v>
      </c>
      <c r="O5" s="115" t="s">
        <v>257</v>
      </c>
      <c r="P5" s="115" t="s">
        <v>229</v>
      </c>
      <c r="Q5" s="115" t="s">
        <v>229</v>
      </c>
      <c r="R5" s="115" t="s">
        <v>230</v>
      </c>
      <c r="S5" s="115" t="s">
        <v>254</v>
      </c>
      <c r="T5" s="115" t="s">
        <v>257</v>
      </c>
      <c r="U5" s="115" t="s">
        <v>257</v>
      </c>
      <c r="V5" s="115" t="s">
        <v>229</v>
      </c>
      <c r="W5" s="115" t="s">
        <v>230</v>
      </c>
      <c r="X5" s="115" t="s">
        <v>230</v>
      </c>
      <c r="Y5" s="115" t="s">
        <v>254</v>
      </c>
      <c r="Z5" s="115" t="s">
        <v>254</v>
      </c>
      <c r="AA5" s="115" t="s">
        <v>257</v>
      </c>
      <c r="AB5" s="115" t="s">
        <v>257</v>
      </c>
      <c r="AC5" s="115" t="s">
        <v>257</v>
      </c>
      <c r="AD5" s="115" t="s">
        <v>229</v>
      </c>
      <c r="AE5" s="115" t="s">
        <v>229</v>
      </c>
      <c r="AF5" s="115" t="s">
        <v>230</v>
      </c>
      <c r="AG5" s="115" t="s">
        <v>254</v>
      </c>
      <c r="AH5" s="115" t="s">
        <v>254</v>
      </c>
      <c r="AI5" s="115" t="s">
        <v>257</v>
      </c>
      <c r="AJ5" s="115" t="s">
        <v>230</v>
      </c>
      <c r="AK5" s="115" t="s">
        <v>229</v>
      </c>
      <c r="AL5" s="115" t="s">
        <v>229</v>
      </c>
    </row>
    <row r="6" spans="2:38" ht="15.75" x14ac:dyDescent="0.25">
      <c r="B6" s="116">
        <v>45995</v>
      </c>
      <c r="C6" s="115" t="s">
        <v>230</v>
      </c>
      <c r="D6" s="115" t="s">
        <v>257</v>
      </c>
      <c r="E6" s="115" t="s">
        <v>257</v>
      </c>
      <c r="F6" s="115" t="s">
        <v>257</v>
      </c>
      <c r="G6" s="115" t="s">
        <v>229</v>
      </c>
      <c r="H6" s="115" t="s">
        <v>230</v>
      </c>
      <c r="I6" s="115" t="s">
        <v>230</v>
      </c>
      <c r="J6" s="115" t="s">
        <v>254</v>
      </c>
      <c r="K6" s="115" t="s">
        <v>254</v>
      </c>
      <c r="L6" s="115" t="s">
        <v>257</v>
      </c>
      <c r="M6" s="115" t="s">
        <v>257</v>
      </c>
      <c r="N6" s="115" t="s">
        <v>257</v>
      </c>
      <c r="O6" s="115" t="s">
        <v>229</v>
      </c>
      <c r="P6" s="115" t="s">
        <v>229</v>
      </c>
      <c r="Q6" s="115" t="s">
        <v>230</v>
      </c>
      <c r="R6" s="115" t="s">
        <v>254</v>
      </c>
      <c r="S6" s="115" t="s">
        <v>254</v>
      </c>
      <c r="T6" s="115" t="s">
        <v>257</v>
      </c>
      <c r="U6" s="115" t="s">
        <v>257</v>
      </c>
      <c r="V6" s="115" t="s">
        <v>230</v>
      </c>
      <c r="W6" s="115" t="s">
        <v>230</v>
      </c>
      <c r="X6" s="115" t="s">
        <v>254</v>
      </c>
      <c r="Y6" s="115" t="s">
        <v>254</v>
      </c>
      <c r="Z6" s="115" t="s">
        <v>257</v>
      </c>
      <c r="AA6" s="115" t="s">
        <v>257</v>
      </c>
      <c r="AB6" s="115" t="s">
        <v>257</v>
      </c>
      <c r="AC6" s="115" t="s">
        <v>229</v>
      </c>
      <c r="AD6" s="115" t="s">
        <v>229</v>
      </c>
      <c r="AE6" s="115" t="s">
        <v>230</v>
      </c>
      <c r="AF6" s="115" t="s">
        <v>254</v>
      </c>
      <c r="AG6" s="115" t="s">
        <v>254</v>
      </c>
      <c r="AH6" s="115" t="s">
        <v>257</v>
      </c>
      <c r="AI6" s="115" t="s">
        <v>257</v>
      </c>
      <c r="AJ6" s="115" t="s">
        <v>230</v>
      </c>
      <c r="AK6" s="115" t="s">
        <v>229</v>
      </c>
      <c r="AL6" s="115" t="s">
        <v>257</v>
      </c>
    </row>
    <row r="7" spans="2:38" ht="15.75" x14ac:dyDescent="0.25">
      <c r="B7" s="116">
        <v>45996</v>
      </c>
      <c r="C7" s="115" t="s">
        <v>254</v>
      </c>
      <c r="D7" s="115" t="s">
        <v>257</v>
      </c>
      <c r="E7" s="115" t="s">
        <v>257</v>
      </c>
      <c r="F7" s="115" t="s">
        <v>229</v>
      </c>
      <c r="G7" s="115" t="s">
        <v>230</v>
      </c>
      <c r="H7" s="115" t="s">
        <v>230</v>
      </c>
      <c r="I7" s="115" t="s">
        <v>254</v>
      </c>
      <c r="J7" s="115" t="s">
        <v>254</v>
      </c>
      <c r="K7" s="115" t="s">
        <v>257</v>
      </c>
      <c r="L7" s="115" t="s">
        <v>257</v>
      </c>
      <c r="M7" s="115" t="s">
        <v>257</v>
      </c>
      <c r="N7" s="115" t="s">
        <v>229</v>
      </c>
      <c r="O7" s="115" t="s">
        <v>229</v>
      </c>
      <c r="P7" s="115" t="s">
        <v>230</v>
      </c>
      <c r="Q7" s="115" t="s">
        <v>254</v>
      </c>
      <c r="R7" s="115" t="s">
        <v>254</v>
      </c>
      <c r="S7" s="115" t="s">
        <v>257</v>
      </c>
      <c r="T7" s="115" t="s">
        <v>257</v>
      </c>
      <c r="U7" s="115" t="s">
        <v>229</v>
      </c>
      <c r="V7" s="115" t="s">
        <v>230</v>
      </c>
      <c r="W7" s="115" t="s">
        <v>254</v>
      </c>
      <c r="X7" s="115" t="s">
        <v>254</v>
      </c>
      <c r="Y7" s="115" t="s">
        <v>257</v>
      </c>
      <c r="Z7" s="115" t="s">
        <v>257</v>
      </c>
      <c r="AA7" s="115" t="s">
        <v>257</v>
      </c>
      <c r="AB7" s="115" t="s">
        <v>229</v>
      </c>
      <c r="AC7" s="115" t="s">
        <v>229</v>
      </c>
      <c r="AD7" s="115" t="s">
        <v>230</v>
      </c>
      <c r="AE7" s="115" t="s">
        <v>254</v>
      </c>
      <c r="AF7" s="115" t="s">
        <v>254</v>
      </c>
      <c r="AG7" s="115" t="s">
        <v>257</v>
      </c>
      <c r="AH7" s="115" t="s">
        <v>257</v>
      </c>
      <c r="AI7" s="115" t="s">
        <v>257</v>
      </c>
      <c r="AJ7" s="115" t="s">
        <v>257</v>
      </c>
      <c r="AK7" s="115" t="s">
        <v>257</v>
      </c>
      <c r="AL7" s="115" t="s">
        <v>257</v>
      </c>
    </row>
    <row r="8" spans="2:38" ht="15.75" x14ac:dyDescent="0.25">
      <c r="B8" s="116">
        <v>45997</v>
      </c>
      <c r="C8" s="115" t="s">
        <v>254</v>
      </c>
      <c r="D8" s="115" t="s">
        <v>257</v>
      </c>
      <c r="E8" s="115" t="s">
        <v>229</v>
      </c>
      <c r="F8" s="115" t="s">
        <v>230</v>
      </c>
      <c r="G8" s="115" t="s">
        <v>254</v>
      </c>
      <c r="H8" s="115" t="s">
        <v>254</v>
      </c>
      <c r="I8" s="115" t="s">
        <v>254</v>
      </c>
      <c r="J8" s="115" t="s">
        <v>257</v>
      </c>
      <c r="K8" s="115" t="s">
        <v>257</v>
      </c>
      <c r="L8" s="115" t="s">
        <v>257</v>
      </c>
      <c r="M8" s="115" t="s">
        <v>229</v>
      </c>
      <c r="N8" s="115" t="s">
        <v>230</v>
      </c>
      <c r="O8" s="115" t="s">
        <v>230</v>
      </c>
      <c r="P8" s="115" t="s">
        <v>254</v>
      </c>
      <c r="Q8" s="115" t="s">
        <v>254</v>
      </c>
      <c r="R8" s="115" t="s">
        <v>257</v>
      </c>
      <c r="S8" s="115" t="s">
        <v>257</v>
      </c>
      <c r="T8" s="115" t="s">
        <v>229</v>
      </c>
      <c r="U8" s="115" t="s">
        <v>230</v>
      </c>
      <c r="V8" s="115" t="s">
        <v>254</v>
      </c>
      <c r="W8" s="115" t="s">
        <v>254</v>
      </c>
      <c r="X8" s="115" t="s">
        <v>257</v>
      </c>
      <c r="Y8" s="115" t="s">
        <v>257</v>
      </c>
      <c r="Z8" s="115" t="s">
        <v>257</v>
      </c>
      <c r="AA8" s="115" t="s">
        <v>229</v>
      </c>
      <c r="AB8" s="115" t="s">
        <v>230</v>
      </c>
      <c r="AC8" s="115" t="s">
        <v>230</v>
      </c>
      <c r="AD8" s="115" t="s">
        <v>254</v>
      </c>
      <c r="AE8" s="115" t="s">
        <v>254</v>
      </c>
      <c r="AF8" s="115" t="s">
        <v>257</v>
      </c>
      <c r="AG8" s="115" t="s">
        <v>257</v>
      </c>
      <c r="AH8" s="115" t="s">
        <v>257</v>
      </c>
      <c r="AI8" s="115" t="s">
        <v>229</v>
      </c>
      <c r="AJ8" s="115" t="s">
        <v>257</v>
      </c>
      <c r="AK8" s="115" t="s">
        <v>257</v>
      </c>
      <c r="AL8" s="115" t="s">
        <v>239</v>
      </c>
    </row>
    <row r="9" spans="2:38" ht="15.75" x14ac:dyDescent="0.25">
      <c r="B9" s="116">
        <v>45998</v>
      </c>
      <c r="C9" s="115" t="s">
        <v>257</v>
      </c>
      <c r="D9" s="115" t="s">
        <v>229</v>
      </c>
      <c r="E9" s="115" t="s">
        <v>230</v>
      </c>
      <c r="F9" s="115" t="s">
        <v>230</v>
      </c>
      <c r="G9" s="115" t="s">
        <v>254</v>
      </c>
      <c r="H9" s="115" t="s">
        <v>254</v>
      </c>
      <c r="I9" s="115" t="s">
        <v>257</v>
      </c>
      <c r="J9" s="115" t="s">
        <v>257</v>
      </c>
      <c r="K9" s="115" t="s">
        <v>257</v>
      </c>
      <c r="L9" s="115" t="s">
        <v>229</v>
      </c>
      <c r="M9" s="115" t="s">
        <v>230</v>
      </c>
      <c r="N9" s="115" t="s">
        <v>230</v>
      </c>
      <c r="O9" s="115" t="s">
        <v>254</v>
      </c>
      <c r="P9" s="115" t="s">
        <v>254</v>
      </c>
      <c r="Q9" s="115" t="s">
        <v>257</v>
      </c>
      <c r="R9" s="115" t="s">
        <v>257</v>
      </c>
      <c r="S9" s="115" t="s">
        <v>257</v>
      </c>
      <c r="T9" s="115" t="s">
        <v>229</v>
      </c>
      <c r="U9" s="115" t="s">
        <v>230</v>
      </c>
      <c r="V9" s="115" t="s">
        <v>254</v>
      </c>
      <c r="W9" s="115" t="s">
        <v>257</v>
      </c>
      <c r="X9" s="115" t="s">
        <v>257</v>
      </c>
      <c r="Y9" s="115" t="s">
        <v>257</v>
      </c>
      <c r="Z9" s="115" t="s">
        <v>229</v>
      </c>
      <c r="AA9" s="115" t="s">
        <v>230</v>
      </c>
      <c r="AB9" s="115" t="s">
        <v>254</v>
      </c>
      <c r="AC9" s="115" t="s">
        <v>254</v>
      </c>
      <c r="AD9" s="115" t="s">
        <v>254</v>
      </c>
      <c r="AE9" s="115" t="s">
        <v>257</v>
      </c>
      <c r="AF9" s="115" t="s">
        <v>257</v>
      </c>
      <c r="AG9" s="115" t="s">
        <v>257</v>
      </c>
      <c r="AH9" s="115" t="s">
        <v>229</v>
      </c>
      <c r="AI9" s="115" t="s">
        <v>229</v>
      </c>
      <c r="AJ9" s="115" t="s">
        <v>229</v>
      </c>
      <c r="AK9" s="115" t="s">
        <v>230</v>
      </c>
      <c r="AL9" s="115" t="s">
        <v>239</v>
      </c>
    </row>
    <row r="10" spans="2:38" ht="15.75" x14ac:dyDescent="0.25">
      <c r="B10" s="116">
        <v>45999</v>
      </c>
      <c r="C10" s="115" t="s">
        <v>257</v>
      </c>
      <c r="D10" s="115" t="s">
        <v>229</v>
      </c>
      <c r="E10" s="115" t="s">
        <v>230</v>
      </c>
      <c r="F10" s="115" t="s">
        <v>254</v>
      </c>
      <c r="G10" s="115" t="s">
        <v>254</v>
      </c>
      <c r="H10" s="115" t="s">
        <v>257</v>
      </c>
      <c r="I10" s="115" t="s">
        <v>257</v>
      </c>
      <c r="J10" s="115" t="s">
        <v>257</v>
      </c>
      <c r="K10" s="115" t="s">
        <v>229</v>
      </c>
      <c r="L10" s="115" t="s">
        <v>230</v>
      </c>
      <c r="M10" s="115" t="s">
        <v>230</v>
      </c>
      <c r="N10" s="115" t="s">
        <v>254</v>
      </c>
      <c r="O10" s="115" t="s">
        <v>254</v>
      </c>
      <c r="P10" s="115" t="s">
        <v>257</v>
      </c>
      <c r="Q10" s="115" t="s">
        <v>257</v>
      </c>
      <c r="R10" s="115" t="s">
        <v>257</v>
      </c>
      <c r="S10" s="115" t="s">
        <v>229</v>
      </c>
      <c r="T10" s="115" t="s">
        <v>230</v>
      </c>
      <c r="U10" s="115" t="s">
        <v>254</v>
      </c>
      <c r="V10" s="115" t="s">
        <v>257</v>
      </c>
      <c r="W10" s="115" t="s">
        <v>257</v>
      </c>
      <c r="X10" s="115" t="s">
        <v>257</v>
      </c>
      <c r="Y10" s="115" t="s">
        <v>229</v>
      </c>
      <c r="Z10" s="115" t="s">
        <v>230</v>
      </c>
      <c r="AA10" s="115" t="s">
        <v>230</v>
      </c>
      <c r="AB10" s="115" t="s">
        <v>254</v>
      </c>
      <c r="AC10" s="115" t="s">
        <v>254</v>
      </c>
      <c r="AD10" s="115" t="s">
        <v>257</v>
      </c>
      <c r="AE10" s="115" t="s">
        <v>257</v>
      </c>
      <c r="AF10" s="115" t="s">
        <v>257</v>
      </c>
      <c r="AG10" s="115" t="s">
        <v>229</v>
      </c>
      <c r="AH10" s="115" t="s">
        <v>230</v>
      </c>
      <c r="AI10" s="115" t="s">
        <v>230</v>
      </c>
      <c r="AJ10" s="115" t="s">
        <v>229</v>
      </c>
      <c r="AK10" s="115" t="s">
        <v>230</v>
      </c>
      <c r="AL10" s="115" t="s">
        <v>239</v>
      </c>
    </row>
    <row r="11" spans="2:38" ht="15.75" x14ac:dyDescent="0.25">
      <c r="B11" s="116">
        <v>46000</v>
      </c>
      <c r="C11" s="115" t="s">
        <v>257</v>
      </c>
      <c r="D11" s="115" t="s">
        <v>230</v>
      </c>
      <c r="E11" s="115" t="s">
        <v>254</v>
      </c>
      <c r="F11" s="115" t="s">
        <v>254</v>
      </c>
      <c r="G11" s="115" t="s">
        <v>257</v>
      </c>
      <c r="H11" s="115" t="s">
        <v>257</v>
      </c>
      <c r="I11" s="115" t="s">
        <v>257</v>
      </c>
      <c r="J11" s="115" t="s">
        <v>229</v>
      </c>
      <c r="K11" s="115" t="s">
        <v>230</v>
      </c>
      <c r="L11" s="115" t="s">
        <v>230</v>
      </c>
      <c r="M11" s="115" t="s">
        <v>254</v>
      </c>
      <c r="N11" s="115" t="s">
        <v>254</v>
      </c>
      <c r="O11" s="115" t="s">
        <v>257</v>
      </c>
      <c r="P11" s="115" t="s">
        <v>257</v>
      </c>
      <c r="Q11" s="115" t="s">
        <v>257</v>
      </c>
      <c r="R11" s="115" t="s">
        <v>229</v>
      </c>
      <c r="S11" s="115" t="s">
        <v>230</v>
      </c>
      <c r="T11" s="115" t="s">
        <v>254</v>
      </c>
      <c r="U11" s="115" t="s">
        <v>254</v>
      </c>
      <c r="V11" s="115" t="s">
        <v>257</v>
      </c>
      <c r="W11" s="115" t="s">
        <v>257</v>
      </c>
      <c r="X11" s="115" t="s">
        <v>229</v>
      </c>
      <c r="Y11" s="115" t="s">
        <v>230</v>
      </c>
      <c r="Z11" s="115" t="s">
        <v>230</v>
      </c>
      <c r="AA11" s="115" t="s">
        <v>254</v>
      </c>
      <c r="AB11" s="115" t="s">
        <v>254</v>
      </c>
      <c r="AC11" s="115" t="s">
        <v>257</v>
      </c>
      <c r="AD11" s="115" t="s">
        <v>257</v>
      </c>
      <c r="AE11" s="115" t="s">
        <v>257</v>
      </c>
      <c r="AF11" s="115" t="s">
        <v>229</v>
      </c>
      <c r="AG11" s="115" t="s">
        <v>229</v>
      </c>
      <c r="AH11" s="115" t="s">
        <v>230</v>
      </c>
      <c r="AI11" s="115" t="s">
        <v>254</v>
      </c>
      <c r="AJ11" s="115" t="s">
        <v>229</v>
      </c>
      <c r="AK11" s="115" t="s">
        <v>230</v>
      </c>
      <c r="AL11" s="115" t="s">
        <v>229</v>
      </c>
    </row>
    <row r="12" spans="2:38" ht="15.75" x14ac:dyDescent="0.25">
      <c r="B12" s="116">
        <v>46001</v>
      </c>
      <c r="C12" s="115" t="s">
        <v>229</v>
      </c>
      <c r="D12" s="115" t="s">
        <v>230</v>
      </c>
      <c r="E12" s="115" t="s">
        <v>254</v>
      </c>
      <c r="F12" s="115" t="s">
        <v>257</v>
      </c>
      <c r="G12" s="115" t="s">
        <v>257</v>
      </c>
      <c r="H12" s="115" t="s">
        <v>257</v>
      </c>
      <c r="I12" s="115" t="s">
        <v>229</v>
      </c>
      <c r="J12" s="115" t="s">
        <v>229</v>
      </c>
      <c r="K12" s="115" t="s">
        <v>230</v>
      </c>
      <c r="L12" s="115" t="s">
        <v>254</v>
      </c>
      <c r="M12" s="115" t="s">
        <v>254</v>
      </c>
      <c r="N12" s="115" t="s">
        <v>257</v>
      </c>
      <c r="O12" s="115" t="s">
        <v>257</v>
      </c>
      <c r="P12" s="115" t="s">
        <v>257</v>
      </c>
      <c r="Q12" s="115" t="s">
        <v>229</v>
      </c>
      <c r="R12" s="115" t="s">
        <v>229</v>
      </c>
      <c r="S12" s="115" t="s">
        <v>230</v>
      </c>
      <c r="T12" s="115" t="s">
        <v>254</v>
      </c>
      <c r="U12" s="115" t="s">
        <v>257</v>
      </c>
      <c r="V12" s="115" t="s">
        <v>257</v>
      </c>
      <c r="W12" s="115" t="s">
        <v>229</v>
      </c>
      <c r="X12" s="115" t="s">
        <v>230</v>
      </c>
      <c r="Y12" s="115" t="s">
        <v>230</v>
      </c>
      <c r="Z12" s="115" t="s">
        <v>254</v>
      </c>
      <c r="AA12" s="115" t="s">
        <v>254</v>
      </c>
      <c r="AB12" s="115" t="s">
        <v>257</v>
      </c>
      <c r="AC12" s="115" t="s">
        <v>257</v>
      </c>
      <c r="AD12" s="115" t="s">
        <v>257</v>
      </c>
      <c r="AE12" s="115" t="s">
        <v>229</v>
      </c>
      <c r="AF12" s="115" t="s">
        <v>230</v>
      </c>
      <c r="AG12" s="115" t="s">
        <v>230</v>
      </c>
      <c r="AH12" s="115" t="s">
        <v>254</v>
      </c>
      <c r="AI12" s="115" t="s">
        <v>254</v>
      </c>
      <c r="AJ12" s="115" t="s">
        <v>230</v>
      </c>
      <c r="AK12" s="115" t="s">
        <v>229</v>
      </c>
      <c r="AL12" s="115" t="s">
        <v>229</v>
      </c>
    </row>
    <row r="13" spans="2:38" ht="15.75" x14ac:dyDescent="0.25">
      <c r="B13" s="116">
        <v>46002</v>
      </c>
      <c r="C13" s="115" t="s">
        <v>229</v>
      </c>
      <c r="D13" s="115" t="s">
        <v>254</v>
      </c>
      <c r="E13" s="115" t="s">
        <v>257</v>
      </c>
      <c r="F13" s="115" t="s">
        <v>257</v>
      </c>
      <c r="G13" s="115" t="s">
        <v>257</v>
      </c>
      <c r="H13" s="115" t="s">
        <v>229</v>
      </c>
      <c r="I13" s="115" t="s">
        <v>229</v>
      </c>
      <c r="J13" s="115" t="s">
        <v>230</v>
      </c>
      <c r="K13" s="115" t="s">
        <v>230</v>
      </c>
      <c r="L13" s="115" t="s">
        <v>254</v>
      </c>
      <c r="M13" s="115" t="s">
        <v>257</v>
      </c>
      <c r="N13" s="115" t="s">
        <v>257</v>
      </c>
      <c r="O13" s="115" t="s">
        <v>257</v>
      </c>
      <c r="P13" s="115" t="s">
        <v>229</v>
      </c>
      <c r="Q13" s="115" t="s">
        <v>229</v>
      </c>
      <c r="R13" s="115" t="s">
        <v>230</v>
      </c>
      <c r="S13" s="115" t="s">
        <v>254</v>
      </c>
      <c r="T13" s="115" t="s">
        <v>257</v>
      </c>
      <c r="U13" s="115" t="s">
        <v>257</v>
      </c>
      <c r="V13" s="115" t="s">
        <v>229</v>
      </c>
      <c r="W13" s="115" t="s">
        <v>230</v>
      </c>
      <c r="X13" s="115" t="s">
        <v>230</v>
      </c>
      <c r="Y13" s="115" t="s">
        <v>254</v>
      </c>
      <c r="Z13" s="115" t="s">
        <v>254</v>
      </c>
      <c r="AA13" s="115" t="s">
        <v>257</v>
      </c>
      <c r="AB13" s="115" t="s">
        <v>257</v>
      </c>
      <c r="AC13" s="115" t="s">
        <v>257</v>
      </c>
      <c r="AD13" s="115" t="s">
        <v>229</v>
      </c>
      <c r="AE13" s="115" t="s">
        <v>230</v>
      </c>
      <c r="AF13" s="115" t="s">
        <v>230</v>
      </c>
      <c r="AG13" s="115" t="s">
        <v>254</v>
      </c>
      <c r="AH13" s="115" t="s">
        <v>254</v>
      </c>
      <c r="AI13" s="115" t="s">
        <v>257</v>
      </c>
      <c r="AJ13" s="115" t="s">
        <v>230</v>
      </c>
      <c r="AK13" s="115" t="s">
        <v>229</v>
      </c>
      <c r="AL13" s="115" t="s">
        <v>257</v>
      </c>
    </row>
    <row r="14" spans="2:38" ht="15.75" x14ac:dyDescent="0.25">
      <c r="B14" s="116">
        <v>46003</v>
      </c>
      <c r="C14" s="115" t="s">
        <v>230</v>
      </c>
      <c r="D14" s="115" t="s">
        <v>257</v>
      </c>
      <c r="E14" s="115" t="s">
        <v>257</v>
      </c>
      <c r="F14" s="115" t="s">
        <v>257</v>
      </c>
      <c r="G14" s="115" t="s">
        <v>229</v>
      </c>
      <c r="H14" s="115" t="s">
        <v>230</v>
      </c>
      <c r="I14" s="115" t="s">
        <v>230</v>
      </c>
      <c r="J14" s="115" t="s">
        <v>254</v>
      </c>
      <c r="K14" s="115" t="s">
        <v>254</v>
      </c>
      <c r="L14" s="115" t="s">
        <v>257</v>
      </c>
      <c r="M14" s="115" t="s">
        <v>257</v>
      </c>
      <c r="N14" s="115" t="s">
        <v>257</v>
      </c>
      <c r="O14" s="115" t="s">
        <v>229</v>
      </c>
      <c r="P14" s="115" t="s">
        <v>229</v>
      </c>
      <c r="Q14" s="115" t="s">
        <v>230</v>
      </c>
      <c r="R14" s="115" t="s">
        <v>254</v>
      </c>
      <c r="S14" s="115" t="s">
        <v>254</v>
      </c>
      <c r="T14" s="115" t="s">
        <v>257</v>
      </c>
      <c r="U14" s="115" t="s">
        <v>257</v>
      </c>
      <c r="V14" s="115" t="s">
        <v>230</v>
      </c>
      <c r="W14" s="115" t="s">
        <v>230</v>
      </c>
      <c r="X14" s="115" t="s">
        <v>254</v>
      </c>
      <c r="Y14" s="115" t="s">
        <v>254</v>
      </c>
      <c r="Z14" s="115" t="s">
        <v>257</v>
      </c>
      <c r="AA14" s="115" t="s">
        <v>257</v>
      </c>
      <c r="AB14" s="115" t="s">
        <v>257</v>
      </c>
      <c r="AC14" s="115" t="s">
        <v>229</v>
      </c>
      <c r="AD14" s="115" t="s">
        <v>230</v>
      </c>
      <c r="AE14" s="115" t="s">
        <v>230</v>
      </c>
      <c r="AF14" s="115" t="s">
        <v>254</v>
      </c>
      <c r="AG14" s="115" t="s">
        <v>254</v>
      </c>
      <c r="AH14" s="115" t="s">
        <v>257</v>
      </c>
      <c r="AI14" s="115" t="s">
        <v>257</v>
      </c>
      <c r="AJ14" s="115" t="s">
        <v>257</v>
      </c>
      <c r="AK14" s="115" t="s">
        <v>257</v>
      </c>
      <c r="AL14" s="115" t="s">
        <v>257</v>
      </c>
    </row>
    <row r="15" spans="2:38" ht="15.75" x14ac:dyDescent="0.25">
      <c r="B15" s="116">
        <v>46004</v>
      </c>
      <c r="C15" s="115" t="s">
        <v>254</v>
      </c>
      <c r="D15" s="115" t="s">
        <v>257</v>
      </c>
      <c r="E15" s="115" t="s">
        <v>257</v>
      </c>
      <c r="F15" s="115" t="s">
        <v>229</v>
      </c>
      <c r="G15" s="115" t="s">
        <v>230</v>
      </c>
      <c r="H15" s="115" t="s">
        <v>230</v>
      </c>
      <c r="I15" s="115" t="s">
        <v>254</v>
      </c>
      <c r="J15" s="115" t="s">
        <v>254</v>
      </c>
      <c r="K15" s="115" t="s">
        <v>257</v>
      </c>
      <c r="L15" s="115" t="s">
        <v>257</v>
      </c>
      <c r="M15" s="115" t="s">
        <v>257</v>
      </c>
      <c r="N15" s="115" t="s">
        <v>229</v>
      </c>
      <c r="O15" s="115" t="s">
        <v>229</v>
      </c>
      <c r="P15" s="115" t="s">
        <v>230</v>
      </c>
      <c r="Q15" s="115" t="s">
        <v>254</v>
      </c>
      <c r="R15" s="115" t="s">
        <v>254</v>
      </c>
      <c r="S15" s="115" t="s">
        <v>257</v>
      </c>
      <c r="T15" s="115" t="s">
        <v>257</v>
      </c>
      <c r="U15" s="115" t="s">
        <v>229</v>
      </c>
      <c r="V15" s="115" t="s">
        <v>230</v>
      </c>
      <c r="W15" s="115" t="s">
        <v>254</v>
      </c>
      <c r="X15" s="115" t="s">
        <v>254</v>
      </c>
      <c r="Y15" s="115" t="s">
        <v>257</v>
      </c>
      <c r="Z15" s="115" t="s">
        <v>257</v>
      </c>
      <c r="AA15" s="115" t="s">
        <v>257</v>
      </c>
      <c r="AB15" s="115" t="s">
        <v>229</v>
      </c>
      <c r="AC15" s="115" t="s">
        <v>230</v>
      </c>
      <c r="AD15" s="115" t="s">
        <v>230</v>
      </c>
      <c r="AE15" s="115" t="s">
        <v>254</v>
      </c>
      <c r="AF15" s="115" t="s">
        <v>254</v>
      </c>
      <c r="AG15" s="115" t="s">
        <v>257</v>
      </c>
      <c r="AH15" s="115" t="s">
        <v>257</v>
      </c>
      <c r="AI15" s="115" t="s">
        <v>257</v>
      </c>
      <c r="AJ15" s="115" t="s">
        <v>257</v>
      </c>
      <c r="AK15" s="115" t="s">
        <v>257</v>
      </c>
      <c r="AL15" s="115" t="s">
        <v>239</v>
      </c>
    </row>
    <row r="16" spans="2:38" ht="15.75" x14ac:dyDescent="0.25">
      <c r="B16" s="116">
        <v>46005</v>
      </c>
      <c r="C16" s="115" t="s">
        <v>254</v>
      </c>
      <c r="D16" s="115" t="s">
        <v>257</v>
      </c>
      <c r="E16" s="115" t="s">
        <v>229</v>
      </c>
      <c r="F16" s="115" t="s">
        <v>230</v>
      </c>
      <c r="G16" s="115" t="s">
        <v>230</v>
      </c>
      <c r="H16" s="115" t="s">
        <v>254</v>
      </c>
      <c r="I16" s="115" t="s">
        <v>254</v>
      </c>
      <c r="J16" s="115" t="s">
        <v>257</v>
      </c>
      <c r="K16" s="115" t="s">
        <v>257</v>
      </c>
      <c r="L16" s="115" t="s">
        <v>257</v>
      </c>
      <c r="M16" s="115" t="s">
        <v>229</v>
      </c>
      <c r="N16" s="115" t="s">
        <v>230</v>
      </c>
      <c r="O16" s="115" t="s">
        <v>230</v>
      </c>
      <c r="P16" s="115" t="s">
        <v>254</v>
      </c>
      <c r="Q16" s="115" t="s">
        <v>254</v>
      </c>
      <c r="R16" s="115" t="s">
        <v>257</v>
      </c>
      <c r="S16" s="115" t="s">
        <v>257</v>
      </c>
      <c r="T16" s="115" t="s">
        <v>229</v>
      </c>
      <c r="U16" s="115" t="s">
        <v>230</v>
      </c>
      <c r="V16" s="115" t="s">
        <v>254</v>
      </c>
      <c r="W16" s="115" t="s">
        <v>254</v>
      </c>
      <c r="X16" s="115" t="s">
        <v>257</v>
      </c>
      <c r="Y16" s="115" t="s">
        <v>257</v>
      </c>
      <c r="Z16" s="115" t="s">
        <v>257</v>
      </c>
      <c r="AA16" s="115" t="s">
        <v>229</v>
      </c>
      <c r="AB16" s="115" t="s">
        <v>230</v>
      </c>
      <c r="AC16" s="115" t="s">
        <v>230</v>
      </c>
      <c r="AD16" s="115" t="s">
        <v>254</v>
      </c>
      <c r="AE16" s="115" t="s">
        <v>254</v>
      </c>
      <c r="AF16" s="115" t="s">
        <v>257</v>
      </c>
      <c r="AG16" s="115" t="s">
        <v>257</v>
      </c>
      <c r="AH16" s="115" t="s">
        <v>257</v>
      </c>
      <c r="AI16" s="115" t="s">
        <v>229</v>
      </c>
      <c r="AJ16" s="115" t="s">
        <v>229</v>
      </c>
      <c r="AK16" s="115" t="s">
        <v>230</v>
      </c>
      <c r="AL16" s="115" t="s">
        <v>239</v>
      </c>
    </row>
    <row r="17" spans="2:38" ht="15.75" x14ac:dyDescent="0.25">
      <c r="B17" s="116">
        <v>46006</v>
      </c>
      <c r="C17" s="115" t="s">
        <v>257</v>
      </c>
      <c r="D17" s="115" t="s">
        <v>229</v>
      </c>
      <c r="E17" s="115" t="s">
        <v>230</v>
      </c>
      <c r="F17" s="115" t="s">
        <v>230</v>
      </c>
      <c r="G17" s="115" t="s">
        <v>254</v>
      </c>
      <c r="H17" s="115" t="s">
        <v>254</v>
      </c>
      <c r="I17" s="115" t="s">
        <v>257</v>
      </c>
      <c r="J17" s="115" t="s">
        <v>257</v>
      </c>
      <c r="K17" s="115" t="s">
        <v>257</v>
      </c>
      <c r="L17" s="115" t="s">
        <v>229</v>
      </c>
      <c r="M17" s="115" t="s">
        <v>230</v>
      </c>
      <c r="N17" s="115" t="s">
        <v>230</v>
      </c>
      <c r="O17" s="115" t="s">
        <v>254</v>
      </c>
      <c r="P17" s="115" t="s">
        <v>254</v>
      </c>
      <c r="Q17" s="115" t="s">
        <v>257</v>
      </c>
      <c r="R17" s="115" t="s">
        <v>257</v>
      </c>
      <c r="S17" s="115" t="s">
        <v>257</v>
      </c>
      <c r="T17" s="115" t="s">
        <v>230</v>
      </c>
      <c r="U17" s="115" t="s">
        <v>254</v>
      </c>
      <c r="V17" s="115" t="s">
        <v>254</v>
      </c>
      <c r="W17" s="115" t="s">
        <v>257</v>
      </c>
      <c r="X17" s="115" t="s">
        <v>257</v>
      </c>
      <c r="Y17" s="115" t="s">
        <v>257</v>
      </c>
      <c r="Z17" s="115" t="s">
        <v>229</v>
      </c>
      <c r="AA17" s="115" t="s">
        <v>229</v>
      </c>
      <c r="AB17" s="115" t="s">
        <v>230</v>
      </c>
      <c r="AC17" s="115" t="s">
        <v>254</v>
      </c>
      <c r="AD17" s="115" t="s">
        <v>254</v>
      </c>
      <c r="AE17" s="115" t="s">
        <v>257</v>
      </c>
      <c r="AF17" s="115" t="s">
        <v>257</v>
      </c>
      <c r="AG17" s="115" t="s">
        <v>257</v>
      </c>
      <c r="AH17" s="115" t="s">
        <v>229</v>
      </c>
      <c r="AI17" s="115" t="s">
        <v>229</v>
      </c>
      <c r="AJ17" s="115" t="s">
        <v>229</v>
      </c>
      <c r="AK17" s="115" t="s">
        <v>230</v>
      </c>
      <c r="AL17" s="115" t="s">
        <v>239</v>
      </c>
    </row>
    <row r="18" spans="2:38" ht="15.75" x14ac:dyDescent="0.25">
      <c r="B18" s="116">
        <v>46007</v>
      </c>
      <c r="C18" s="115" t="s">
        <v>257</v>
      </c>
      <c r="D18" s="115" t="s">
        <v>229</v>
      </c>
      <c r="E18" s="115" t="s">
        <v>254</v>
      </c>
      <c r="F18" s="115" t="s">
        <v>254</v>
      </c>
      <c r="G18" s="115" t="s">
        <v>254</v>
      </c>
      <c r="H18" s="115" t="s">
        <v>257</v>
      </c>
      <c r="I18" s="115" t="s">
        <v>257</v>
      </c>
      <c r="J18" s="115" t="s">
        <v>257</v>
      </c>
      <c r="K18" s="115" t="s">
        <v>229</v>
      </c>
      <c r="L18" s="115" t="s">
        <v>230</v>
      </c>
      <c r="M18" s="115" t="s">
        <v>230</v>
      </c>
      <c r="N18" s="115" t="s">
        <v>254</v>
      </c>
      <c r="O18" s="115" t="s">
        <v>254</v>
      </c>
      <c r="P18" s="115" t="s">
        <v>257</v>
      </c>
      <c r="Q18" s="115" t="s">
        <v>257</v>
      </c>
      <c r="R18" s="115" t="s">
        <v>257</v>
      </c>
      <c r="S18" s="115" t="s">
        <v>229</v>
      </c>
      <c r="T18" s="115" t="s">
        <v>230</v>
      </c>
      <c r="U18" s="115" t="s">
        <v>254</v>
      </c>
      <c r="V18" s="115" t="s">
        <v>257</v>
      </c>
      <c r="W18" s="115" t="s">
        <v>257</v>
      </c>
      <c r="X18" s="115" t="s">
        <v>257</v>
      </c>
      <c r="Y18" s="115" t="s">
        <v>229</v>
      </c>
      <c r="Z18" s="115" t="s">
        <v>229</v>
      </c>
      <c r="AA18" s="115" t="s">
        <v>230</v>
      </c>
      <c r="AB18" s="115" t="s">
        <v>254</v>
      </c>
      <c r="AC18" s="115" t="s">
        <v>254</v>
      </c>
      <c r="AD18" s="115" t="s">
        <v>257</v>
      </c>
      <c r="AE18" s="115" t="s">
        <v>257</v>
      </c>
      <c r="AF18" s="115" t="s">
        <v>257</v>
      </c>
      <c r="AG18" s="115" t="s">
        <v>229</v>
      </c>
      <c r="AH18" s="115" t="s">
        <v>230</v>
      </c>
      <c r="AI18" s="115" t="s">
        <v>230</v>
      </c>
      <c r="AJ18" s="115" t="s">
        <v>229</v>
      </c>
      <c r="AK18" s="115" t="s">
        <v>230</v>
      </c>
      <c r="AL18" s="115" t="s">
        <v>229</v>
      </c>
    </row>
    <row r="19" spans="2:38" ht="15.75" x14ac:dyDescent="0.25">
      <c r="B19" s="116">
        <v>46008</v>
      </c>
      <c r="C19" s="115" t="s">
        <v>257</v>
      </c>
      <c r="D19" s="115" t="s">
        <v>230</v>
      </c>
      <c r="E19" s="115" t="s">
        <v>254</v>
      </c>
      <c r="F19" s="115" t="s">
        <v>254</v>
      </c>
      <c r="G19" s="115" t="s">
        <v>257</v>
      </c>
      <c r="H19" s="115" t="s">
        <v>257</v>
      </c>
      <c r="I19" s="115" t="s">
        <v>257</v>
      </c>
      <c r="J19" s="115" t="s">
        <v>229</v>
      </c>
      <c r="K19" s="115" t="s">
        <v>230</v>
      </c>
      <c r="L19" s="115" t="s">
        <v>230</v>
      </c>
      <c r="M19" s="115" t="s">
        <v>230</v>
      </c>
      <c r="N19" s="115" t="s">
        <v>254</v>
      </c>
      <c r="O19" s="115" t="s">
        <v>257</v>
      </c>
      <c r="P19" s="115" t="s">
        <v>257</v>
      </c>
      <c r="Q19" s="115" t="s">
        <v>257</v>
      </c>
      <c r="R19" s="115" t="s">
        <v>229</v>
      </c>
      <c r="S19" s="115" t="s">
        <v>230</v>
      </c>
      <c r="T19" s="115" t="s">
        <v>254</v>
      </c>
      <c r="U19" s="115" t="s">
        <v>254</v>
      </c>
      <c r="V19" s="115" t="s">
        <v>257</v>
      </c>
      <c r="W19" s="115" t="s">
        <v>257</v>
      </c>
      <c r="X19" s="115" t="s">
        <v>229</v>
      </c>
      <c r="Y19" s="115" t="s">
        <v>229</v>
      </c>
      <c r="Z19" s="115" t="s">
        <v>230</v>
      </c>
      <c r="AA19" s="115" t="s">
        <v>254</v>
      </c>
      <c r="AB19" s="115" t="s">
        <v>254</v>
      </c>
      <c r="AC19" s="115" t="s">
        <v>257</v>
      </c>
      <c r="AD19" s="115" t="s">
        <v>257</v>
      </c>
      <c r="AE19" s="115" t="s">
        <v>257</v>
      </c>
      <c r="AF19" s="115" t="s">
        <v>229</v>
      </c>
      <c r="AG19" s="115" t="s">
        <v>229</v>
      </c>
      <c r="AH19" s="115" t="s">
        <v>230</v>
      </c>
      <c r="AI19" s="115" t="s">
        <v>254</v>
      </c>
      <c r="AJ19" s="115" t="s">
        <v>230</v>
      </c>
      <c r="AK19" s="115" t="s">
        <v>229</v>
      </c>
      <c r="AL19" s="115" t="s">
        <v>229</v>
      </c>
    </row>
    <row r="20" spans="2:38" ht="15.75" x14ac:dyDescent="0.25">
      <c r="B20" s="116">
        <v>46009</v>
      </c>
      <c r="C20" s="115" t="s">
        <v>229</v>
      </c>
      <c r="D20" s="115" t="s">
        <v>230</v>
      </c>
      <c r="E20" s="115" t="s">
        <v>254</v>
      </c>
      <c r="F20" s="115" t="s">
        <v>257</v>
      </c>
      <c r="G20" s="115" t="s">
        <v>257</v>
      </c>
      <c r="H20" s="115" t="s">
        <v>257</v>
      </c>
      <c r="I20" s="115" t="s">
        <v>229</v>
      </c>
      <c r="J20" s="115" t="s">
        <v>230</v>
      </c>
      <c r="K20" s="115" t="s">
        <v>230</v>
      </c>
      <c r="L20" s="115" t="s">
        <v>254</v>
      </c>
      <c r="M20" s="115" t="s">
        <v>254</v>
      </c>
      <c r="N20" s="115" t="s">
        <v>257</v>
      </c>
      <c r="O20" s="115" t="s">
        <v>257</v>
      </c>
      <c r="P20" s="115" t="s">
        <v>257</v>
      </c>
      <c r="Q20" s="115" t="s">
        <v>229</v>
      </c>
      <c r="R20" s="115" t="s">
        <v>230</v>
      </c>
      <c r="S20" s="115" t="s">
        <v>230</v>
      </c>
      <c r="T20" s="115" t="s">
        <v>254</v>
      </c>
      <c r="U20" s="115" t="s">
        <v>257</v>
      </c>
      <c r="V20" s="115" t="s">
        <v>257</v>
      </c>
      <c r="W20" s="115" t="s">
        <v>229</v>
      </c>
      <c r="X20" s="115" t="s">
        <v>229</v>
      </c>
      <c r="Y20" s="115" t="s">
        <v>230</v>
      </c>
      <c r="Z20" s="115" t="s">
        <v>254</v>
      </c>
      <c r="AA20" s="115" t="s">
        <v>254</v>
      </c>
      <c r="AB20" s="115" t="s">
        <v>257</v>
      </c>
      <c r="AC20" s="115" t="s">
        <v>257</v>
      </c>
      <c r="AD20" s="115" t="s">
        <v>257</v>
      </c>
      <c r="AE20" s="115" t="s">
        <v>229</v>
      </c>
      <c r="AF20" s="115" t="s">
        <v>230</v>
      </c>
      <c r="AG20" s="115" t="s">
        <v>230</v>
      </c>
      <c r="AH20" s="115" t="s">
        <v>254</v>
      </c>
      <c r="AI20" s="115" t="s">
        <v>254</v>
      </c>
      <c r="AJ20" s="115" t="s">
        <v>230</v>
      </c>
      <c r="AK20" s="115" t="s">
        <v>229</v>
      </c>
      <c r="AL20" s="115" t="s">
        <v>257</v>
      </c>
    </row>
    <row r="21" spans="2:38" ht="15.75" x14ac:dyDescent="0.25">
      <c r="B21" s="116">
        <v>46010</v>
      </c>
      <c r="C21" s="115" t="s">
        <v>230</v>
      </c>
      <c r="D21" s="115" t="s">
        <v>254</v>
      </c>
      <c r="E21" s="115" t="s">
        <v>257</v>
      </c>
      <c r="F21" s="115" t="s">
        <v>257</v>
      </c>
      <c r="G21" s="115" t="s">
        <v>257</v>
      </c>
      <c r="H21" s="115" t="s">
        <v>229</v>
      </c>
      <c r="I21" s="115" t="s">
        <v>230</v>
      </c>
      <c r="J21" s="115" t="s">
        <v>230</v>
      </c>
      <c r="K21" s="115" t="s">
        <v>254</v>
      </c>
      <c r="L21" s="115" t="s">
        <v>254</v>
      </c>
      <c r="M21" s="115" t="s">
        <v>257</v>
      </c>
      <c r="N21" s="115" t="s">
        <v>257</v>
      </c>
      <c r="O21" s="115" t="s">
        <v>257</v>
      </c>
      <c r="P21" s="115" t="s">
        <v>229</v>
      </c>
      <c r="Q21" s="115" t="s">
        <v>229</v>
      </c>
      <c r="R21" s="115" t="s">
        <v>254</v>
      </c>
      <c r="S21" s="115" t="s">
        <v>254</v>
      </c>
      <c r="T21" s="115" t="s">
        <v>257</v>
      </c>
      <c r="U21" s="115" t="s">
        <v>257</v>
      </c>
      <c r="V21" s="115" t="s">
        <v>229</v>
      </c>
      <c r="W21" s="115" t="s">
        <v>230</v>
      </c>
      <c r="X21" s="115" t="s">
        <v>230</v>
      </c>
      <c r="Y21" s="115" t="s">
        <v>254</v>
      </c>
      <c r="Z21" s="115" t="s">
        <v>254</v>
      </c>
      <c r="AA21" s="115" t="s">
        <v>257</v>
      </c>
      <c r="AB21" s="115" t="s">
        <v>257</v>
      </c>
      <c r="AC21" s="115" t="s">
        <v>257</v>
      </c>
      <c r="AD21" s="115" t="s">
        <v>229</v>
      </c>
      <c r="AE21" s="115" t="s">
        <v>230</v>
      </c>
      <c r="AF21" s="115" t="s">
        <v>230</v>
      </c>
      <c r="AG21" s="115" t="s">
        <v>254</v>
      </c>
      <c r="AH21" s="115" t="s">
        <v>254</v>
      </c>
      <c r="AI21" s="115" t="s">
        <v>257</v>
      </c>
      <c r="AJ21" s="115" t="s">
        <v>257</v>
      </c>
      <c r="AK21" s="115" t="s">
        <v>257</v>
      </c>
      <c r="AL21" s="115" t="s">
        <v>257</v>
      </c>
    </row>
    <row r="22" spans="2:38" ht="15.75" x14ac:dyDescent="0.25">
      <c r="B22" s="116">
        <v>46011</v>
      </c>
      <c r="C22" s="115" t="s">
        <v>230</v>
      </c>
      <c r="D22" s="115" t="s">
        <v>257</v>
      </c>
      <c r="E22" s="115" t="s">
        <v>257</v>
      </c>
      <c r="F22" s="115" t="s">
        <v>257</v>
      </c>
      <c r="G22" s="115" t="s">
        <v>229</v>
      </c>
      <c r="H22" s="115" t="s">
        <v>230</v>
      </c>
      <c r="I22" s="115" t="s">
        <v>230</v>
      </c>
      <c r="J22" s="115" t="s">
        <v>254</v>
      </c>
      <c r="K22" s="115" t="s">
        <v>254</v>
      </c>
      <c r="L22" s="115" t="s">
        <v>257</v>
      </c>
      <c r="M22" s="115" t="s">
        <v>257</v>
      </c>
      <c r="N22" s="115" t="s">
        <v>257</v>
      </c>
      <c r="O22" s="115" t="s">
        <v>229</v>
      </c>
      <c r="P22" s="115" t="s">
        <v>229</v>
      </c>
      <c r="Q22" s="115" t="s">
        <v>230</v>
      </c>
      <c r="R22" s="115" t="s">
        <v>254</v>
      </c>
      <c r="S22" s="115" t="s">
        <v>254</v>
      </c>
      <c r="T22" s="115" t="s">
        <v>257</v>
      </c>
      <c r="U22" s="115" t="s">
        <v>257</v>
      </c>
      <c r="V22" s="115" t="s">
        <v>230</v>
      </c>
      <c r="W22" s="115" t="s">
        <v>254</v>
      </c>
      <c r="X22" s="115" t="s">
        <v>254</v>
      </c>
      <c r="Y22" s="115" t="s">
        <v>254</v>
      </c>
      <c r="Z22" s="115" t="s">
        <v>257</v>
      </c>
      <c r="AA22" s="115" t="s">
        <v>257</v>
      </c>
      <c r="AB22" s="115" t="s">
        <v>257</v>
      </c>
      <c r="AC22" s="115" t="s">
        <v>229</v>
      </c>
      <c r="AD22" s="115" t="s">
        <v>229</v>
      </c>
      <c r="AE22" s="115" t="s">
        <v>230</v>
      </c>
      <c r="AF22" s="115" t="s">
        <v>254</v>
      </c>
      <c r="AG22" s="115" t="s">
        <v>254</v>
      </c>
      <c r="AH22" s="115" t="s">
        <v>257</v>
      </c>
      <c r="AI22" s="115" t="s">
        <v>257</v>
      </c>
      <c r="AJ22" s="115" t="s">
        <v>257</v>
      </c>
      <c r="AK22" s="115" t="s">
        <v>257</v>
      </c>
      <c r="AL22" s="115" t="s">
        <v>239</v>
      </c>
    </row>
    <row r="23" spans="2:38" ht="15.75" x14ac:dyDescent="0.25">
      <c r="B23" s="116">
        <v>46012</v>
      </c>
      <c r="C23" s="115" t="s">
        <v>254</v>
      </c>
      <c r="D23" s="115" t="s">
        <v>257</v>
      </c>
      <c r="E23" s="115" t="s">
        <v>257</v>
      </c>
      <c r="F23" s="115" t="s">
        <v>229</v>
      </c>
      <c r="G23" s="115" t="s">
        <v>230</v>
      </c>
      <c r="H23" s="115" t="s">
        <v>230</v>
      </c>
      <c r="I23" s="115" t="s">
        <v>254</v>
      </c>
      <c r="J23" s="115" t="s">
        <v>254</v>
      </c>
      <c r="K23" s="115" t="s">
        <v>257</v>
      </c>
      <c r="L23" s="115" t="s">
        <v>257</v>
      </c>
      <c r="M23" s="115" t="s">
        <v>257</v>
      </c>
      <c r="N23" s="115" t="s">
        <v>229</v>
      </c>
      <c r="O23" s="115" t="s">
        <v>229</v>
      </c>
      <c r="P23" s="115" t="s">
        <v>230</v>
      </c>
      <c r="Q23" s="115" t="s">
        <v>254</v>
      </c>
      <c r="R23" s="115" t="s">
        <v>254</v>
      </c>
      <c r="S23" s="115" t="s">
        <v>257</v>
      </c>
      <c r="T23" s="115" t="s">
        <v>257</v>
      </c>
      <c r="U23" s="115" t="s">
        <v>229</v>
      </c>
      <c r="V23" s="115" t="s">
        <v>230</v>
      </c>
      <c r="W23" s="115" t="s">
        <v>254</v>
      </c>
      <c r="X23" s="115" t="s">
        <v>254</v>
      </c>
      <c r="Y23" s="115" t="s">
        <v>257</v>
      </c>
      <c r="Z23" s="115" t="s">
        <v>257</v>
      </c>
      <c r="AA23" s="115" t="s">
        <v>257</v>
      </c>
      <c r="AB23" s="115" t="s">
        <v>229</v>
      </c>
      <c r="AC23" s="115" t="s">
        <v>230</v>
      </c>
      <c r="AD23" s="115" t="s">
        <v>230</v>
      </c>
      <c r="AE23" s="115" t="s">
        <v>254</v>
      </c>
      <c r="AF23" s="115" t="s">
        <v>254</v>
      </c>
      <c r="AG23" s="115" t="s">
        <v>257</v>
      </c>
      <c r="AH23" s="115" t="s">
        <v>257</v>
      </c>
      <c r="AI23" s="115" t="s">
        <v>257</v>
      </c>
      <c r="AJ23" s="115" t="s">
        <v>229</v>
      </c>
      <c r="AK23" s="115" t="s">
        <v>230</v>
      </c>
      <c r="AL23" s="115" t="s">
        <v>239</v>
      </c>
    </row>
    <row r="24" spans="2:38" ht="15.75" x14ac:dyDescent="0.25">
      <c r="B24" s="116">
        <v>46013</v>
      </c>
      <c r="C24" s="115" t="s">
        <v>254</v>
      </c>
      <c r="D24" s="115" t="s">
        <v>257</v>
      </c>
      <c r="E24" s="115" t="s">
        <v>229</v>
      </c>
      <c r="F24" s="115" t="s">
        <v>229</v>
      </c>
      <c r="G24" s="115" t="s">
        <v>230</v>
      </c>
      <c r="H24" s="115" t="s">
        <v>254</v>
      </c>
      <c r="I24" s="115" t="s">
        <v>254</v>
      </c>
      <c r="J24" s="115" t="s">
        <v>257</v>
      </c>
      <c r="K24" s="115" t="s">
        <v>257</v>
      </c>
      <c r="L24" s="115" t="s">
        <v>257</v>
      </c>
      <c r="M24" s="115" t="s">
        <v>229</v>
      </c>
      <c r="N24" s="115" t="s">
        <v>230</v>
      </c>
      <c r="O24" s="115" t="s">
        <v>230</v>
      </c>
      <c r="P24" s="115" t="s">
        <v>254</v>
      </c>
      <c r="Q24" s="115" t="s">
        <v>254</v>
      </c>
      <c r="R24" s="115" t="s">
        <v>257</v>
      </c>
      <c r="S24" s="115" t="s">
        <v>257</v>
      </c>
      <c r="T24" s="115" t="s">
        <v>229</v>
      </c>
      <c r="U24" s="115" t="s">
        <v>229</v>
      </c>
      <c r="V24" s="115" t="s">
        <v>254</v>
      </c>
      <c r="W24" s="115" t="s">
        <v>254</v>
      </c>
      <c r="X24" s="115" t="s">
        <v>257</v>
      </c>
      <c r="Y24" s="115" t="s">
        <v>257</v>
      </c>
      <c r="Z24" s="115" t="s">
        <v>257</v>
      </c>
      <c r="AA24" s="115" t="s">
        <v>229</v>
      </c>
      <c r="AB24" s="115" t="s">
        <v>230</v>
      </c>
      <c r="AC24" s="115" t="s">
        <v>230</v>
      </c>
      <c r="AD24" s="115" t="s">
        <v>254</v>
      </c>
      <c r="AE24" s="115" t="s">
        <v>254</v>
      </c>
      <c r="AF24" s="115" t="s">
        <v>257</v>
      </c>
      <c r="AG24" s="115" t="s">
        <v>257</v>
      </c>
      <c r="AH24" s="115" t="s">
        <v>257</v>
      </c>
      <c r="AI24" s="115" t="s">
        <v>229</v>
      </c>
      <c r="AJ24" s="115" t="s">
        <v>229</v>
      </c>
      <c r="AK24" s="115" t="s">
        <v>230</v>
      </c>
      <c r="AL24" s="115" t="s">
        <v>239</v>
      </c>
    </row>
    <row r="25" spans="2:38" ht="15.75" x14ac:dyDescent="0.25">
      <c r="B25" s="116">
        <v>46014</v>
      </c>
      <c r="C25" s="115" t="s">
        <v>257</v>
      </c>
      <c r="D25" s="115" t="s">
        <v>229</v>
      </c>
      <c r="E25" s="115" t="s">
        <v>229</v>
      </c>
      <c r="F25" s="115" t="s">
        <v>230</v>
      </c>
      <c r="G25" s="115" t="s">
        <v>254</v>
      </c>
      <c r="H25" s="115" t="s">
        <v>254</v>
      </c>
      <c r="I25" s="115" t="s">
        <v>257</v>
      </c>
      <c r="J25" s="115" t="s">
        <v>257</v>
      </c>
      <c r="K25" s="115" t="s">
        <v>257</v>
      </c>
      <c r="L25" s="115" t="s">
        <v>229</v>
      </c>
      <c r="M25" s="115" t="s">
        <v>230</v>
      </c>
      <c r="N25" s="115" t="s">
        <v>254</v>
      </c>
      <c r="O25" s="115" t="s">
        <v>254</v>
      </c>
      <c r="P25" s="115" t="s">
        <v>254</v>
      </c>
      <c r="Q25" s="115" t="s">
        <v>257</v>
      </c>
      <c r="R25" s="115" t="s">
        <v>257</v>
      </c>
      <c r="S25" s="115" t="s">
        <v>257</v>
      </c>
      <c r="T25" s="115" t="s">
        <v>230</v>
      </c>
      <c r="U25" s="115" t="s">
        <v>230</v>
      </c>
      <c r="V25" s="115" t="s">
        <v>254</v>
      </c>
      <c r="W25" s="115" t="s">
        <v>257</v>
      </c>
      <c r="X25" s="115" t="s">
        <v>257</v>
      </c>
      <c r="Y25" s="115" t="s">
        <v>257</v>
      </c>
      <c r="Z25" s="115" t="s">
        <v>229</v>
      </c>
      <c r="AA25" s="115" t="s">
        <v>230</v>
      </c>
      <c r="AB25" s="115" t="s">
        <v>254</v>
      </c>
      <c r="AC25" s="115" t="s">
        <v>254</v>
      </c>
      <c r="AD25" s="115" t="s">
        <v>254</v>
      </c>
      <c r="AE25" s="115" t="s">
        <v>257</v>
      </c>
      <c r="AF25" s="115" t="s">
        <v>257</v>
      </c>
      <c r="AG25" s="115" t="s">
        <v>257</v>
      </c>
      <c r="AH25" s="115" t="s">
        <v>229</v>
      </c>
      <c r="AI25" s="115" t="s">
        <v>230</v>
      </c>
      <c r="AJ25" s="115" t="s">
        <v>229</v>
      </c>
      <c r="AK25" s="115" t="s">
        <v>230</v>
      </c>
      <c r="AL25" s="115" t="s">
        <v>229</v>
      </c>
    </row>
    <row r="26" spans="2:38" ht="15.75" x14ac:dyDescent="0.25">
      <c r="B26" s="116">
        <v>46015</v>
      </c>
      <c r="C26" s="115" t="s">
        <v>257</v>
      </c>
      <c r="D26" s="115" t="s">
        <v>229</v>
      </c>
      <c r="E26" s="115" t="s">
        <v>230</v>
      </c>
      <c r="F26" s="115" t="s">
        <v>230</v>
      </c>
      <c r="G26" s="115" t="s">
        <v>254</v>
      </c>
      <c r="H26" s="115" t="s">
        <v>257</v>
      </c>
      <c r="I26" s="115" t="s">
        <v>257</v>
      </c>
      <c r="J26" s="115" t="s">
        <v>257</v>
      </c>
      <c r="K26" s="115" t="s">
        <v>229</v>
      </c>
      <c r="L26" s="115" t="s">
        <v>230</v>
      </c>
      <c r="M26" s="115" t="s">
        <v>230</v>
      </c>
      <c r="N26" s="115" t="s">
        <v>254</v>
      </c>
      <c r="O26" s="115" t="s">
        <v>254</v>
      </c>
      <c r="P26" s="115" t="s">
        <v>257</v>
      </c>
      <c r="Q26" s="115" t="s">
        <v>257</v>
      </c>
      <c r="R26" s="115" t="s">
        <v>257</v>
      </c>
      <c r="S26" s="115" t="s">
        <v>229</v>
      </c>
      <c r="T26" s="115" t="s">
        <v>254</v>
      </c>
      <c r="U26" s="115" t="s">
        <v>254</v>
      </c>
      <c r="V26" s="115" t="s">
        <v>257</v>
      </c>
      <c r="W26" s="115" t="s">
        <v>257</v>
      </c>
      <c r="X26" s="115" t="s">
        <v>257</v>
      </c>
      <c r="Y26" s="115" t="s">
        <v>229</v>
      </c>
      <c r="Z26" s="115" t="s">
        <v>230</v>
      </c>
      <c r="AA26" s="115" t="s">
        <v>230</v>
      </c>
      <c r="AB26" s="115" t="s">
        <v>254</v>
      </c>
      <c r="AC26" s="115" t="s">
        <v>254</v>
      </c>
      <c r="AD26" s="115" t="s">
        <v>257</v>
      </c>
      <c r="AE26" s="115" t="s">
        <v>257</v>
      </c>
      <c r="AF26" s="115" t="s">
        <v>257</v>
      </c>
      <c r="AG26" s="115" t="s">
        <v>229</v>
      </c>
      <c r="AH26" s="115" t="s">
        <v>229</v>
      </c>
      <c r="AI26" s="115" t="s">
        <v>230</v>
      </c>
      <c r="AJ26" s="115" t="s">
        <v>230</v>
      </c>
      <c r="AK26" s="115" t="s">
        <v>229</v>
      </c>
      <c r="AL26" s="115" t="s">
        <v>229</v>
      </c>
    </row>
    <row r="27" spans="2:38" ht="15.75" x14ac:dyDescent="0.25">
      <c r="B27" s="116">
        <v>46016</v>
      </c>
      <c r="C27" s="115" t="s">
        <v>257</v>
      </c>
      <c r="D27" s="115" t="s">
        <v>230</v>
      </c>
      <c r="E27" s="115" t="s">
        <v>254</v>
      </c>
      <c r="F27" s="115" t="s">
        <v>254</v>
      </c>
      <c r="G27" s="115" t="s">
        <v>257</v>
      </c>
      <c r="H27" s="115" t="s">
        <v>257</v>
      </c>
      <c r="I27" s="115" t="s">
        <v>257</v>
      </c>
      <c r="J27" s="115" t="s">
        <v>229</v>
      </c>
      <c r="K27" s="115" t="s">
        <v>229</v>
      </c>
      <c r="L27" s="115" t="s">
        <v>230</v>
      </c>
      <c r="M27" s="115" t="s">
        <v>254</v>
      </c>
      <c r="N27" s="115" t="s">
        <v>254</v>
      </c>
      <c r="O27" s="115" t="s">
        <v>257</v>
      </c>
      <c r="P27" s="115" t="s">
        <v>257</v>
      </c>
      <c r="Q27" s="115" t="s">
        <v>257</v>
      </c>
      <c r="R27" s="115" t="s">
        <v>229</v>
      </c>
      <c r="S27" s="115" t="s">
        <v>230</v>
      </c>
      <c r="T27" s="115" t="s">
        <v>254</v>
      </c>
      <c r="U27" s="115" t="s">
        <v>254</v>
      </c>
      <c r="V27" s="115" t="s">
        <v>257</v>
      </c>
      <c r="W27" s="115" t="s">
        <v>257</v>
      </c>
      <c r="X27" s="115" t="s">
        <v>229</v>
      </c>
      <c r="Y27" s="115" t="s">
        <v>230</v>
      </c>
      <c r="Z27" s="115" t="s">
        <v>230</v>
      </c>
      <c r="AA27" s="115" t="s">
        <v>254</v>
      </c>
      <c r="AB27" s="115" t="s">
        <v>254</v>
      </c>
      <c r="AC27" s="115" t="s">
        <v>257</v>
      </c>
      <c r="AD27" s="115" t="s">
        <v>257</v>
      </c>
      <c r="AE27" s="115" t="s">
        <v>257</v>
      </c>
      <c r="AF27" s="115" t="s">
        <v>229</v>
      </c>
      <c r="AG27" s="115" t="s">
        <v>229</v>
      </c>
      <c r="AH27" s="115" t="s">
        <v>230</v>
      </c>
      <c r="AI27" s="115" t="s">
        <v>254</v>
      </c>
      <c r="AJ27" s="115" t="s">
        <v>230</v>
      </c>
      <c r="AK27" s="115" t="s">
        <v>229</v>
      </c>
      <c r="AL27" s="115" t="s">
        <v>257</v>
      </c>
    </row>
    <row r="28" spans="2:38" ht="15.75" x14ac:dyDescent="0.25">
      <c r="B28" s="116">
        <v>46017</v>
      </c>
      <c r="C28" s="115" t="s">
        <v>229</v>
      </c>
      <c r="D28" s="115" t="s">
        <v>254</v>
      </c>
      <c r="E28" s="115" t="s">
        <v>254</v>
      </c>
      <c r="F28" s="115" t="s">
        <v>257</v>
      </c>
      <c r="G28" s="115" t="s">
        <v>257</v>
      </c>
      <c r="H28" s="115" t="s">
        <v>257</v>
      </c>
      <c r="I28" s="115" t="s">
        <v>229</v>
      </c>
      <c r="J28" s="115" t="s">
        <v>230</v>
      </c>
      <c r="K28" s="115" t="s">
        <v>230</v>
      </c>
      <c r="L28" s="115" t="s">
        <v>254</v>
      </c>
      <c r="M28" s="115" t="s">
        <v>254</v>
      </c>
      <c r="N28" s="115" t="s">
        <v>257</v>
      </c>
      <c r="O28" s="115" t="s">
        <v>257</v>
      </c>
      <c r="P28" s="115" t="s">
        <v>257</v>
      </c>
      <c r="Q28" s="115" t="s">
        <v>229</v>
      </c>
      <c r="R28" s="115" t="s">
        <v>230</v>
      </c>
      <c r="S28" s="115" t="s">
        <v>230</v>
      </c>
      <c r="T28" s="115" t="s">
        <v>254</v>
      </c>
      <c r="U28" s="115" t="s">
        <v>257</v>
      </c>
      <c r="V28" s="115" t="s">
        <v>257</v>
      </c>
      <c r="W28" s="115" t="s">
        <v>229</v>
      </c>
      <c r="X28" s="115" t="s">
        <v>230</v>
      </c>
      <c r="Y28" s="115" t="s">
        <v>230</v>
      </c>
      <c r="Z28" s="115" t="s">
        <v>256</v>
      </c>
      <c r="AA28" s="115" t="s">
        <v>254</v>
      </c>
      <c r="AB28" s="115" t="s">
        <v>257</v>
      </c>
      <c r="AC28" s="115" t="s">
        <v>257</v>
      </c>
      <c r="AD28" s="115" t="s">
        <v>257</v>
      </c>
      <c r="AE28" s="115" t="s">
        <v>229</v>
      </c>
      <c r="AF28" s="115" t="s">
        <v>229</v>
      </c>
      <c r="AG28" s="115" t="s">
        <v>230</v>
      </c>
      <c r="AH28" s="115" t="s">
        <v>254</v>
      </c>
      <c r="AI28" s="115" t="s">
        <v>254</v>
      </c>
      <c r="AJ28" s="115" t="s">
        <v>257</v>
      </c>
      <c r="AK28" s="115" t="s">
        <v>257</v>
      </c>
      <c r="AL28" s="115" t="s">
        <v>257</v>
      </c>
    </row>
    <row r="29" spans="2:38" ht="15.75" x14ac:dyDescent="0.25">
      <c r="B29" s="116">
        <v>46018</v>
      </c>
      <c r="C29" s="115" t="s">
        <v>230</v>
      </c>
      <c r="D29" s="115" t="s">
        <v>254</v>
      </c>
      <c r="E29" s="115" t="s">
        <v>257</v>
      </c>
      <c r="F29" s="115" t="s">
        <v>257</v>
      </c>
      <c r="G29" s="115" t="s">
        <v>257</v>
      </c>
      <c r="H29" s="115" t="s">
        <v>229</v>
      </c>
      <c r="I29" s="115" t="s">
        <v>230</v>
      </c>
      <c r="J29" s="115" t="s">
        <v>230</v>
      </c>
      <c r="K29" s="115" t="s">
        <v>254</v>
      </c>
      <c r="L29" s="115" t="s">
        <v>254</v>
      </c>
      <c r="M29" s="115" t="s">
        <v>257</v>
      </c>
      <c r="N29" s="115" t="s">
        <v>257</v>
      </c>
      <c r="O29" s="115" t="s">
        <v>257</v>
      </c>
      <c r="P29" s="115" t="s">
        <v>229</v>
      </c>
      <c r="Q29" s="115" t="s">
        <v>229</v>
      </c>
      <c r="R29" s="115" t="s">
        <v>230</v>
      </c>
      <c r="S29" s="115" t="s">
        <v>254</v>
      </c>
      <c r="T29" s="115" t="s">
        <v>257</v>
      </c>
      <c r="U29" s="115" t="s">
        <v>257</v>
      </c>
      <c r="V29" s="115" t="s">
        <v>229</v>
      </c>
      <c r="W29" s="115" t="s">
        <v>230</v>
      </c>
      <c r="X29" s="115" t="s">
        <v>230</v>
      </c>
      <c r="Y29" s="115" t="s">
        <v>254</v>
      </c>
      <c r="Z29" s="115" t="s">
        <v>254</v>
      </c>
      <c r="AA29" s="115" t="s">
        <v>257</v>
      </c>
      <c r="AB29" s="115" t="s">
        <v>257</v>
      </c>
      <c r="AC29" s="115" t="s">
        <v>257</v>
      </c>
      <c r="AD29" s="115" t="s">
        <v>229</v>
      </c>
      <c r="AE29" s="115" t="s">
        <v>229</v>
      </c>
      <c r="AF29" s="115" t="s">
        <v>230</v>
      </c>
      <c r="AG29" s="115" t="s">
        <v>254</v>
      </c>
      <c r="AH29" s="115" t="s">
        <v>254</v>
      </c>
      <c r="AI29" s="115" t="s">
        <v>257</v>
      </c>
      <c r="AJ29" s="115" t="s">
        <v>257</v>
      </c>
      <c r="AK29" s="115" t="s">
        <v>257</v>
      </c>
      <c r="AL29" s="115" t="s">
        <v>239</v>
      </c>
    </row>
    <row r="30" spans="2:38" ht="15.75" x14ac:dyDescent="0.25">
      <c r="B30" s="116">
        <v>46019</v>
      </c>
      <c r="C30" s="115" t="s">
        <v>230</v>
      </c>
      <c r="D30" s="115" t="s">
        <v>257</v>
      </c>
      <c r="E30" s="115" t="s">
        <v>257</v>
      </c>
      <c r="F30" s="115" t="s">
        <v>257</v>
      </c>
      <c r="G30" s="115" t="s">
        <v>229</v>
      </c>
      <c r="H30" s="115" t="s">
        <v>230</v>
      </c>
      <c r="I30" s="115" t="s">
        <v>230</v>
      </c>
      <c r="J30" s="115" t="s">
        <v>254</v>
      </c>
      <c r="K30" s="115" t="s">
        <v>254</v>
      </c>
      <c r="L30" s="115" t="s">
        <v>257</v>
      </c>
      <c r="M30" s="115" t="s">
        <v>257</v>
      </c>
      <c r="N30" s="115" t="s">
        <v>257</v>
      </c>
      <c r="O30" s="115" t="s">
        <v>229</v>
      </c>
      <c r="P30" s="115" t="s">
        <v>229</v>
      </c>
      <c r="Q30" s="115" t="s">
        <v>230</v>
      </c>
      <c r="R30" s="115" t="s">
        <v>254</v>
      </c>
      <c r="S30" s="115" t="s">
        <v>254</v>
      </c>
      <c r="T30" s="115" t="s">
        <v>257</v>
      </c>
      <c r="U30" s="115" t="s">
        <v>257</v>
      </c>
      <c r="V30" s="115" t="s">
        <v>230</v>
      </c>
      <c r="W30" s="115" t="s">
        <v>230</v>
      </c>
      <c r="X30" s="115" t="s">
        <v>254</v>
      </c>
      <c r="Y30" s="115" t="s">
        <v>254</v>
      </c>
      <c r="Z30" s="115" t="s">
        <v>257</v>
      </c>
      <c r="AA30" s="115" t="s">
        <v>257</v>
      </c>
      <c r="AB30" s="115" t="s">
        <v>257</v>
      </c>
      <c r="AC30" s="115" t="s">
        <v>229</v>
      </c>
      <c r="AD30" s="115" t="s">
        <v>229</v>
      </c>
      <c r="AE30" s="115" t="s">
        <v>230</v>
      </c>
      <c r="AF30" s="115" t="s">
        <v>254</v>
      </c>
      <c r="AG30" s="115" t="s">
        <v>254</v>
      </c>
      <c r="AH30" s="115" t="s">
        <v>257</v>
      </c>
      <c r="AI30" s="115" t="s">
        <v>257</v>
      </c>
      <c r="AJ30" s="115" t="s">
        <v>229</v>
      </c>
      <c r="AK30" s="115" t="s">
        <v>230</v>
      </c>
      <c r="AL30" s="115" t="s">
        <v>239</v>
      </c>
    </row>
    <row r="31" spans="2:38" ht="15.75" x14ac:dyDescent="0.25">
      <c r="B31" s="116">
        <v>46020</v>
      </c>
      <c r="C31" s="115" t="s">
        <v>254</v>
      </c>
      <c r="D31" s="115" t="s">
        <v>257</v>
      </c>
      <c r="E31" s="115" t="s">
        <v>257</v>
      </c>
      <c r="F31" s="115" t="s">
        <v>229</v>
      </c>
      <c r="G31" s="115" t="s">
        <v>230</v>
      </c>
      <c r="H31" s="115" t="s">
        <v>230</v>
      </c>
      <c r="I31" s="115" t="s">
        <v>254</v>
      </c>
      <c r="J31" s="115" t="s">
        <v>254</v>
      </c>
      <c r="K31" s="115" t="s">
        <v>257</v>
      </c>
      <c r="L31" s="115" t="s">
        <v>257</v>
      </c>
      <c r="M31" s="115" t="s">
        <v>257</v>
      </c>
      <c r="N31" s="115" t="s">
        <v>229</v>
      </c>
      <c r="O31" s="115" t="s">
        <v>229</v>
      </c>
      <c r="P31" s="115" t="s">
        <v>230</v>
      </c>
      <c r="Q31" s="115" t="s">
        <v>254</v>
      </c>
      <c r="R31" s="115" t="s">
        <v>254</v>
      </c>
      <c r="S31" s="115" t="s">
        <v>257</v>
      </c>
      <c r="T31" s="115" t="s">
        <v>257</v>
      </c>
      <c r="U31" s="115" t="s">
        <v>229</v>
      </c>
      <c r="V31" s="115" t="s">
        <v>230</v>
      </c>
      <c r="W31" s="115" t="s">
        <v>254</v>
      </c>
      <c r="X31" s="115" t="s">
        <v>254</v>
      </c>
      <c r="Y31" s="115" t="s">
        <v>257</v>
      </c>
      <c r="Z31" s="115" t="s">
        <v>257</v>
      </c>
      <c r="AA31" s="115" t="s">
        <v>257</v>
      </c>
      <c r="AB31" s="115" t="s">
        <v>229</v>
      </c>
      <c r="AC31" s="115" t="s">
        <v>229</v>
      </c>
      <c r="AD31" s="115" t="s">
        <v>230</v>
      </c>
      <c r="AE31" s="115" t="s">
        <v>254</v>
      </c>
      <c r="AF31" s="115" t="s">
        <v>254</v>
      </c>
      <c r="AG31" s="115" t="s">
        <v>257</v>
      </c>
      <c r="AH31" s="115" t="s">
        <v>257</v>
      </c>
      <c r="AI31" s="115" t="s">
        <v>257</v>
      </c>
      <c r="AJ31" s="115" t="s">
        <v>229</v>
      </c>
      <c r="AK31" s="115" t="s">
        <v>230</v>
      </c>
      <c r="AL31" s="115" t="s">
        <v>239</v>
      </c>
    </row>
    <row r="32" spans="2:38" ht="15.75" x14ac:dyDescent="0.25">
      <c r="B32" s="116">
        <v>46021</v>
      </c>
      <c r="C32" s="115" t="s">
        <v>254</v>
      </c>
      <c r="D32" s="115" t="s">
        <v>257</v>
      </c>
      <c r="E32" s="115" t="s">
        <v>229</v>
      </c>
      <c r="F32" s="115" t="s">
        <v>229</v>
      </c>
      <c r="G32" s="115" t="s">
        <v>254</v>
      </c>
      <c r="H32" s="115" t="s">
        <v>254</v>
      </c>
      <c r="I32" s="115" t="s">
        <v>254</v>
      </c>
      <c r="J32" s="115" t="s">
        <v>257</v>
      </c>
      <c r="K32" s="115" t="s">
        <v>257</v>
      </c>
      <c r="L32" s="115" t="s">
        <v>257</v>
      </c>
      <c r="M32" s="115" t="s">
        <v>229</v>
      </c>
      <c r="N32" s="115" t="s">
        <v>230</v>
      </c>
      <c r="O32" s="115" t="s">
        <v>230</v>
      </c>
      <c r="P32" s="115" t="s">
        <v>254</v>
      </c>
      <c r="Q32" s="115" t="s">
        <v>254</v>
      </c>
      <c r="R32" s="115" t="s">
        <v>257</v>
      </c>
      <c r="S32" s="115" t="s">
        <v>257</v>
      </c>
      <c r="T32" s="115" t="s">
        <v>229</v>
      </c>
      <c r="U32" s="115" t="s">
        <v>230</v>
      </c>
      <c r="V32" s="115" t="s">
        <v>254</v>
      </c>
      <c r="W32" s="115" t="s">
        <v>254</v>
      </c>
      <c r="X32" s="115" t="s">
        <v>257</v>
      </c>
      <c r="Y32" s="115" t="s">
        <v>257</v>
      </c>
      <c r="Z32" s="115" t="s">
        <v>257</v>
      </c>
      <c r="AA32" s="115" t="s">
        <v>229</v>
      </c>
      <c r="AB32" s="115" t="s">
        <v>230</v>
      </c>
      <c r="AC32" s="115" t="s">
        <v>230</v>
      </c>
      <c r="AD32" s="115" t="s">
        <v>254</v>
      </c>
      <c r="AE32" s="115" t="s">
        <v>254</v>
      </c>
      <c r="AF32" s="115" t="s">
        <v>257</v>
      </c>
      <c r="AG32" s="115" t="s">
        <v>257</v>
      </c>
      <c r="AH32" s="115" t="s">
        <v>257</v>
      </c>
      <c r="AI32" s="115" t="s">
        <v>229</v>
      </c>
      <c r="AJ32" s="115" t="s">
        <v>229</v>
      </c>
      <c r="AK32" s="115" t="s">
        <v>230</v>
      </c>
      <c r="AL32" s="115" t="s">
        <v>229</v>
      </c>
    </row>
    <row r="33" spans="2:38" ht="15.75" x14ac:dyDescent="0.25">
      <c r="B33" s="116">
        <v>46022</v>
      </c>
      <c r="C33" s="115" t="s">
        <v>257</v>
      </c>
      <c r="D33" s="115" t="s">
        <v>229</v>
      </c>
      <c r="E33" s="115" t="s">
        <v>229</v>
      </c>
      <c r="F33" s="115" t="s">
        <v>230</v>
      </c>
      <c r="G33" s="115" t="s">
        <v>254</v>
      </c>
      <c r="H33" s="115" t="s">
        <v>254</v>
      </c>
      <c r="I33" s="115" t="s">
        <v>257</v>
      </c>
      <c r="J33" s="115" t="s">
        <v>257</v>
      </c>
      <c r="K33" s="115" t="s">
        <v>257</v>
      </c>
      <c r="L33" s="115" t="s">
        <v>229</v>
      </c>
      <c r="M33" s="115" t="s">
        <v>230</v>
      </c>
      <c r="N33" s="115" t="s">
        <v>230</v>
      </c>
      <c r="O33" s="115" t="s">
        <v>254</v>
      </c>
      <c r="P33" s="115" t="s">
        <v>254</v>
      </c>
      <c r="Q33" s="115" t="s">
        <v>257</v>
      </c>
      <c r="R33" s="115" t="s">
        <v>257</v>
      </c>
      <c r="S33" s="115" t="s">
        <v>257</v>
      </c>
      <c r="T33" s="115" t="s">
        <v>229</v>
      </c>
      <c r="U33" s="115" t="s">
        <v>230</v>
      </c>
      <c r="V33" s="115" t="s">
        <v>254</v>
      </c>
      <c r="W33" s="115" t="s">
        <v>257</v>
      </c>
      <c r="X33" s="115" t="s">
        <v>257</v>
      </c>
      <c r="Y33" s="115" t="s">
        <v>257</v>
      </c>
      <c r="Z33" s="115" t="s">
        <v>229</v>
      </c>
      <c r="AA33" s="115" t="s">
        <v>230</v>
      </c>
      <c r="AB33" s="115" t="s">
        <v>254</v>
      </c>
      <c r="AC33" s="115" t="s">
        <v>254</v>
      </c>
      <c r="AD33" s="115" t="s">
        <v>254</v>
      </c>
      <c r="AE33" s="115" t="s">
        <v>257</v>
      </c>
      <c r="AF33" s="115" t="s">
        <v>257</v>
      </c>
      <c r="AG33" s="115" t="s">
        <v>257</v>
      </c>
      <c r="AH33" s="115" t="s">
        <v>229</v>
      </c>
      <c r="AI33" s="115" t="s">
        <v>229</v>
      </c>
      <c r="AJ33" s="115" t="s">
        <v>230</v>
      </c>
      <c r="AK33" s="115" t="s">
        <v>229</v>
      </c>
      <c r="AL33" s="115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15" sqref="M15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9" t="s">
        <v>266</v>
      </c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J2" s="251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" x14ac:dyDescent="0.25">
      <c r="B3" s="180" t="s">
        <v>105</v>
      </c>
      <c r="C3" s="180"/>
      <c r="D3" s="180"/>
      <c r="F3" s="122" t="s">
        <v>98</v>
      </c>
      <c r="G3" s="123" t="s">
        <v>99</v>
      </c>
      <c r="H3" s="123" t="s">
        <v>100</v>
      </c>
      <c r="I3" s="122" t="s">
        <v>101</v>
      </c>
      <c r="J3" s="123" t="s">
        <v>95</v>
      </c>
      <c r="K3" s="123" t="s">
        <v>96</v>
      </c>
      <c r="L3" s="122" t="s">
        <v>97</v>
      </c>
      <c r="M3" s="123" t="s">
        <v>98</v>
      </c>
      <c r="N3" s="123" t="s">
        <v>99</v>
      </c>
      <c r="O3" s="122" t="s">
        <v>100</v>
      </c>
      <c r="P3" s="123" t="s">
        <v>101</v>
      </c>
      <c r="Q3" s="123" t="s">
        <v>95</v>
      </c>
      <c r="R3" s="122" t="s">
        <v>96</v>
      </c>
      <c r="S3" s="123" t="s">
        <v>97</v>
      </c>
      <c r="T3" s="123" t="s">
        <v>98</v>
      </c>
      <c r="U3" s="122" t="s">
        <v>99</v>
      </c>
      <c r="V3" s="123" t="s">
        <v>100</v>
      </c>
      <c r="W3" s="123" t="s">
        <v>101</v>
      </c>
      <c r="X3" s="122" t="s">
        <v>95</v>
      </c>
      <c r="Y3" s="123" t="s">
        <v>96</v>
      </c>
      <c r="Z3" s="123" t="s">
        <v>97</v>
      </c>
      <c r="AA3" s="122" t="s">
        <v>98</v>
      </c>
      <c r="AB3" s="123" t="s">
        <v>99</v>
      </c>
      <c r="AC3" s="123" t="s">
        <v>100</v>
      </c>
      <c r="AD3" s="122" t="s">
        <v>101</v>
      </c>
      <c r="AE3" s="123" t="s">
        <v>95</v>
      </c>
      <c r="AF3" s="123" t="s">
        <v>96</v>
      </c>
      <c r="AG3" s="122" t="s">
        <v>97</v>
      </c>
      <c r="AH3" s="123" t="s">
        <v>98</v>
      </c>
      <c r="AI3" s="123" t="s">
        <v>99</v>
      </c>
      <c r="AJ3" s="122" t="s">
        <v>100</v>
      </c>
      <c r="AL3" s="188"/>
      <c r="AM3" s="188"/>
      <c r="AN3" s="188"/>
      <c r="AO3" s="188"/>
      <c r="AP3" s="188"/>
    </row>
    <row r="4" spans="2:42" ht="19.5" customHeight="1" thickBot="1" x14ac:dyDescent="0.3">
      <c r="B4" s="180"/>
      <c r="C4" s="180"/>
      <c r="D4" s="18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24">
        <v>6</v>
      </c>
      <c r="L4" s="124">
        <v>7</v>
      </c>
      <c r="M4" s="124">
        <v>8</v>
      </c>
      <c r="N4" s="124">
        <v>9</v>
      </c>
      <c r="O4" s="124">
        <v>10</v>
      </c>
      <c r="P4" s="124">
        <v>11</v>
      </c>
      <c r="Q4" s="124">
        <v>12</v>
      </c>
      <c r="R4" s="124">
        <v>13</v>
      </c>
      <c r="S4" s="124">
        <v>14</v>
      </c>
      <c r="T4" s="124">
        <v>15</v>
      </c>
      <c r="U4" s="124">
        <v>16</v>
      </c>
      <c r="V4" s="124">
        <v>17</v>
      </c>
      <c r="W4" s="124">
        <v>18</v>
      </c>
      <c r="X4" s="124">
        <v>19</v>
      </c>
      <c r="Y4" s="124">
        <v>20</v>
      </c>
      <c r="Z4" s="124">
        <v>21</v>
      </c>
      <c r="AA4" s="124">
        <v>22</v>
      </c>
      <c r="AB4" s="124">
        <v>23</v>
      </c>
      <c r="AC4" s="124">
        <v>24</v>
      </c>
      <c r="AD4" s="124">
        <v>25</v>
      </c>
      <c r="AE4" s="124">
        <v>26</v>
      </c>
      <c r="AF4" s="124">
        <v>27</v>
      </c>
      <c r="AG4" s="124">
        <v>28</v>
      </c>
      <c r="AH4" s="124">
        <v>29</v>
      </c>
      <c r="AI4" s="124">
        <v>30</v>
      </c>
      <c r="AJ4" s="125">
        <v>31</v>
      </c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147" t="s">
        <v>193</v>
      </c>
      <c r="D5" s="148"/>
      <c r="F5" s="23" t="s">
        <v>257</v>
      </c>
      <c r="G5" s="23" t="s">
        <v>257</v>
      </c>
      <c r="H5" s="23" t="s">
        <v>257</v>
      </c>
      <c r="I5" s="27" t="s">
        <v>229</v>
      </c>
      <c r="J5" s="27" t="s">
        <v>229</v>
      </c>
      <c r="K5" s="23" t="s">
        <v>230</v>
      </c>
      <c r="L5" s="23" t="s">
        <v>254</v>
      </c>
      <c r="M5" s="23" t="s">
        <v>254</v>
      </c>
      <c r="N5" s="23" t="s">
        <v>257</v>
      </c>
      <c r="O5" s="23" t="s">
        <v>257</v>
      </c>
      <c r="P5" s="23" t="s">
        <v>257</v>
      </c>
      <c r="Q5" s="27" t="s">
        <v>229</v>
      </c>
      <c r="R5" s="23" t="s">
        <v>230</v>
      </c>
      <c r="S5" s="23" t="s">
        <v>230</v>
      </c>
      <c r="T5" s="23" t="s">
        <v>254</v>
      </c>
      <c r="U5" s="23" t="s">
        <v>254</v>
      </c>
      <c r="V5" s="23" t="s">
        <v>257</v>
      </c>
      <c r="W5" s="23" t="s">
        <v>257</v>
      </c>
      <c r="X5" s="23" t="s">
        <v>257</v>
      </c>
      <c r="Y5" s="27" t="s">
        <v>229</v>
      </c>
      <c r="Z5" s="23" t="s">
        <v>230</v>
      </c>
      <c r="AA5" s="23" t="s">
        <v>255</v>
      </c>
      <c r="AB5" s="23" t="s">
        <v>254</v>
      </c>
      <c r="AC5" s="23" t="s">
        <v>254</v>
      </c>
      <c r="AD5" s="23" t="s">
        <v>257</v>
      </c>
      <c r="AE5" s="23" t="s">
        <v>257</v>
      </c>
      <c r="AF5" s="23" t="s">
        <v>257</v>
      </c>
      <c r="AG5" s="27" t="s">
        <v>229</v>
      </c>
      <c r="AH5" s="27" t="s">
        <v>253</v>
      </c>
      <c r="AI5" s="23" t="s">
        <v>230</v>
      </c>
      <c r="AJ5" s="23" t="s">
        <v>230</v>
      </c>
      <c r="AL5" s="22">
        <f>COUNTIF($F5:$AJ5,"ST*")</f>
        <v>2</v>
      </c>
      <c r="AM5" s="22">
        <f>COUNTIF($F5:$AJ5,"M*")</f>
        <v>5</v>
      </c>
      <c r="AN5" s="22">
        <f>COUNTIF($F5:$AJ5,"A*")</f>
        <v>6</v>
      </c>
      <c r="AO5" s="22">
        <f>COUNTIF($F5:$AJ5,"N*")</f>
        <v>6</v>
      </c>
      <c r="AP5" s="22">
        <f>COUNTIF($F5:$AJ5,"O*")</f>
        <v>12</v>
      </c>
    </row>
    <row r="6" spans="2:42" ht="18.75" x14ac:dyDescent="0.25">
      <c r="B6" s="37">
        <v>2</v>
      </c>
      <c r="C6" s="145" t="s">
        <v>194</v>
      </c>
      <c r="D6" s="146"/>
      <c r="F6" s="23" t="s">
        <v>257</v>
      </c>
      <c r="G6" s="23" t="s">
        <v>257</v>
      </c>
      <c r="H6" s="27" t="s">
        <v>229</v>
      </c>
      <c r="I6" s="51" t="s">
        <v>230</v>
      </c>
      <c r="J6" s="51" t="s">
        <v>230</v>
      </c>
      <c r="K6" s="23" t="s">
        <v>254</v>
      </c>
      <c r="L6" s="23" t="s">
        <v>254</v>
      </c>
      <c r="M6" s="23" t="s">
        <v>257</v>
      </c>
      <c r="N6" s="23" t="s">
        <v>257</v>
      </c>
      <c r="O6" s="23" t="s">
        <v>257</v>
      </c>
      <c r="P6" s="27" t="s">
        <v>229</v>
      </c>
      <c r="Q6" s="51" t="s">
        <v>230</v>
      </c>
      <c r="R6" s="51" t="s">
        <v>230</v>
      </c>
      <c r="S6" s="23" t="s">
        <v>254</v>
      </c>
      <c r="T6" s="23" t="s">
        <v>254</v>
      </c>
      <c r="U6" s="23" t="s">
        <v>257</v>
      </c>
      <c r="V6" s="23" t="s">
        <v>257</v>
      </c>
      <c r="W6" s="23" t="s">
        <v>257</v>
      </c>
      <c r="X6" s="56" t="s">
        <v>229</v>
      </c>
      <c r="Y6" s="56" t="s">
        <v>253</v>
      </c>
      <c r="Z6" s="56" t="s">
        <v>230</v>
      </c>
      <c r="AA6" s="56" t="s">
        <v>230</v>
      </c>
      <c r="AB6" s="56" t="s">
        <v>254</v>
      </c>
      <c r="AC6" s="23" t="s">
        <v>257</v>
      </c>
      <c r="AD6" s="23" t="s">
        <v>257</v>
      </c>
      <c r="AE6" s="23" t="s">
        <v>257</v>
      </c>
      <c r="AF6" s="27" t="s">
        <v>144</v>
      </c>
      <c r="AG6" s="51" t="s">
        <v>230</v>
      </c>
      <c r="AH6" s="51" t="s">
        <v>230</v>
      </c>
      <c r="AI6" s="23" t="s">
        <v>254</v>
      </c>
      <c r="AJ6" s="23" t="s">
        <v>254</v>
      </c>
      <c r="AL6" s="22">
        <f t="shared" ref="AL6:AL23" si="0">COUNTIF($F6:$AJ6,"ST*")</f>
        <v>1</v>
      </c>
      <c r="AM6" s="22">
        <f t="shared" ref="AM6:AM23" si="1">COUNTIF($F6:$AJ6,"M*")</f>
        <v>3</v>
      </c>
      <c r="AN6" s="22">
        <f t="shared" ref="AN6:AN23" si="2">COUNTIF($F6:$AJ6,"A*")</f>
        <v>8</v>
      </c>
      <c r="AO6" s="22">
        <f t="shared" ref="AO6:AO23" si="3">COUNTIF($F6:$AJ6,"N*")</f>
        <v>7</v>
      </c>
      <c r="AP6" s="22">
        <f t="shared" ref="AP6:AP23" si="4">COUNTIF($F6:$AJ6,"O*")</f>
        <v>11</v>
      </c>
    </row>
    <row r="7" spans="2:42" ht="18.75" x14ac:dyDescent="0.25">
      <c r="B7" s="37">
        <v>3</v>
      </c>
      <c r="C7" s="145" t="s">
        <v>269</v>
      </c>
      <c r="D7" s="146"/>
      <c r="F7" s="23" t="s">
        <v>257</v>
      </c>
      <c r="G7" s="27" t="s">
        <v>229</v>
      </c>
      <c r="H7" s="27" t="s">
        <v>230</v>
      </c>
      <c r="I7" s="51" t="s">
        <v>230</v>
      </c>
      <c r="J7" s="23" t="s">
        <v>254</v>
      </c>
      <c r="K7" s="23" t="s">
        <v>254</v>
      </c>
      <c r="L7" s="23" t="s">
        <v>257</v>
      </c>
      <c r="M7" s="23" t="s">
        <v>257</v>
      </c>
      <c r="N7" s="23" t="s">
        <v>257</v>
      </c>
      <c r="O7" s="27" t="s">
        <v>229</v>
      </c>
      <c r="P7" s="51" t="s">
        <v>230</v>
      </c>
      <c r="Q7" s="51" t="s">
        <v>230</v>
      </c>
      <c r="R7" s="51" t="s">
        <v>256</v>
      </c>
      <c r="S7" s="23" t="s">
        <v>254</v>
      </c>
      <c r="T7" s="23" t="s">
        <v>257</v>
      </c>
      <c r="U7" s="23" t="s">
        <v>257</v>
      </c>
      <c r="V7" s="23" t="s">
        <v>257</v>
      </c>
      <c r="W7" s="56" t="s">
        <v>229</v>
      </c>
      <c r="X7" s="56" t="s">
        <v>229</v>
      </c>
      <c r="Y7" s="56" t="s">
        <v>230</v>
      </c>
      <c r="Z7" s="56" t="s">
        <v>254</v>
      </c>
      <c r="AA7" s="56" t="s">
        <v>254</v>
      </c>
      <c r="AB7" s="23" t="s">
        <v>257</v>
      </c>
      <c r="AC7" s="23" t="s">
        <v>257</v>
      </c>
      <c r="AD7" s="23" t="s">
        <v>257</v>
      </c>
      <c r="AE7" s="27" t="s">
        <v>229</v>
      </c>
      <c r="AF7" s="27" t="s">
        <v>229</v>
      </c>
      <c r="AG7" s="51" t="s">
        <v>230</v>
      </c>
      <c r="AH7" s="23" t="s">
        <v>254</v>
      </c>
      <c r="AI7" s="23" t="s">
        <v>254</v>
      </c>
      <c r="AJ7" s="23" t="s">
        <v>257</v>
      </c>
      <c r="AL7" s="22">
        <f t="shared" si="0"/>
        <v>1</v>
      </c>
      <c r="AM7" s="22">
        <f t="shared" si="1"/>
        <v>6</v>
      </c>
      <c r="AN7" s="22">
        <f t="shared" si="2"/>
        <v>6</v>
      </c>
      <c r="AO7" s="22">
        <f t="shared" si="3"/>
        <v>7</v>
      </c>
      <c r="AP7" s="22">
        <f t="shared" si="4"/>
        <v>11</v>
      </c>
    </row>
    <row r="8" spans="2:42" ht="18.75" x14ac:dyDescent="0.25">
      <c r="B8" s="37">
        <v>4</v>
      </c>
      <c r="C8" s="145" t="s">
        <v>195</v>
      </c>
      <c r="D8" s="146"/>
      <c r="F8" s="27" t="s">
        <v>258</v>
      </c>
      <c r="G8" s="27" t="s">
        <v>258</v>
      </c>
      <c r="H8" s="51" t="s">
        <v>258</v>
      </c>
      <c r="I8" s="51" t="s">
        <v>258</v>
      </c>
      <c r="J8" s="23" t="s">
        <v>258</v>
      </c>
      <c r="K8" s="23" t="s">
        <v>258</v>
      </c>
      <c r="L8" s="23" t="s">
        <v>257</v>
      </c>
      <c r="M8" s="23" t="s">
        <v>257</v>
      </c>
      <c r="N8" s="27" t="s">
        <v>229</v>
      </c>
      <c r="O8" s="51" t="s">
        <v>230</v>
      </c>
      <c r="P8" s="51" t="s">
        <v>230</v>
      </c>
      <c r="Q8" s="23" t="s">
        <v>254</v>
      </c>
      <c r="R8" s="23" t="s">
        <v>254</v>
      </c>
      <c r="S8" s="23" t="s">
        <v>257</v>
      </c>
      <c r="T8" s="23" t="s">
        <v>257</v>
      </c>
      <c r="U8" s="23" t="s">
        <v>257</v>
      </c>
      <c r="V8" s="27" t="s">
        <v>229</v>
      </c>
      <c r="W8" s="27" t="s">
        <v>229</v>
      </c>
      <c r="X8" s="51" t="s">
        <v>230</v>
      </c>
      <c r="Y8" s="23" t="s">
        <v>254</v>
      </c>
      <c r="Z8" s="23" t="s">
        <v>254</v>
      </c>
      <c r="AA8" s="23" t="s">
        <v>257</v>
      </c>
      <c r="AB8" s="23" t="s">
        <v>257</v>
      </c>
      <c r="AC8" s="23" t="s">
        <v>257</v>
      </c>
      <c r="AD8" s="27" t="s">
        <v>229</v>
      </c>
      <c r="AE8" s="27" t="s">
        <v>229</v>
      </c>
      <c r="AF8" s="51" t="s">
        <v>230</v>
      </c>
      <c r="AG8" s="51" t="s">
        <v>254</v>
      </c>
      <c r="AH8" s="23" t="s">
        <v>254</v>
      </c>
      <c r="AI8" s="23" t="s">
        <v>257</v>
      </c>
      <c r="AJ8" s="23" t="s">
        <v>257</v>
      </c>
      <c r="AL8" s="22">
        <f t="shared" si="0"/>
        <v>0</v>
      </c>
      <c r="AM8" s="22">
        <f t="shared" si="1"/>
        <v>5</v>
      </c>
      <c r="AN8" s="22">
        <f t="shared" si="2"/>
        <v>4</v>
      </c>
      <c r="AO8" s="22">
        <f t="shared" si="3"/>
        <v>6</v>
      </c>
      <c r="AP8" s="22">
        <f t="shared" si="4"/>
        <v>10</v>
      </c>
    </row>
    <row r="9" spans="2:42" ht="18.75" x14ac:dyDescent="0.25">
      <c r="B9" s="37">
        <v>5</v>
      </c>
      <c r="C9" s="145" t="s">
        <v>196</v>
      </c>
      <c r="D9" s="146"/>
      <c r="F9" s="27" t="s">
        <v>229</v>
      </c>
      <c r="G9" s="51" t="s">
        <v>230</v>
      </c>
      <c r="H9" s="51" t="s">
        <v>230</v>
      </c>
      <c r="I9" s="23" t="s">
        <v>254</v>
      </c>
      <c r="J9" s="23" t="s">
        <v>257</v>
      </c>
      <c r="K9" s="23" t="s">
        <v>257</v>
      </c>
      <c r="L9" s="23" t="s">
        <v>257</v>
      </c>
      <c r="M9" s="27" t="s">
        <v>229</v>
      </c>
      <c r="N9" s="27" t="s">
        <v>229</v>
      </c>
      <c r="O9" s="51" t="s">
        <v>230</v>
      </c>
      <c r="P9" s="51" t="s">
        <v>254</v>
      </c>
      <c r="Q9" s="23" t="s">
        <v>254</v>
      </c>
      <c r="R9" s="23" t="s">
        <v>257</v>
      </c>
      <c r="S9" s="23" t="s">
        <v>257</v>
      </c>
      <c r="T9" s="23" t="s">
        <v>257</v>
      </c>
      <c r="U9" s="27" t="s">
        <v>229</v>
      </c>
      <c r="V9" s="27" t="s">
        <v>229</v>
      </c>
      <c r="W9" s="51" t="s">
        <v>230</v>
      </c>
      <c r="X9" s="23" t="s">
        <v>254</v>
      </c>
      <c r="Y9" s="23" t="s">
        <v>254</v>
      </c>
      <c r="Z9" s="23" t="s">
        <v>257</v>
      </c>
      <c r="AA9" s="23" t="s">
        <v>257</v>
      </c>
      <c r="AB9" s="23" t="s">
        <v>257</v>
      </c>
      <c r="AC9" s="27" t="s">
        <v>229</v>
      </c>
      <c r="AD9" s="27" t="s">
        <v>229</v>
      </c>
      <c r="AE9" s="51" t="s">
        <v>230</v>
      </c>
      <c r="AF9" s="51" t="s">
        <v>230</v>
      </c>
      <c r="AG9" s="23" t="s">
        <v>254</v>
      </c>
      <c r="AH9" s="23" t="s">
        <v>257</v>
      </c>
      <c r="AI9" s="23" t="s">
        <v>257</v>
      </c>
      <c r="AJ9" s="23" t="s">
        <v>257</v>
      </c>
      <c r="AL9" s="22">
        <f t="shared" si="0"/>
        <v>0</v>
      </c>
      <c r="AM9" s="22">
        <f t="shared" si="1"/>
        <v>7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45" t="s">
        <v>197</v>
      </c>
      <c r="D10" s="146"/>
      <c r="F10" s="51" t="s">
        <v>230</v>
      </c>
      <c r="G10" s="23" t="s">
        <v>230</v>
      </c>
      <c r="H10" s="23" t="s">
        <v>254</v>
      </c>
      <c r="I10" s="23" t="s">
        <v>257</v>
      </c>
      <c r="J10" s="23" t="s">
        <v>257</v>
      </c>
      <c r="K10" s="23" t="s">
        <v>257</v>
      </c>
      <c r="L10" s="27" t="s">
        <v>229</v>
      </c>
      <c r="M10" s="27" t="s">
        <v>229</v>
      </c>
      <c r="N10" s="51" t="s">
        <v>230</v>
      </c>
      <c r="O10" s="51" t="s">
        <v>254</v>
      </c>
      <c r="P10" s="23" t="s">
        <v>254</v>
      </c>
      <c r="Q10" s="23" t="s">
        <v>257</v>
      </c>
      <c r="R10" s="23" t="s">
        <v>257</v>
      </c>
      <c r="S10" s="23" t="s">
        <v>257</v>
      </c>
      <c r="T10" s="27" t="s">
        <v>229</v>
      </c>
      <c r="U10" s="51" t="s">
        <v>230</v>
      </c>
      <c r="V10" s="112" t="s">
        <v>230</v>
      </c>
      <c r="W10" s="23" t="s">
        <v>254</v>
      </c>
      <c r="X10" s="23" t="s">
        <v>254</v>
      </c>
      <c r="Y10" s="23" t="s">
        <v>257</v>
      </c>
      <c r="Z10" s="23" t="s">
        <v>257</v>
      </c>
      <c r="AA10" s="23" t="s">
        <v>257</v>
      </c>
      <c r="AB10" s="27" t="s">
        <v>229</v>
      </c>
      <c r="AC10" s="27" t="s">
        <v>229</v>
      </c>
      <c r="AD10" s="51" t="s">
        <v>230</v>
      </c>
      <c r="AE10" s="23" t="s">
        <v>144</v>
      </c>
      <c r="AF10" s="23" t="s">
        <v>254</v>
      </c>
      <c r="AG10" s="23" t="s">
        <v>257</v>
      </c>
      <c r="AH10" s="23" t="s">
        <v>257</v>
      </c>
      <c r="AI10" s="23" t="s">
        <v>257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5" t="s">
        <v>198</v>
      </c>
      <c r="D11" s="146"/>
      <c r="F11" s="23" t="s">
        <v>230</v>
      </c>
      <c r="G11" s="23" t="s">
        <v>254</v>
      </c>
      <c r="H11" s="23" t="s">
        <v>257</v>
      </c>
      <c r="I11" s="23" t="s">
        <v>257</v>
      </c>
      <c r="J11" s="23" t="s">
        <v>257</v>
      </c>
      <c r="K11" s="27" t="s">
        <v>229</v>
      </c>
      <c r="L11" s="51" t="s">
        <v>230</v>
      </c>
      <c r="M11" s="51" t="s">
        <v>230</v>
      </c>
      <c r="N11" s="23" t="s">
        <v>254</v>
      </c>
      <c r="O11" s="23" t="s">
        <v>254</v>
      </c>
      <c r="P11" s="23" t="s">
        <v>257</v>
      </c>
      <c r="Q11" s="23" t="s">
        <v>257</v>
      </c>
      <c r="R11" s="23" t="s">
        <v>257</v>
      </c>
      <c r="S11" s="27" t="s">
        <v>229</v>
      </c>
      <c r="T11" s="51" t="s">
        <v>255</v>
      </c>
      <c r="U11" s="51" t="s">
        <v>230</v>
      </c>
      <c r="V11" s="23" t="s">
        <v>254</v>
      </c>
      <c r="W11" s="23" t="s">
        <v>254</v>
      </c>
      <c r="X11" s="23" t="s">
        <v>257</v>
      </c>
      <c r="Y11" s="23" t="s">
        <v>257</v>
      </c>
      <c r="Z11" s="23" t="s">
        <v>257</v>
      </c>
      <c r="AA11" s="27" t="s">
        <v>229</v>
      </c>
      <c r="AB11" s="51" t="s">
        <v>255</v>
      </c>
      <c r="AC11" s="23" t="s">
        <v>230</v>
      </c>
      <c r="AD11" s="23" t="s">
        <v>144</v>
      </c>
      <c r="AE11" s="23" t="s">
        <v>254</v>
      </c>
      <c r="AF11" s="23" t="s">
        <v>257</v>
      </c>
      <c r="AG11" s="23" t="s">
        <v>257</v>
      </c>
      <c r="AH11" s="23" t="s">
        <v>257</v>
      </c>
      <c r="AI11" s="27" t="s">
        <v>229</v>
      </c>
      <c r="AJ11" s="51" t="s">
        <v>255</v>
      </c>
      <c r="AL11" s="22">
        <f t="shared" si="0"/>
        <v>3</v>
      </c>
      <c r="AM11" s="22">
        <f t="shared" si="1"/>
        <v>4</v>
      </c>
      <c r="AN11" s="22">
        <f t="shared" si="2"/>
        <v>5</v>
      </c>
      <c r="AO11" s="22">
        <f t="shared" si="3"/>
        <v>6</v>
      </c>
      <c r="AP11" s="22">
        <f t="shared" si="4"/>
        <v>12</v>
      </c>
    </row>
    <row r="12" spans="2:42" ht="18.75" x14ac:dyDescent="0.25">
      <c r="B12" s="37">
        <v>8</v>
      </c>
      <c r="C12" s="145" t="s">
        <v>199</v>
      </c>
      <c r="D12" s="146"/>
      <c r="F12" s="56" t="s">
        <v>254</v>
      </c>
      <c r="G12" s="56" t="s">
        <v>257</v>
      </c>
      <c r="H12" s="56" t="s">
        <v>257</v>
      </c>
      <c r="I12" s="56" t="s">
        <v>257</v>
      </c>
      <c r="J12" s="56" t="s">
        <v>229</v>
      </c>
      <c r="K12" s="56" t="s">
        <v>229</v>
      </c>
      <c r="L12" s="56" t="s">
        <v>230</v>
      </c>
      <c r="M12" s="56" t="s">
        <v>230</v>
      </c>
      <c r="N12" s="56" t="s">
        <v>254</v>
      </c>
      <c r="O12" s="23" t="s">
        <v>257</v>
      </c>
      <c r="P12" s="23" t="s">
        <v>257</v>
      </c>
      <c r="Q12" s="23" t="s">
        <v>257</v>
      </c>
      <c r="R12" s="27" t="s">
        <v>229</v>
      </c>
      <c r="S12" s="51" t="s">
        <v>255</v>
      </c>
      <c r="T12" s="51" t="s">
        <v>230</v>
      </c>
      <c r="U12" s="23" t="s">
        <v>254</v>
      </c>
      <c r="V12" s="23" t="s">
        <v>254</v>
      </c>
      <c r="W12" s="23" t="s">
        <v>257</v>
      </c>
      <c r="X12" s="23" t="s">
        <v>257</v>
      </c>
      <c r="Y12" s="23" t="s">
        <v>257</v>
      </c>
      <c r="Z12" s="56" t="s">
        <v>229</v>
      </c>
      <c r="AA12" s="56" t="s">
        <v>253</v>
      </c>
      <c r="AB12" s="56" t="s">
        <v>230</v>
      </c>
      <c r="AC12" s="56" t="s">
        <v>230</v>
      </c>
      <c r="AD12" s="56" t="s">
        <v>144</v>
      </c>
      <c r="AE12" s="56" t="s">
        <v>257</v>
      </c>
      <c r="AF12" s="56" t="s">
        <v>257</v>
      </c>
      <c r="AG12" s="56" t="s">
        <v>257</v>
      </c>
      <c r="AH12" s="56" t="s">
        <v>229</v>
      </c>
      <c r="AI12" s="56" t="s">
        <v>253</v>
      </c>
      <c r="AJ12" s="56" t="s">
        <v>230</v>
      </c>
      <c r="AL12" s="22">
        <f t="shared" si="0"/>
        <v>3</v>
      </c>
      <c r="AM12" s="22">
        <f t="shared" si="1"/>
        <v>5</v>
      </c>
      <c r="AN12" s="22">
        <f t="shared" si="2"/>
        <v>6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5" t="s">
        <v>200</v>
      </c>
      <c r="D13" s="146"/>
      <c r="F13" s="23" t="s">
        <v>258</v>
      </c>
      <c r="G13" s="23" t="s">
        <v>258</v>
      </c>
      <c r="H13" s="23" t="s">
        <v>258</v>
      </c>
      <c r="I13" s="27" t="s">
        <v>258</v>
      </c>
      <c r="J13" s="51" t="s">
        <v>258</v>
      </c>
      <c r="K13" s="51" t="s">
        <v>258</v>
      </c>
      <c r="L13" s="23" t="s">
        <v>258</v>
      </c>
      <c r="M13" s="23" t="s">
        <v>258</v>
      </c>
      <c r="N13" s="23" t="s">
        <v>258</v>
      </c>
      <c r="O13" s="23" t="s">
        <v>258</v>
      </c>
      <c r="P13" s="23" t="s">
        <v>258</v>
      </c>
      <c r="Q13" s="27" t="s">
        <v>258</v>
      </c>
      <c r="R13" s="27" t="s">
        <v>258</v>
      </c>
      <c r="S13" s="51" t="s">
        <v>258</v>
      </c>
      <c r="T13" s="51" t="s">
        <v>258</v>
      </c>
      <c r="U13" s="51" t="s">
        <v>258</v>
      </c>
      <c r="V13" s="112" t="s">
        <v>257</v>
      </c>
      <c r="W13" s="23" t="s">
        <v>257</v>
      </c>
      <c r="X13" s="23" t="s">
        <v>257</v>
      </c>
      <c r="Y13" s="27" t="s">
        <v>229</v>
      </c>
      <c r="Z13" s="51" t="s">
        <v>230</v>
      </c>
      <c r="AA13" s="51" t="s">
        <v>230</v>
      </c>
      <c r="AB13" s="23" t="s">
        <v>256</v>
      </c>
      <c r="AC13" s="23" t="s">
        <v>254</v>
      </c>
      <c r="AD13" s="23" t="s">
        <v>257</v>
      </c>
      <c r="AE13" s="23" t="s">
        <v>257</v>
      </c>
      <c r="AF13" s="23" t="s">
        <v>257</v>
      </c>
      <c r="AG13" s="27" t="s">
        <v>229</v>
      </c>
      <c r="AH13" s="51" t="s">
        <v>230</v>
      </c>
      <c r="AI13" s="51" t="s">
        <v>255</v>
      </c>
      <c r="AJ13" s="23" t="s">
        <v>254</v>
      </c>
      <c r="AL13" s="22">
        <f t="shared" si="0"/>
        <v>2</v>
      </c>
      <c r="AM13" s="22">
        <f t="shared" si="1"/>
        <v>2</v>
      </c>
      <c r="AN13" s="22">
        <f t="shared" si="2"/>
        <v>3</v>
      </c>
      <c r="AO13" s="22">
        <f t="shared" si="3"/>
        <v>2</v>
      </c>
      <c r="AP13" s="22">
        <f t="shared" si="4"/>
        <v>6</v>
      </c>
    </row>
    <row r="14" spans="2:42" ht="18.75" x14ac:dyDescent="0.25">
      <c r="B14" s="37">
        <v>10</v>
      </c>
      <c r="C14" s="145" t="s">
        <v>201</v>
      </c>
      <c r="D14" s="146"/>
      <c r="F14" s="23" t="s">
        <v>257</v>
      </c>
      <c r="G14" s="23" t="s">
        <v>257</v>
      </c>
      <c r="H14" s="56" t="s">
        <v>229</v>
      </c>
      <c r="I14" s="56" t="s">
        <v>229</v>
      </c>
      <c r="J14" s="56" t="s">
        <v>230</v>
      </c>
      <c r="K14" s="56" t="s">
        <v>230</v>
      </c>
      <c r="L14" s="56" t="s">
        <v>254</v>
      </c>
      <c r="M14" s="23" t="s">
        <v>257</v>
      </c>
      <c r="N14" s="23" t="s">
        <v>257</v>
      </c>
      <c r="O14" s="23" t="s">
        <v>257</v>
      </c>
      <c r="P14" s="27" t="s">
        <v>229</v>
      </c>
      <c r="Q14" s="51" t="s">
        <v>229</v>
      </c>
      <c r="R14" s="51" t="s">
        <v>230</v>
      </c>
      <c r="S14" s="51" t="s">
        <v>230</v>
      </c>
      <c r="T14" s="23" t="s">
        <v>254</v>
      </c>
      <c r="U14" s="23" t="s">
        <v>257</v>
      </c>
      <c r="V14" s="23" t="s">
        <v>257</v>
      </c>
      <c r="W14" s="23" t="s">
        <v>257</v>
      </c>
      <c r="X14" s="27" t="s">
        <v>229</v>
      </c>
      <c r="Y14" s="51" t="s">
        <v>230</v>
      </c>
      <c r="Z14" s="51" t="s">
        <v>254</v>
      </c>
      <c r="AA14" s="23" t="s">
        <v>254</v>
      </c>
      <c r="AB14" s="23" t="s">
        <v>254</v>
      </c>
      <c r="AC14" s="23" t="s">
        <v>257</v>
      </c>
      <c r="AD14" s="23" t="s">
        <v>257</v>
      </c>
      <c r="AE14" s="23" t="s">
        <v>257</v>
      </c>
      <c r="AF14" s="56" t="s">
        <v>229</v>
      </c>
      <c r="AG14" s="56" t="s">
        <v>253</v>
      </c>
      <c r="AH14" s="56" t="s">
        <v>230</v>
      </c>
      <c r="AI14" s="56" t="s">
        <v>230</v>
      </c>
      <c r="AJ14" s="56" t="s">
        <v>254</v>
      </c>
      <c r="AL14" s="22">
        <f t="shared" si="0"/>
        <v>1</v>
      </c>
      <c r="AM14" s="22">
        <f t="shared" si="1"/>
        <v>6</v>
      </c>
      <c r="AN14" s="22">
        <f t="shared" si="2"/>
        <v>7</v>
      </c>
      <c r="AO14" s="22">
        <f t="shared" si="3"/>
        <v>6</v>
      </c>
      <c r="AP14" s="22">
        <f t="shared" si="4"/>
        <v>11</v>
      </c>
    </row>
    <row r="15" spans="2:42" ht="18.75" x14ac:dyDescent="0.25">
      <c r="B15" s="37">
        <v>11</v>
      </c>
      <c r="C15" s="145" t="s">
        <v>202</v>
      </c>
      <c r="D15" s="146"/>
      <c r="F15" s="23" t="s">
        <v>257</v>
      </c>
      <c r="G15" s="27" t="s">
        <v>229</v>
      </c>
      <c r="H15" s="27" t="s">
        <v>229</v>
      </c>
      <c r="I15" s="51" t="s">
        <v>230</v>
      </c>
      <c r="J15" s="51" t="s">
        <v>254</v>
      </c>
      <c r="K15" s="51" t="s">
        <v>254</v>
      </c>
      <c r="L15" s="23" t="s">
        <v>257</v>
      </c>
      <c r="M15" s="23" t="s">
        <v>257</v>
      </c>
      <c r="N15" s="23" t="s">
        <v>257</v>
      </c>
      <c r="O15" s="27" t="s">
        <v>229</v>
      </c>
      <c r="P15" s="27" t="s">
        <v>229</v>
      </c>
      <c r="Q15" s="51" t="s">
        <v>255</v>
      </c>
      <c r="R15" s="23" t="s">
        <v>254</v>
      </c>
      <c r="S15" s="51" t="s">
        <v>254</v>
      </c>
      <c r="T15" s="23" t="s">
        <v>257</v>
      </c>
      <c r="U15" s="23" t="s">
        <v>257</v>
      </c>
      <c r="V15" s="23" t="s">
        <v>257</v>
      </c>
      <c r="W15" s="27" t="s">
        <v>229</v>
      </c>
      <c r="X15" s="27" t="s">
        <v>230</v>
      </c>
      <c r="Y15" s="51" t="s">
        <v>230</v>
      </c>
      <c r="Z15" s="23" t="s">
        <v>144</v>
      </c>
      <c r="AA15" s="23" t="s">
        <v>254</v>
      </c>
      <c r="AB15" s="23" t="s">
        <v>257</v>
      </c>
      <c r="AC15" s="23" t="s">
        <v>257</v>
      </c>
      <c r="AD15" s="23" t="s">
        <v>257</v>
      </c>
      <c r="AE15" s="27" t="s">
        <v>229</v>
      </c>
      <c r="AF15" s="27" t="s">
        <v>229</v>
      </c>
      <c r="AG15" s="51" t="s">
        <v>230</v>
      </c>
      <c r="AH15" s="51" t="s">
        <v>254</v>
      </c>
      <c r="AI15" s="51" t="s">
        <v>254</v>
      </c>
      <c r="AJ15" s="23" t="s">
        <v>257</v>
      </c>
      <c r="AL15" s="22">
        <f t="shared" si="0"/>
        <v>1</v>
      </c>
      <c r="AM15" s="22">
        <f t="shared" si="1"/>
        <v>7</v>
      </c>
      <c r="AN15" s="22">
        <f t="shared" si="2"/>
        <v>4</v>
      </c>
      <c r="AO15" s="22">
        <f t="shared" si="3"/>
        <v>7</v>
      </c>
      <c r="AP15" s="22">
        <f t="shared" si="4"/>
        <v>11</v>
      </c>
    </row>
    <row r="16" spans="2:42" ht="18.75" x14ac:dyDescent="0.25">
      <c r="B16" s="37">
        <v>12</v>
      </c>
      <c r="C16" s="145" t="s">
        <v>203</v>
      </c>
      <c r="D16" s="146"/>
      <c r="F16" s="27" t="s">
        <v>229</v>
      </c>
      <c r="G16" s="51" t="s">
        <v>229</v>
      </c>
      <c r="H16" s="51" t="s">
        <v>230</v>
      </c>
      <c r="I16" s="23" t="s">
        <v>254</v>
      </c>
      <c r="J16" s="23" t="s">
        <v>254</v>
      </c>
      <c r="K16" s="23" t="s">
        <v>257</v>
      </c>
      <c r="L16" s="23" t="s">
        <v>257</v>
      </c>
      <c r="M16" s="23" t="s">
        <v>257</v>
      </c>
      <c r="N16" s="27" t="s">
        <v>229</v>
      </c>
      <c r="O16" s="27" t="s">
        <v>229</v>
      </c>
      <c r="P16" s="51" t="s">
        <v>230</v>
      </c>
      <c r="Q16" s="51" t="s">
        <v>230</v>
      </c>
      <c r="R16" s="23" t="s">
        <v>254</v>
      </c>
      <c r="S16" s="23" t="s">
        <v>257</v>
      </c>
      <c r="T16" s="23" t="s">
        <v>257</v>
      </c>
      <c r="U16" s="23" t="s">
        <v>257</v>
      </c>
      <c r="V16" s="27" t="s">
        <v>258</v>
      </c>
      <c r="W16" s="27" t="s">
        <v>258</v>
      </c>
      <c r="X16" s="51" t="s">
        <v>258</v>
      </c>
      <c r="Y16" s="51" t="s">
        <v>258</v>
      </c>
      <c r="Z16" s="23" t="s">
        <v>258</v>
      </c>
      <c r="AA16" s="23" t="s">
        <v>258</v>
      </c>
      <c r="AB16" s="23" t="s">
        <v>258</v>
      </c>
      <c r="AC16" s="23" t="s">
        <v>258</v>
      </c>
      <c r="AD16" s="27" t="s">
        <v>258</v>
      </c>
      <c r="AE16" s="51" t="s">
        <v>258</v>
      </c>
      <c r="AF16" s="51" t="s">
        <v>258</v>
      </c>
      <c r="AG16" s="23" t="s">
        <v>258</v>
      </c>
      <c r="AH16" s="23" t="s">
        <v>258</v>
      </c>
      <c r="AI16" s="23" t="s">
        <v>258</v>
      </c>
      <c r="AJ16" s="23" t="s">
        <v>257</v>
      </c>
      <c r="AL16" s="22">
        <f t="shared" si="0"/>
        <v>0</v>
      </c>
      <c r="AM16" s="22">
        <f t="shared" si="1"/>
        <v>4</v>
      </c>
      <c r="AN16" s="22">
        <f t="shared" si="2"/>
        <v>3</v>
      </c>
      <c r="AO16" s="22">
        <f t="shared" si="3"/>
        <v>3</v>
      </c>
      <c r="AP16" s="22">
        <f t="shared" si="4"/>
        <v>7</v>
      </c>
    </row>
    <row r="17" spans="2:42" ht="18.75" x14ac:dyDescent="0.25">
      <c r="B17" s="37">
        <v>13</v>
      </c>
      <c r="C17" s="145" t="s">
        <v>204</v>
      </c>
      <c r="D17" s="146"/>
      <c r="F17" s="51" t="s">
        <v>229</v>
      </c>
      <c r="G17" s="51" t="s">
        <v>230</v>
      </c>
      <c r="H17" s="23" t="s">
        <v>254</v>
      </c>
      <c r="I17" s="23" t="s">
        <v>254</v>
      </c>
      <c r="J17" s="23" t="s">
        <v>257</v>
      </c>
      <c r="K17" s="23" t="s">
        <v>257</v>
      </c>
      <c r="L17" s="23" t="s">
        <v>257</v>
      </c>
      <c r="M17" s="27" t="s">
        <v>229</v>
      </c>
      <c r="N17" s="51" t="s">
        <v>230</v>
      </c>
      <c r="O17" s="51" t="s">
        <v>230</v>
      </c>
      <c r="P17" s="23" t="s">
        <v>254</v>
      </c>
      <c r="Q17" s="23" t="s">
        <v>254</v>
      </c>
      <c r="R17" s="23" t="s">
        <v>257</v>
      </c>
      <c r="S17" s="23" t="s">
        <v>257</v>
      </c>
      <c r="T17" s="23" t="s">
        <v>257</v>
      </c>
      <c r="U17" s="27" t="s">
        <v>229</v>
      </c>
      <c r="V17" s="51" t="s">
        <v>229</v>
      </c>
      <c r="W17" s="51" t="s">
        <v>230</v>
      </c>
      <c r="X17" s="51" t="s">
        <v>230</v>
      </c>
      <c r="Y17" s="23" t="s">
        <v>254</v>
      </c>
      <c r="Z17" s="23" t="s">
        <v>257</v>
      </c>
      <c r="AA17" s="23" t="s">
        <v>257</v>
      </c>
      <c r="AB17" s="23" t="s">
        <v>257</v>
      </c>
      <c r="AC17" s="27" t="s">
        <v>229</v>
      </c>
      <c r="AD17" s="51" t="s">
        <v>230</v>
      </c>
      <c r="AE17" s="51" t="s">
        <v>230</v>
      </c>
      <c r="AF17" s="23" t="s">
        <v>254</v>
      </c>
      <c r="AG17" s="23" t="s">
        <v>254</v>
      </c>
      <c r="AH17" s="23" t="s">
        <v>257</v>
      </c>
      <c r="AI17" s="23" t="s">
        <v>257</v>
      </c>
      <c r="AJ17" s="23" t="s">
        <v>257</v>
      </c>
      <c r="AL17" s="22">
        <f t="shared" si="0"/>
        <v>0</v>
      </c>
      <c r="AM17" s="22">
        <f t="shared" si="1"/>
        <v>5</v>
      </c>
      <c r="AN17" s="22">
        <f t="shared" si="2"/>
        <v>7</v>
      </c>
      <c r="AO17" s="22">
        <f t="shared" si="3"/>
        <v>7</v>
      </c>
      <c r="AP17" s="22">
        <f t="shared" si="4"/>
        <v>12</v>
      </c>
    </row>
    <row r="18" spans="2:42" ht="18.75" x14ac:dyDescent="0.25">
      <c r="B18" s="37">
        <v>14</v>
      </c>
      <c r="C18" s="145" t="s">
        <v>205</v>
      </c>
      <c r="D18" s="146"/>
      <c r="F18" s="51" t="s">
        <v>230</v>
      </c>
      <c r="G18" s="51" t="s">
        <v>254</v>
      </c>
      <c r="H18" s="51" t="s">
        <v>254</v>
      </c>
      <c r="I18" s="23" t="s">
        <v>257</v>
      </c>
      <c r="J18" s="23" t="s">
        <v>257</v>
      </c>
      <c r="K18" s="23" t="s">
        <v>257</v>
      </c>
      <c r="L18" s="27" t="s">
        <v>258</v>
      </c>
      <c r="M18" s="51" t="s">
        <v>258</v>
      </c>
      <c r="N18" s="51" t="s">
        <v>258</v>
      </c>
      <c r="O18" s="23" t="s">
        <v>258</v>
      </c>
      <c r="P18" s="23" t="s">
        <v>258</v>
      </c>
      <c r="Q18" s="23" t="s">
        <v>258</v>
      </c>
      <c r="R18" s="23" t="s">
        <v>257</v>
      </c>
      <c r="S18" s="23" t="s">
        <v>257</v>
      </c>
      <c r="T18" s="27" t="s">
        <v>229</v>
      </c>
      <c r="U18" s="27" t="s">
        <v>229</v>
      </c>
      <c r="V18" s="51" t="s">
        <v>230</v>
      </c>
      <c r="W18" s="51" t="s">
        <v>230</v>
      </c>
      <c r="X18" s="23" t="s">
        <v>254</v>
      </c>
      <c r="Y18" s="23" t="s">
        <v>257</v>
      </c>
      <c r="Z18" s="23" t="s">
        <v>257</v>
      </c>
      <c r="AA18" s="23" t="s">
        <v>257</v>
      </c>
      <c r="AB18" s="27" t="s">
        <v>229</v>
      </c>
      <c r="AC18" s="51" t="s">
        <v>255</v>
      </c>
      <c r="AD18" s="51" t="s">
        <v>254</v>
      </c>
      <c r="AE18" s="51" t="s">
        <v>254</v>
      </c>
      <c r="AF18" s="51" t="s">
        <v>254</v>
      </c>
      <c r="AG18" s="23" t="s">
        <v>257</v>
      </c>
      <c r="AH18" s="23" t="s">
        <v>257</v>
      </c>
      <c r="AI18" s="23" t="s">
        <v>257</v>
      </c>
      <c r="AJ18" s="27" t="s">
        <v>229</v>
      </c>
      <c r="AL18" s="22">
        <f t="shared" si="0"/>
        <v>1</v>
      </c>
      <c r="AM18" s="22">
        <f t="shared" si="1"/>
        <v>4</v>
      </c>
      <c r="AN18" s="22">
        <f t="shared" si="2"/>
        <v>3</v>
      </c>
      <c r="AO18" s="22">
        <f t="shared" si="3"/>
        <v>6</v>
      </c>
      <c r="AP18" s="22">
        <f t="shared" si="4"/>
        <v>11</v>
      </c>
    </row>
    <row r="19" spans="2:42" ht="18.75" x14ac:dyDescent="0.25">
      <c r="B19" s="37">
        <v>15</v>
      </c>
      <c r="C19" s="145" t="s">
        <v>206</v>
      </c>
      <c r="D19" s="146"/>
      <c r="F19" s="23" t="s">
        <v>254</v>
      </c>
      <c r="G19" s="23" t="s">
        <v>254</v>
      </c>
      <c r="H19" s="23" t="s">
        <v>257</v>
      </c>
      <c r="I19" s="23" t="s">
        <v>257</v>
      </c>
      <c r="J19" s="23" t="s">
        <v>257</v>
      </c>
      <c r="K19" s="27" t="s">
        <v>229</v>
      </c>
      <c r="L19" s="27" t="s">
        <v>229</v>
      </c>
      <c r="M19" s="51" t="s">
        <v>230</v>
      </c>
      <c r="N19" s="23" t="s">
        <v>230</v>
      </c>
      <c r="O19" s="23" t="s">
        <v>254</v>
      </c>
      <c r="P19" s="23" t="s">
        <v>257</v>
      </c>
      <c r="Q19" s="23" t="s">
        <v>257</v>
      </c>
      <c r="R19" s="23" t="s">
        <v>257</v>
      </c>
      <c r="S19" s="27" t="s">
        <v>229</v>
      </c>
      <c r="T19" s="27" t="s">
        <v>229</v>
      </c>
      <c r="U19" s="51" t="s">
        <v>230</v>
      </c>
      <c r="V19" s="51" t="s">
        <v>230</v>
      </c>
      <c r="W19" s="23" t="s">
        <v>254</v>
      </c>
      <c r="X19" s="23" t="s">
        <v>257</v>
      </c>
      <c r="Y19" s="23" t="s">
        <v>257</v>
      </c>
      <c r="Z19" s="23" t="s">
        <v>257</v>
      </c>
      <c r="AA19" s="27" t="s">
        <v>229</v>
      </c>
      <c r="AB19" s="27" t="s">
        <v>229</v>
      </c>
      <c r="AC19" s="51" t="s">
        <v>230</v>
      </c>
      <c r="AD19" s="23" t="s">
        <v>144</v>
      </c>
      <c r="AE19" s="23" t="s">
        <v>254</v>
      </c>
      <c r="AF19" s="23" t="s">
        <v>257</v>
      </c>
      <c r="AG19" s="23" t="s">
        <v>257</v>
      </c>
      <c r="AH19" s="23" t="s">
        <v>257</v>
      </c>
      <c r="AI19" s="27" t="s">
        <v>229</v>
      </c>
      <c r="AJ19" s="27" t="s">
        <v>229</v>
      </c>
      <c r="AL19" s="43">
        <f t="shared" si="0"/>
        <v>0</v>
      </c>
      <c r="AM19" s="43">
        <f t="shared" si="1"/>
        <v>8</v>
      </c>
      <c r="AN19" s="43">
        <f t="shared" si="2"/>
        <v>5</v>
      </c>
      <c r="AO19" s="43">
        <f t="shared" si="3"/>
        <v>5</v>
      </c>
      <c r="AP19" s="43">
        <f t="shared" si="4"/>
        <v>12</v>
      </c>
    </row>
    <row r="20" spans="2:42" ht="18.75" x14ac:dyDescent="0.25">
      <c r="B20" s="37">
        <v>16</v>
      </c>
      <c r="C20" s="145" t="s">
        <v>207</v>
      </c>
      <c r="D20" s="146"/>
      <c r="F20" s="51" t="s">
        <v>254</v>
      </c>
      <c r="G20" s="23" t="s">
        <v>257</v>
      </c>
      <c r="H20" s="23" t="s">
        <v>257</v>
      </c>
      <c r="I20" s="23" t="s">
        <v>257</v>
      </c>
      <c r="J20" s="27" t="s">
        <v>229</v>
      </c>
      <c r="K20" s="27" t="s">
        <v>230</v>
      </c>
      <c r="L20" s="51" t="s">
        <v>230</v>
      </c>
      <c r="M20" s="23" t="s">
        <v>254</v>
      </c>
      <c r="N20" s="23" t="s">
        <v>254</v>
      </c>
      <c r="O20" s="23" t="s">
        <v>257</v>
      </c>
      <c r="P20" s="23" t="s">
        <v>257</v>
      </c>
      <c r="Q20" s="23" t="s">
        <v>257</v>
      </c>
      <c r="R20" s="27" t="s">
        <v>229</v>
      </c>
      <c r="S20" s="27" t="s">
        <v>229</v>
      </c>
      <c r="T20" s="51" t="s">
        <v>230</v>
      </c>
      <c r="U20" s="51" t="s">
        <v>256</v>
      </c>
      <c r="V20" s="23" t="s">
        <v>254</v>
      </c>
      <c r="W20" s="23" t="s">
        <v>257</v>
      </c>
      <c r="X20" s="23" t="s">
        <v>257</v>
      </c>
      <c r="Y20" s="23" t="s">
        <v>257</v>
      </c>
      <c r="Z20" s="27" t="s">
        <v>229</v>
      </c>
      <c r="AA20" s="27" t="s">
        <v>229</v>
      </c>
      <c r="AB20" s="51" t="s">
        <v>230</v>
      </c>
      <c r="AC20" s="51" t="s">
        <v>255</v>
      </c>
      <c r="AD20" s="51" t="s">
        <v>254</v>
      </c>
      <c r="AE20" s="23" t="s">
        <v>257</v>
      </c>
      <c r="AF20" s="23" t="s">
        <v>257</v>
      </c>
      <c r="AG20" s="23" t="s">
        <v>257</v>
      </c>
      <c r="AH20" s="27" t="s">
        <v>229</v>
      </c>
      <c r="AI20" s="27" t="s">
        <v>229</v>
      </c>
      <c r="AJ20" s="51" t="s">
        <v>230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45" t="s">
        <v>208</v>
      </c>
      <c r="D21" s="146"/>
      <c r="F21" s="23" t="s">
        <v>258</v>
      </c>
      <c r="G21" s="23" t="s">
        <v>258</v>
      </c>
      <c r="H21" s="23" t="s">
        <v>258</v>
      </c>
      <c r="I21" s="27" t="s">
        <v>258</v>
      </c>
      <c r="J21" s="27" t="s">
        <v>258</v>
      </c>
      <c r="K21" s="51" t="s">
        <v>258</v>
      </c>
      <c r="L21" s="23" t="s">
        <v>258</v>
      </c>
      <c r="M21" s="23" t="s">
        <v>258</v>
      </c>
      <c r="N21" s="23" t="s">
        <v>258</v>
      </c>
      <c r="O21" s="23" t="s">
        <v>257</v>
      </c>
      <c r="P21" s="23" t="s">
        <v>257</v>
      </c>
      <c r="Q21" s="27" t="s">
        <v>229</v>
      </c>
      <c r="R21" s="51" t="s">
        <v>229</v>
      </c>
      <c r="S21" s="51" t="s">
        <v>230</v>
      </c>
      <c r="T21" s="51" t="s">
        <v>230</v>
      </c>
      <c r="U21" s="23" t="s">
        <v>254</v>
      </c>
      <c r="V21" s="23" t="s">
        <v>257</v>
      </c>
      <c r="W21" s="23" t="s">
        <v>257</v>
      </c>
      <c r="X21" s="23" t="s">
        <v>257</v>
      </c>
      <c r="Y21" s="27" t="s">
        <v>229</v>
      </c>
      <c r="Z21" s="27" t="s">
        <v>229</v>
      </c>
      <c r="AA21" s="51" t="s">
        <v>230</v>
      </c>
      <c r="AB21" s="51" t="s">
        <v>230</v>
      </c>
      <c r="AC21" s="51" t="s">
        <v>254</v>
      </c>
      <c r="AD21" s="23" t="s">
        <v>257</v>
      </c>
      <c r="AE21" s="23" t="s">
        <v>257</v>
      </c>
      <c r="AF21" s="23" t="s">
        <v>257</v>
      </c>
      <c r="AG21" s="27" t="s">
        <v>229</v>
      </c>
      <c r="AH21" s="27" t="s">
        <v>229</v>
      </c>
      <c r="AI21" s="51" t="s">
        <v>230</v>
      </c>
      <c r="AJ21" s="23" t="s">
        <v>256</v>
      </c>
      <c r="AL21" s="50">
        <f t="shared" si="0"/>
        <v>1</v>
      </c>
      <c r="AM21" s="50">
        <f t="shared" si="1"/>
        <v>6</v>
      </c>
      <c r="AN21" s="50">
        <f t="shared" si="2"/>
        <v>5</v>
      </c>
      <c r="AO21" s="50">
        <f t="shared" si="3"/>
        <v>2</v>
      </c>
      <c r="AP21" s="50">
        <f t="shared" si="4"/>
        <v>8</v>
      </c>
    </row>
    <row r="22" spans="2:42" ht="18.75" x14ac:dyDescent="0.25">
      <c r="B22" s="37">
        <v>18</v>
      </c>
      <c r="C22" s="54" t="s">
        <v>191</v>
      </c>
      <c r="D22" s="55"/>
      <c r="F22" s="51" t="s">
        <v>230</v>
      </c>
      <c r="G22" s="23" t="s">
        <v>257</v>
      </c>
      <c r="H22" s="23" t="s">
        <v>257</v>
      </c>
      <c r="I22" s="27" t="s">
        <v>229</v>
      </c>
      <c r="J22" s="27" t="s">
        <v>229</v>
      </c>
      <c r="K22" s="51" t="s">
        <v>230</v>
      </c>
      <c r="L22" s="51" t="s">
        <v>230</v>
      </c>
      <c r="M22" s="51" t="s">
        <v>230</v>
      </c>
      <c r="N22" s="23" t="s">
        <v>257</v>
      </c>
      <c r="O22" s="23" t="s">
        <v>257</v>
      </c>
      <c r="P22" s="27" t="s">
        <v>229</v>
      </c>
      <c r="Q22" s="27" t="s">
        <v>229</v>
      </c>
      <c r="R22" s="51" t="s">
        <v>230</v>
      </c>
      <c r="S22" s="51" t="s">
        <v>230</v>
      </c>
      <c r="T22" s="51" t="s">
        <v>230</v>
      </c>
      <c r="U22" s="23" t="s">
        <v>257</v>
      </c>
      <c r="V22" s="23" t="s">
        <v>257</v>
      </c>
      <c r="W22" s="27" t="s">
        <v>229</v>
      </c>
      <c r="X22" s="27" t="s">
        <v>229</v>
      </c>
      <c r="Y22" s="51" t="s">
        <v>230</v>
      </c>
      <c r="Z22" s="51" t="s">
        <v>230</v>
      </c>
      <c r="AA22" s="27" t="s">
        <v>229</v>
      </c>
      <c r="AB22" s="23" t="s">
        <v>257</v>
      </c>
      <c r="AC22" s="23" t="s">
        <v>257</v>
      </c>
      <c r="AD22" s="27" t="s">
        <v>229</v>
      </c>
      <c r="AE22" s="27" t="s">
        <v>229</v>
      </c>
      <c r="AF22" s="51" t="s">
        <v>230</v>
      </c>
      <c r="AG22" s="51" t="s">
        <v>230</v>
      </c>
      <c r="AH22" s="27" t="s">
        <v>229</v>
      </c>
      <c r="AI22" s="23" t="s">
        <v>257</v>
      </c>
      <c r="AJ22" s="23" t="s">
        <v>257</v>
      </c>
      <c r="AL22" s="50">
        <f t="shared" si="0"/>
        <v>0</v>
      </c>
      <c r="AM22" s="50">
        <f t="shared" si="1"/>
        <v>10</v>
      </c>
      <c r="AN22" s="50">
        <f t="shared" si="2"/>
        <v>11</v>
      </c>
      <c r="AO22" s="50">
        <f t="shared" si="3"/>
        <v>0</v>
      </c>
      <c r="AP22" s="50">
        <f t="shared" si="4"/>
        <v>10</v>
      </c>
    </row>
    <row r="23" spans="2:42" ht="19.5" thickBot="1" x14ac:dyDescent="0.3">
      <c r="B23" s="37">
        <v>19</v>
      </c>
      <c r="C23" s="145" t="s">
        <v>192</v>
      </c>
      <c r="D23" s="146"/>
      <c r="F23" s="107" t="s">
        <v>229</v>
      </c>
      <c r="G23" s="108" t="s">
        <v>257</v>
      </c>
      <c r="H23" s="108" t="s">
        <v>257</v>
      </c>
      <c r="I23" s="64" t="s">
        <v>230</v>
      </c>
      <c r="J23" s="64" t="s">
        <v>230</v>
      </c>
      <c r="K23" s="107" t="s">
        <v>229</v>
      </c>
      <c r="L23" s="107" t="s">
        <v>229</v>
      </c>
      <c r="M23" s="107" t="s">
        <v>229</v>
      </c>
      <c r="N23" s="108" t="s">
        <v>257</v>
      </c>
      <c r="O23" s="108" t="s">
        <v>257</v>
      </c>
      <c r="P23" s="64" t="s">
        <v>230</v>
      </c>
      <c r="Q23" s="64" t="s">
        <v>230</v>
      </c>
      <c r="R23" s="107" t="s">
        <v>229</v>
      </c>
      <c r="S23" s="107" t="s">
        <v>229</v>
      </c>
      <c r="T23" s="107" t="s">
        <v>229</v>
      </c>
      <c r="U23" s="108" t="s">
        <v>257</v>
      </c>
      <c r="V23" s="108" t="s">
        <v>257</v>
      </c>
      <c r="W23" s="64" t="s">
        <v>230</v>
      </c>
      <c r="X23" s="64" t="s">
        <v>230</v>
      </c>
      <c r="Y23" s="107" t="s">
        <v>229</v>
      </c>
      <c r="Z23" s="107" t="s">
        <v>144</v>
      </c>
      <c r="AA23" s="64" t="s">
        <v>230</v>
      </c>
      <c r="AB23" s="108" t="s">
        <v>257</v>
      </c>
      <c r="AC23" s="108" t="s">
        <v>257</v>
      </c>
      <c r="AD23" s="64" t="s">
        <v>230</v>
      </c>
      <c r="AE23" s="64" t="s">
        <v>230</v>
      </c>
      <c r="AF23" s="107" t="s">
        <v>229</v>
      </c>
      <c r="AG23" s="107" t="s">
        <v>229</v>
      </c>
      <c r="AH23" s="64" t="s">
        <v>230</v>
      </c>
      <c r="AI23" s="108" t="s">
        <v>257</v>
      </c>
      <c r="AJ23" s="108" t="s">
        <v>257</v>
      </c>
      <c r="AL23" s="43">
        <f t="shared" si="0"/>
        <v>0</v>
      </c>
      <c r="AM23" s="43">
        <f t="shared" si="1"/>
        <v>10</v>
      </c>
      <c r="AN23" s="43">
        <f t="shared" si="2"/>
        <v>10</v>
      </c>
      <c r="AO23" s="43">
        <f t="shared" si="3"/>
        <v>0</v>
      </c>
      <c r="AP23" s="43">
        <f t="shared" si="4"/>
        <v>10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5" t="s">
        <v>91</v>
      </c>
      <c r="D25" s="176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2</v>
      </c>
      <c r="J25" s="37">
        <f t="shared" si="5"/>
        <v>3</v>
      </c>
      <c r="K25" s="37">
        <f t="shared" si="5"/>
        <v>3</v>
      </c>
      <c r="L25" s="37">
        <f t="shared" si="5"/>
        <v>2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3</v>
      </c>
      <c r="X25" s="37">
        <f t="shared" si="5"/>
        <v>3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2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5" t="s">
        <v>92</v>
      </c>
      <c r="D26" s="176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2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>
        <f t="shared" si="6"/>
        <v>3</v>
      </c>
      <c r="Z26" s="37">
        <f t="shared" si="6"/>
        <v>3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2</v>
      </c>
      <c r="AE26" s="37">
        <f t="shared" si="6"/>
        <v>2</v>
      </c>
      <c r="AF26" s="37">
        <f t="shared" si="6"/>
        <v>2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3</v>
      </c>
    </row>
    <row r="27" spans="2:42" ht="18.75" x14ac:dyDescent="0.3">
      <c r="C27" s="175" t="s">
        <v>72</v>
      </c>
      <c r="D27" s="176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2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3</v>
      </c>
      <c r="U27" s="37">
        <f t="shared" si="7"/>
        <v>3</v>
      </c>
      <c r="V27" s="37">
        <f t="shared" si="7"/>
        <v>3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3</v>
      </c>
      <c r="AD27" s="37">
        <f t="shared" si="7"/>
        <v>2</v>
      </c>
      <c r="AE27" s="37">
        <f t="shared" si="7"/>
        <v>3</v>
      </c>
      <c r="AF27" s="37">
        <f t="shared" si="7"/>
        <v>3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3</v>
      </c>
    </row>
    <row r="28" spans="2:42" ht="18.75" x14ac:dyDescent="0.3">
      <c r="C28" s="175" t="s">
        <v>73</v>
      </c>
      <c r="D28" s="176"/>
      <c r="E28" s="36"/>
      <c r="F28" s="37">
        <f t="shared" ref="F28:AJ28" si="8">COUNTIF(F$5:F$23,"O*")</f>
        <v>5</v>
      </c>
      <c r="G28" s="37">
        <f t="shared" si="8"/>
        <v>7</v>
      </c>
      <c r="H28" s="37">
        <f t="shared" si="8"/>
        <v>7</v>
      </c>
      <c r="I28" s="37">
        <f t="shared" si="8"/>
        <v>6</v>
      </c>
      <c r="J28" s="37">
        <f t="shared" si="8"/>
        <v>6</v>
      </c>
      <c r="K28" s="37">
        <f t="shared" si="8"/>
        <v>5</v>
      </c>
      <c r="L28" s="37">
        <f t="shared" si="8"/>
        <v>6</v>
      </c>
      <c r="M28" s="37">
        <f t="shared" si="8"/>
        <v>6</v>
      </c>
      <c r="N28" s="37">
        <f t="shared" si="8"/>
        <v>7</v>
      </c>
      <c r="O28" s="37">
        <f t="shared" si="8"/>
        <v>8</v>
      </c>
      <c r="P28" s="37">
        <f t="shared" si="8"/>
        <v>6</v>
      </c>
      <c r="Q28" s="37">
        <f t="shared" si="8"/>
        <v>5</v>
      </c>
      <c r="R28" s="37">
        <f t="shared" si="8"/>
        <v>6</v>
      </c>
      <c r="S28" s="37">
        <f t="shared" si="8"/>
        <v>6</v>
      </c>
      <c r="T28" s="37">
        <f t="shared" si="8"/>
        <v>6</v>
      </c>
      <c r="U28" s="37">
        <f t="shared" si="8"/>
        <v>8</v>
      </c>
      <c r="V28" s="37">
        <f t="shared" si="8"/>
        <v>9</v>
      </c>
      <c r="W28" s="37">
        <f t="shared" si="8"/>
        <v>7</v>
      </c>
      <c r="X28" s="37">
        <f t="shared" si="8"/>
        <v>7</v>
      </c>
      <c r="Y28" s="37">
        <f t="shared" si="8"/>
        <v>6</v>
      </c>
      <c r="Z28" s="37">
        <f t="shared" si="8"/>
        <v>6</v>
      </c>
      <c r="AA28" s="37">
        <f t="shared" si="8"/>
        <v>5</v>
      </c>
      <c r="AB28" s="37">
        <f t="shared" si="8"/>
        <v>7</v>
      </c>
      <c r="AC28" s="37">
        <f t="shared" si="8"/>
        <v>7</v>
      </c>
      <c r="AD28" s="37">
        <f t="shared" si="8"/>
        <v>7</v>
      </c>
      <c r="AE28" s="37">
        <f t="shared" si="8"/>
        <v>7</v>
      </c>
      <c r="AF28" s="37">
        <f t="shared" si="8"/>
        <v>7</v>
      </c>
      <c r="AG28" s="37">
        <f t="shared" si="8"/>
        <v>6</v>
      </c>
      <c r="AH28" s="37">
        <f t="shared" si="8"/>
        <v>6</v>
      </c>
      <c r="AI28" s="37">
        <f t="shared" si="8"/>
        <v>7</v>
      </c>
      <c r="AJ28" s="37">
        <f t="shared" si="8"/>
        <v>8</v>
      </c>
    </row>
    <row r="29" spans="2:42" ht="18.75" x14ac:dyDescent="0.3">
      <c r="C29" s="175" t="s">
        <v>143</v>
      </c>
      <c r="D29" s="176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2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3</v>
      </c>
      <c r="AE29" s="37">
        <f t="shared" si="10"/>
        <v>1</v>
      </c>
      <c r="AF29" s="37">
        <f t="shared" si="10"/>
        <v>1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75" t="s">
        <v>106</v>
      </c>
      <c r="D30" s="176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1</v>
      </c>
      <c r="R30" s="37">
        <f t="shared" si="11"/>
        <v>1</v>
      </c>
      <c r="S30" s="37">
        <f t="shared" si="11"/>
        <v>1</v>
      </c>
      <c r="T30" s="37">
        <f t="shared" si="11"/>
        <v>1</v>
      </c>
      <c r="U30" s="37">
        <f t="shared" si="11"/>
        <v>1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1</v>
      </c>
      <c r="Z30" s="37">
        <f t="shared" si="11"/>
        <v>0</v>
      </c>
      <c r="AA30" s="37">
        <f t="shared" si="11"/>
        <v>2</v>
      </c>
      <c r="AB30" s="37">
        <f t="shared" si="11"/>
        <v>2</v>
      </c>
      <c r="AC30" s="37">
        <f t="shared" si="11"/>
        <v>2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1</v>
      </c>
      <c r="AH30" s="37">
        <f t="shared" si="11"/>
        <v>1</v>
      </c>
      <c r="AI30" s="37">
        <f t="shared" si="11"/>
        <v>2</v>
      </c>
      <c r="AJ30" s="37">
        <f t="shared" si="11"/>
        <v>2</v>
      </c>
    </row>
    <row r="31" spans="2:42" ht="18.75" x14ac:dyDescent="0.3">
      <c r="C31" s="252" t="s">
        <v>104</v>
      </c>
      <c r="D31" s="253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-1</v>
      </c>
      <c r="J31" s="39">
        <f t="shared" si="12"/>
        <v>-1</v>
      </c>
      <c r="K31" s="39">
        <f t="shared" si="12"/>
        <v>0</v>
      </c>
      <c r="L31" s="39">
        <f t="shared" si="12"/>
        <v>-1</v>
      </c>
      <c r="M31" s="39">
        <f t="shared" si="12"/>
        <v>-1</v>
      </c>
      <c r="N31" s="39">
        <f t="shared" si="12"/>
        <v>0</v>
      </c>
      <c r="O31" s="39">
        <f t="shared" si="12"/>
        <v>0</v>
      </c>
      <c r="P31" s="39">
        <f t="shared" si="12"/>
        <v>0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0</v>
      </c>
      <c r="U31" s="39">
        <f t="shared" si="12"/>
        <v>0</v>
      </c>
      <c r="V31" s="39">
        <f t="shared" si="12"/>
        <v>0</v>
      </c>
      <c r="W31" s="39">
        <f t="shared" si="12"/>
        <v>0</v>
      </c>
      <c r="X31" s="39">
        <f t="shared" si="12"/>
        <v>0</v>
      </c>
      <c r="Y31" s="39">
        <f t="shared" si="12"/>
        <v>0</v>
      </c>
      <c r="Z31" s="39">
        <f t="shared" si="12"/>
        <v>0</v>
      </c>
      <c r="AA31" s="39">
        <f t="shared" si="12"/>
        <v>0</v>
      </c>
      <c r="AB31" s="39">
        <f t="shared" si="12"/>
        <v>0</v>
      </c>
      <c r="AC31" s="39">
        <f t="shared" si="12"/>
        <v>0</v>
      </c>
      <c r="AD31" s="39">
        <f t="shared" si="12"/>
        <v>-3</v>
      </c>
      <c r="AE31" s="39">
        <f t="shared" si="12"/>
        <v>-1</v>
      </c>
      <c r="AF31" s="39">
        <f t="shared" si="12"/>
        <v>-1</v>
      </c>
      <c r="AG31" s="39">
        <f t="shared" si="12"/>
        <v>0</v>
      </c>
      <c r="AH31" s="39">
        <f t="shared" si="12"/>
        <v>0</v>
      </c>
      <c r="AI31" s="39">
        <f t="shared" si="12"/>
        <v>0</v>
      </c>
      <c r="AJ31" s="39">
        <f t="shared" si="12"/>
        <v>0</v>
      </c>
    </row>
    <row r="32" spans="2:42" ht="9.75" customHeight="1" x14ac:dyDescent="0.3">
      <c r="C32" s="40"/>
      <c r="D32" s="40"/>
      <c r="E32" s="36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</row>
    <row r="33" spans="3:36" ht="18.75" x14ac:dyDescent="0.3">
      <c r="C33" s="175" t="s">
        <v>102</v>
      </c>
      <c r="D33" s="176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8</v>
      </c>
      <c r="J33" s="41">
        <f t="shared" si="13"/>
        <v>8</v>
      </c>
      <c r="K33" s="41">
        <f t="shared" si="13"/>
        <v>9</v>
      </c>
      <c r="L33" s="41">
        <f t="shared" si="13"/>
        <v>8</v>
      </c>
      <c r="M33" s="41">
        <f t="shared" si="13"/>
        <v>8</v>
      </c>
      <c r="N33" s="41">
        <f t="shared" si="13"/>
        <v>9</v>
      </c>
      <c r="O33" s="41">
        <f t="shared" si="13"/>
        <v>9</v>
      </c>
      <c r="P33" s="41">
        <f t="shared" si="13"/>
        <v>9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9</v>
      </c>
      <c r="U33" s="41">
        <f t="shared" si="13"/>
        <v>9</v>
      </c>
      <c r="V33" s="41">
        <f t="shared" si="13"/>
        <v>9</v>
      </c>
      <c r="W33" s="41">
        <f t="shared" si="13"/>
        <v>9</v>
      </c>
      <c r="X33" s="41">
        <f t="shared" si="13"/>
        <v>9</v>
      </c>
      <c r="Y33" s="41">
        <f t="shared" si="13"/>
        <v>9</v>
      </c>
      <c r="Z33" s="41">
        <f t="shared" si="13"/>
        <v>9</v>
      </c>
      <c r="AA33" s="41">
        <f t="shared" si="13"/>
        <v>9</v>
      </c>
      <c r="AB33" s="41">
        <f t="shared" si="13"/>
        <v>9</v>
      </c>
      <c r="AC33" s="41">
        <f t="shared" si="13"/>
        <v>9</v>
      </c>
      <c r="AD33" s="41">
        <f t="shared" si="13"/>
        <v>6</v>
      </c>
      <c r="AE33" s="41">
        <f t="shared" si="13"/>
        <v>8</v>
      </c>
      <c r="AF33" s="41">
        <f t="shared" si="13"/>
        <v>8</v>
      </c>
      <c r="AG33" s="41">
        <f t="shared" si="13"/>
        <v>9</v>
      </c>
      <c r="AH33" s="41">
        <f t="shared" si="13"/>
        <v>9</v>
      </c>
      <c r="AI33" s="41">
        <f t="shared" si="13"/>
        <v>9</v>
      </c>
      <c r="AJ33" s="41">
        <f t="shared" si="13"/>
        <v>9</v>
      </c>
    </row>
    <row r="34" spans="3:36" ht="18.75" x14ac:dyDescent="0.3">
      <c r="C34" s="175" t="s">
        <v>90</v>
      </c>
      <c r="D34" s="176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5" t="s">
        <v>103</v>
      </c>
      <c r="D35" s="176"/>
      <c r="E35" s="36"/>
      <c r="F35" s="37">
        <f>SUM(F25,F26,F27,F28,F30)</f>
        <v>14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14</v>
      </c>
      <c r="J35" s="37">
        <f t="shared" si="14"/>
        <v>14</v>
      </c>
      <c r="K35" s="37">
        <f t="shared" si="14"/>
        <v>14</v>
      </c>
      <c r="L35" s="37">
        <f t="shared" si="14"/>
        <v>14</v>
      </c>
      <c r="M35" s="37">
        <f t="shared" si="14"/>
        <v>14</v>
      </c>
      <c r="N35" s="37">
        <f t="shared" si="14"/>
        <v>16</v>
      </c>
      <c r="O35" s="37">
        <f t="shared" si="14"/>
        <v>17</v>
      </c>
      <c r="P35" s="37">
        <f t="shared" si="14"/>
        <v>15</v>
      </c>
      <c r="Q35" s="37">
        <f t="shared" si="14"/>
        <v>15</v>
      </c>
      <c r="R35" s="37">
        <f t="shared" si="14"/>
        <v>16</v>
      </c>
      <c r="S35" s="37">
        <f t="shared" si="14"/>
        <v>16</v>
      </c>
      <c r="T35" s="37">
        <f t="shared" si="14"/>
        <v>16</v>
      </c>
      <c r="U35" s="37">
        <f t="shared" si="14"/>
        <v>18</v>
      </c>
      <c r="V35" s="37">
        <f t="shared" si="14"/>
        <v>18</v>
      </c>
      <c r="W35" s="37">
        <f t="shared" si="14"/>
        <v>16</v>
      </c>
      <c r="X35" s="37">
        <f t="shared" si="14"/>
        <v>16</v>
      </c>
      <c r="Y35" s="37">
        <f t="shared" si="14"/>
        <v>16</v>
      </c>
      <c r="Z35" s="37">
        <f t="shared" si="14"/>
        <v>15</v>
      </c>
      <c r="AA35" s="37">
        <f t="shared" si="14"/>
        <v>16</v>
      </c>
      <c r="AB35" s="37">
        <f t="shared" si="14"/>
        <v>18</v>
      </c>
      <c r="AC35" s="37">
        <f t="shared" si="14"/>
        <v>18</v>
      </c>
      <c r="AD35" s="37">
        <f t="shared" si="14"/>
        <v>13</v>
      </c>
      <c r="AE35" s="37">
        <f t="shared" si="14"/>
        <v>15</v>
      </c>
      <c r="AF35" s="37">
        <f t="shared" si="14"/>
        <v>15</v>
      </c>
      <c r="AG35" s="37">
        <f t="shared" si="14"/>
        <v>16</v>
      </c>
      <c r="AH35" s="37">
        <f t="shared" si="14"/>
        <v>16</v>
      </c>
      <c r="AI35" s="37">
        <f t="shared" si="14"/>
        <v>18</v>
      </c>
      <c r="AJ35" s="37">
        <f t="shared" si="14"/>
        <v>19</v>
      </c>
    </row>
    <row r="36" spans="3:36" ht="16.5" thickBot="1" x14ac:dyDescent="0.3"/>
    <row r="37" spans="3:36" ht="16.5" thickBot="1" x14ac:dyDescent="0.3">
      <c r="F37" s="198" t="s">
        <v>232</v>
      </c>
      <c r="G37" s="199"/>
      <c r="H37" s="200"/>
    </row>
    <row r="38" spans="3:36" x14ac:dyDescent="0.25">
      <c r="F38" s="70" t="s">
        <v>142</v>
      </c>
      <c r="G38" s="201" t="s">
        <v>228</v>
      </c>
      <c r="H38" s="202"/>
    </row>
    <row r="39" spans="3:36" x14ac:dyDescent="0.25">
      <c r="F39" s="71" t="s">
        <v>119</v>
      </c>
      <c r="G39" s="218" t="s">
        <v>229</v>
      </c>
      <c r="H39" s="245"/>
    </row>
    <row r="40" spans="3:36" x14ac:dyDescent="0.25">
      <c r="F40" s="72" t="s">
        <v>226</v>
      </c>
      <c r="G40" s="204" t="s">
        <v>230</v>
      </c>
      <c r="H40" s="205"/>
    </row>
    <row r="41" spans="3:36" x14ac:dyDescent="0.25">
      <c r="F41" s="73" t="s">
        <v>227</v>
      </c>
      <c r="G41" s="206" t="s">
        <v>231</v>
      </c>
      <c r="H41" s="207"/>
    </row>
    <row r="42" spans="3:36" x14ac:dyDescent="0.25">
      <c r="F42" s="74" t="s">
        <v>144</v>
      </c>
      <c r="G42" s="190" t="s">
        <v>234</v>
      </c>
      <c r="H42" s="191"/>
    </row>
    <row r="43" spans="3:36" x14ac:dyDescent="0.25">
      <c r="F43" s="75"/>
      <c r="G43" s="192" t="s">
        <v>233</v>
      </c>
      <c r="H43" s="193"/>
    </row>
    <row r="44" spans="3:36" ht="16.5" thickBot="1" x14ac:dyDescent="0.3">
      <c r="F44" s="76" t="s">
        <v>235</v>
      </c>
      <c r="G44" s="243" t="s">
        <v>236</v>
      </c>
      <c r="H44" s="244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114" priority="1" operator="containsText" text="STMN06">
      <formula>NOT(ISERROR(SEARCH("STMN06",F5)))</formula>
    </cfRule>
    <cfRule type="containsText" dxfId="113" priority="2" operator="containsText" text="STAN13">
      <formula>NOT(ISERROR(SEARCH("STAN13",F5)))</formula>
    </cfRule>
    <cfRule type="containsText" dxfId="112" priority="3" operator="containsText" text="STNN21">
      <formula>NOT(ISERROR(SEARCH("STNN21",F5)))</formula>
    </cfRule>
    <cfRule type="containsText" dxfId="111" priority="4" operator="containsText" text="LV">
      <formula>NOT(ISERROR(SEARCH("LV",F5)))</formula>
    </cfRule>
    <cfRule type="containsText" dxfId="110" priority="5" operator="containsText" text="TR">
      <formula>NOT(ISERROR(SEARCH("TR",F5)))</formula>
    </cfRule>
    <cfRule type="containsText" dxfId="109" priority="6" operator="containsText" text="NN21">
      <formula>NOT(ISERROR(SEARCH("NN21",F5)))</formula>
    </cfRule>
    <cfRule type="containsText" dxfId="108" priority="7" operator="containsText" text="NN13">
      <formula>NOT(ISERROR(SEARCH("NN13",F5)))</formula>
    </cfRule>
    <cfRule type="containsText" dxfId="107" priority="8" operator="containsText" text="AN13">
      <formula>NOT(ISERROR(SEARCH("AN13",F5)))</formula>
    </cfRule>
    <cfRule type="containsText" dxfId="106" priority="9" operator="containsText" text="MN06">
      <formula>NOT(ISERROR(SEARCH("MN06",F5)))</formula>
    </cfRule>
    <cfRule type="containsText" dxfId="105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6" t="s">
        <v>125</v>
      </c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8"/>
      <c r="AL2" s="187" t="s">
        <v>112</v>
      </c>
      <c r="AM2" s="187" t="s">
        <v>113</v>
      </c>
      <c r="AN2" s="187" t="s">
        <v>116</v>
      </c>
      <c r="AO2" s="187" t="s">
        <v>114</v>
      </c>
      <c r="AP2" s="187" t="s">
        <v>115</v>
      </c>
    </row>
    <row r="3" spans="2:42" ht="39" x14ac:dyDescent="0.3">
      <c r="B3" s="180" t="s">
        <v>105</v>
      </c>
      <c r="C3" s="180"/>
      <c r="D3" s="180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88"/>
      <c r="AM3" s="188"/>
      <c r="AN3" s="188"/>
      <c r="AO3" s="188"/>
      <c r="AP3" s="188"/>
    </row>
    <row r="4" spans="2:42" ht="19.5" customHeight="1" thickBot="1" x14ac:dyDescent="0.35">
      <c r="B4" s="180"/>
      <c r="C4" s="180"/>
      <c r="D4" s="18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89"/>
      <c r="AM4" s="189"/>
      <c r="AN4" s="189"/>
      <c r="AO4" s="189"/>
      <c r="AP4" s="189"/>
    </row>
    <row r="5" spans="2:42" ht="18.75" x14ac:dyDescent="0.25">
      <c r="B5" s="37">
        <v>1</v>
      </c>
      <c r="C5" s="254" t="s">
        <v>209</v>
      </c>
      <c r="D5" s="255"/>
      <c r="F5" s="60" t="s">
        <v>229</v>
      </c>
      <c r="G5" s="44" t="s">
        <v>229</v>
      </c>
      <c r="H5" s="44" t="s">
        <v>255</v>
      </c>
      <c r="I5" s="44" t="s">
        <v>109</v>
      </c>
      <c r="J5" s="44" t="s">
        <v>27</v>
      </c>
      <c r="K5" s="44" t="s">
        <v>257</v>
      </c>
      <c r="L5" s="44" t="s">
        <v>257</v>
      </c>
      <c r="M5" s="44" t="s">
        <v>257</v>
      </c>
      <c r="N5" s="105" t="s">
        <v>229</v>
      </c>
      <c r="O5" s="44" t="s">
        <v>229</v>
      </c>
      <c r="P5" s="44" t="s">
        <v>230</v>
      </c>
      <c r="Q5" s="44" t="s">
        <v>255</v>
      </c>
      <c r="R5" s="44" t="s">
        <v>27</v>
      </c>
      <c r="S5" s="44" t="s">
        <v>257</v>
      </c>
      <c r="T5" s="44" t="s">
        <v>257</v>
      </c>
      <c r="U5" s="44" t="s">
        <v>257</v>
      </c>
      <c r="V5" s="105" t="s">
        <v>229</v>
      </c>
      <c r="W5" s="44" t="s">
        <v>111</v>
      </c>
      <c r="X5" s="44" t="s">
        <v>230</v>
      </c>
      <c r="Y5" s="44" t="s">
        <v>254</v>
      </c>
      <c r="Z5" s="44" t="s">
        <v>254</v>
      </c>
      <c r="AA5" s="44" t="s">
        <v>257</v>
      </c>
      <c r="AB5" s="44" t="s">
        <v>257</v>
      </c>
      <c r="AC5" s="44" t="s">
        <v>257</v>
      </c>
      <c r="AD5" s="105" t="s">
        <v>229</v>
      </c>
      <c r="AE5" s="44" t="s">
        <v>229</v>
      </c>
      <c r="AF5" s="44" t="s">
        <v>230</v>
      </c>
      <c r="AG5" s="44" t="s">
        <v>256</v>
      </c>
      <c r="AH5" s="44" t="s">
        <v>27</v>
      </c>
      <c r="AI5" s="44" t="s">
        <v>257</v>
      </c>
      <c r="AJ5" s="61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4" t="s">
        <v>210</v>
      </c>
      <c r="D6" s="255"/>
      <c r="F6" s="62" t="s">
        <v>230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27" t="s">
        <v>229</v>
      </c>
      <c r="N6" s="51" t="s">
        <v>255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27" t="s">
        <v>229</v>
      </c>
      <c r="V6" s="51" t="s">
        <v>108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27" t="s">
        <v>229</v>
      </c>
      <c r="AD6" s="51" t="s">
        <v>259</v>
      </c>
      <c r="AE6" s="51" t="s">
        <v>230</v>
      </c>
      <c r="AF6" s="51" t="s">
        <v>254</v>
      </c>
      <c r="AG6" s="51" t="s">
        <v>254</v>
      </c>
      <c r="AH6" s="51" t="s">
        <v>257</v>
      </c>
      <c r="AI6" s="51" t="s">
        <v>257</v>
      </c>
      <c r="AJ6" s="63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4" t="s">
        <v>133</v>
      </c>
      <c r="D7" s="255"/>
      <c r="F7" s="62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27" t="s">
        <v>229</v>
      </c>
      <c r="M7" s="23" t="s">
        <v>229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27" t="s">
        <v>229</v>
      </c>
      <c r="U7" s="23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27" t="s">
        <v>229</v>
      </c>
      <c r="AC7" s="23" t="s">
        <v>229</v>
      </c>
      <c r="AD7" s="51" t="s">
        <v>230</v>
      </c>
      <c r="AE7" s="51" t="s">
        <v>254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63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4" t="s">
        <v>128</v>
      </c>
      <c r="D8" s="255"/>
      <c r="F8" s="62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27" t="s">
        <v>229</v>
      </c>
      <c r="L8" s="23" t="s">
        <v>229</v>
      </c>
      <c r="M8" s="51" t="s">
        <v>230</v>
      </c>
      <c r="N8" s="51" t="s">
        <v>254</v>
      </c>
      <c r="O8" s="51" t="s">
        <v>254</v>
      </c>
      <c r="P8" s="51" t="s">
        <v>257</v>
      </c>
      <c r="Q8" s="51" t="s">
        <v>257</v>
      </c>
      <c r="R8" s="51" t="s">
        <v>257</v>
      </c>
      <c r="S8" s="27" t="s">
        <v>229</v>
      </c>
      <c r="T8" s="23" t="s">
        <v>229</v>
      </c>
      <c r="U8" s="51" t="s">
        <v>230</v>
      </c>
      <c r="V8" s="51" t="s">
        <v>109</v>
      </c>
      <c r="W8" s="51" t="s">
        <v>254</v>
      </c>
      <c r="X8" s="51" t="s">
        <v>257</v>
      </c>
      <c r="Y8" s="51" t="s">
        <v>257</v>
      </c>
      <c r="Z8" s="51" t="s">
        <v>257</v>
      </c>
      <c r="AA8" s="27" t="s">
        <v>229</v>
      </c>
      <c r="AB8" s="23" t="s">
        <v>229</v>
      </c>
      <c r="AC8" s="51" t="s">
        <v>230</v>
      </c>
      <c r="AD8" s="51" t="s">
        <v>256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27" t="s">
        <v>229</v>
      </c>
      <c r="AJ8" s="63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4" t="s">
        <v>140</v>
      </c>
      <c r="D9" s="255"/>
      <c r="F9" s="62" t="s">
        <v>257</v>
      </c>
      <c r="G9" s="51" t="s">
        <v>257</v>
      </c>
      <c r="H9" s="51" t="s">
        <v>257</v>
      </c>
      <c r="I9" s="51" t="s">
        <v>30</v>
      </c>
      <c r="J9" s="27" t="s">
        <v>229</v>
      </c>
      <c r="K9" s="23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27" t="s">
        <v>229</v>
      </c>
      <c r="S9" s="23" t="s">
        <v>229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27" t="s">
        <v>229</v>
      </c>
      <c r="AA9" s="23" t="s">
        <v>229</v>
      </c>
      <c r="AB9" s="51" t="s">
        <v>230</v>
      </c>
      <c r="AC9" s="51" t="s">
        <v>256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27" t="s">
        <v>229</v>
      </c>
      <c r="AI9" s="23" t="s">
        <v>229</v>
      </c>
      <c r="AJ9" s="63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4" t="s">
        <v>131</v>
      </c>
      <c r="D10" s="255"/>
      <c r="F10" s="62" t="s">
        <v>257</v>
      </c>
      <c r="G10" s="51" t="s">
        <v>257</v>
      </c>
      <c r="H10" s="51" t="s">
        <v>257</v>
      </c>
      <c r="I10" s="27" t="s">
        <v>229</v>
      </c>
      <c r="J10" s="23" t="s">
        <v>229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27" t="s">
        <v>229</v>
      </c>
      <c r="R10" s="23" t="s">
        <v>229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27" t="s">
        <v>229</v>
      </c>
      <c r="Z10" s="23" t="s">
        <v>229</v>
      </c>
      <c r="AA10" s="51" t="s">
        <v>230</v>
      </c>
      <c r="AB10" s="51" t="s">
        <v>256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27" t="s">
        <v>229</v>
      </c>
      <c r="AH10" s="23" t="s">
        <v>229</v>
      </c>
      <c r="AI10" s="51" t="s">
        <v>230</v>
      </c>
      <c r="AJ10" s="63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4" t="s">
        <v>129</v>
      </c>
      <c r="D11" s="255"/>
      <c r="F11" s="62" t="s">
        <v>257</v>
      </c>
      <c r="G11" s="51" t="s">
        <v>257</v>
      </c>
      <c r="H11" s="27" t="s">
        <v>229</v>
      </c>
      <c r="I11" s="23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27" t="s">
        <v>229</v>
      </c>
      <c r="Q11" s="51" t="s">
        <v>230</v>
      </c>
      <c r="R11" s="51" t="s">
        <v>256</v>
      </c>
      <c r="S11" s="51" t="s">
        <v>254</v>
      </c>
      <c r="T11" s="51" t="s">
        <v>254</v>
      </c>
      <c r="U11" s="51" t="s">
        <v>257</v>
      </c>
      <c r="V11" s="51" t="s">
        <v>257</v>
      </c>
      <c r="W11" s="51" t="s">
        <v>257</v>
      </c>
      <c r="X11" s="27" t="s">
        <v>229</v>
      </c>
      <c r="Y11" s="23" t="s">
        <v>229</v>
      </c>
      <c r="Z11" s="51" t="s">
        <v>230</v>
      </c>
      <c r="AA11" s="51" t="s">
        <v>256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27" t="s">
        <v>229</v>
      </c>
      <c r="AG11" s="23" t="s">
        <v>229</v>
      </c>
      <c r="AH11" s="51" t="s">
        <v>230</v>
      </c>
      <c r="AI11" s="51" t="s">
        <v>254</v>
      </c>
      <c r="AJ11" s="63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4" t="s">
        <v>137</v>
      </c>
      <c r="D12" s="255"/>
      <c r="F12" s="62" t="s">
        <v>257</v>
      </c>
      <c r="G12" s="51" t="s">
        <v>253</v>
      </c>
      <c r="H12" s="27" t="s">
        <v>229</v>
      </c>
      <c r="I12" s="51" t="s">
        <v>230</v>
      </c>
      <c r="J12" s="51" t="s">
        <v>256</v>
      </c>
      <c r="K12" s="51" t="s">
        <v>254</v>
      </c>
      <c r="L12" s="51" t="s">
        <v>257</v>
      </c>
      <c r="M12" s="51" t="s">
        <v>257</v>
      </c>
      <c r="N12" s="51" t="s">
        <v>257</v>
      </c>
      <c r="O12" s="51" t="s">
        <v>253</v>
      </c>
      <c r="P12" s="27" t="s">
        <v>229</v>
      </c>
      <c r="Q12" s="23" t="s">
        <v>229</v>
      </c>
      <c r="R12" s="51" t="s">
        <v>255</v>
      </c>
      <c r="S12" s="51" t="s">
        <v>254</v>
      </c>
      <c r="T12" s="51" t="s">
        <v>257</v>
      </c>
      <c r="U12" s="51" t="s">
        <v>257</v>
      </c>
      <c r="V12" s="51" t="s">
        <v>257</v>
      </c>
      <c r="W12" s="27" t="s">
        <v>229</v>
      </c>
      <c r="X12" s="23" t="s">
        <v>229</v>
      </c>
      <c r="Y12" s="51" t="s">
        <v>230</v>
      </c>
      <c r="Z12" s="51" t="s">
        <v>256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253</v>
      </c>
      <c r="AF12" s="27" t="s">
        <v>229</v>
      </c>
      <c r="AG12" s="51" t="s">
        <v>230</v>
      </c>
      <c r="AH12" s="51" t="s">
        <v>256</v>
      </c>
      <c r="AI12" s="51" t="s">
        <v>254</v>
      </c>
      <c r="AJ12" s="63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4" t="s">
        <v>127</v>
      </c>
      <c r="D13" s="255"/>
      <c r="F13" s="106" t="s">
        <v>229</v>
      </c>
      <c r="G13" s="27" t="s">
        <v>229</v>
      </c>
      <c r="H13" s="51" t="s">
        <v>255</v>
      </c>
      <c r="I13" s="51" t="s">
        <v>230</v>
      </c>
      <c r="J13" s="51" t="s">
        <v>256</v>
      </c>
      <c r="K13" s="51" t="s">
        <v>257</v>
      </c>
      <c r="L13" s="51" t="s">
        <v>257</v>
      </c>
      <c r="M13" s="51" t="s">
        <v>257</v>
      </c>
      <c r="N13" s="27" t="s">
        <v>229</v>
      </c>
      <c r="O13" s="23" t="s">
        <v>229</v>
      </c>
      <c r="P13" s="51" t="s">
        <v>255</v>
      </c>
      <c r="Q13" s="51" t="s">
        <v>230</v>
      </c>
      <c r="R13" s="51" t="s">
        <v>254</v>
      </c>
      <c r="S13" s="51" t="s">
        <v>257</v>
      </c>
      <c r="T13" s="51" t="s">
        <v>257</v>
      </c>
      <c r="U13" s="51" t="s">
        <v>257</v>
      </c>
      <c r="V13" s="27" t="s">
        <v>229</v>
      </c>
      <c r="W13" s="23" t="s">
        <v>229</v>
      </c>
      <c r="X13" s="51" t="s">
        <v>255</v>
      </c>
      <c r="Y13" s="51" t="s">
        <v>256</v>
      </c>
      <c r="Z13" s="51" t="s">
        <v>254</v>
      </c>
      <c r="AA13" s="51" t="s">
        <v>257</v>
      </c>
      <c r="AB13" s="51" t="s">
        <v>257</v>
      </c>
      <c r="AC13" s="51" t="s">
        <v>257</v>
      </c>
      <c r="AD13" s="27" t="s">
        <v>229</v>
      </c>
      <c r="AE13" s="23" t="s">
        <v>229</v>
      </c>
      <c r="AF13" s="51" t="s">
        <v>255</v>
      </c>
      <c r="AG13" s="51" t="s">
        <v>256</v>
      </c>
      <c r="AH13" s="51" t="s">
        <v>254</v>
      </c>
      <c r="AI13" s="51" t="s">
        <v>257</v>
      </c>
      <c r="AJ13" s="63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4" t="s">
        <v>139</v>
      </c>
      <c r="D14" s="255"/>
      <c r="F14" s="62" t="s">
        <v>257</v>
      </c>
      <c r="G14" s="51" t="s">
        <v>255</v>
      </c>
      <c r="H14" s="51" t="s">
        <v>230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27" t="s">
        <v>229</v>
      </c>
      <c r="N14" s="23" t="s">
        <v>229</v>
      </c>
      <c r="O14" s="51" t="s">
        <v>255</v>
      </c>
      <c r="P14" s="51" t="s">
        <v>230</v>
      </c>
      <c r="Q14" s="51" t="s">
        <v>254</v>
      </c>
      <c r="R14" s="51" t="s">
        <v>257</v>
      </c>
      <c r="S14" s="51" t="s">
        <v>257</v>
      </c>
      <c r="T14" s="51" t="s">
        <v>257</v>
      </c>
      <c r="U14" s="27" t="s">
        <v>229</v>
      </c>
      <c r="V14" s="23" t="s">
        <v>229</v>
      </c>
      <c r="W14" s="51" t="s">
        <v>255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27" t="s">
        <v>229</v>
      </c>
      <c r="AD14" s="23" t="s">
        <v>229</v>
      </c>
      <c r="AE14" s="51" t="s">
        <v>255</v>
      </c>
      <c r="AF14" s="51" t="s">
        <v>230</v>
      </c>
      <c r="AG14" s="51" t="s">
        <v>254</v>
      </c>
      <c r="AH14" s="51" t="s">
        <v>257</v>
      </c>
      <c r="AI14" s="51" t="s">
        <v>257</v>
      </c>
      <c r="AJ14" s="63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4" t="s">
        <v>134</v>
      </c>
      <c r="D15" s="255"/>
      <c r="F15" s="62" t="s">
        <v>23</v>
      </c>
      <c r="G15" s="51" t="s">
        <v>230</v>
      </c>
      <c r="H15" s="51" t="s">
        <v>254</v>
      </c>
      <c r="I15" s="51" t="s">
        <v>257</v>
      </c>
      <c r="J15" s="51" t="s">
        <v>257</v>
      </c>
      <c r="K15" s="51" t="s">
        <v>257</v>
      </c>
      <c r="L15" s="27" t="s">
        <v>229</v>
      </c>
      <c r="M15" s="23" t="s">
        <v>229</v>
      </c>
      <c r="N15" s="51" t="s">
        <v>230</v>
      </c>
      <c r="O15" s="51" t="s">
        <v>230</v>
      </c>
      <c r="P15" s="51" t="s">
        <v>254</v>
      </c>
      <c r="Q15" s="51" t="s">
        <v>257</v>
      </c>
      <c r="R15" s="51" t="s">
        <v>257</v>
      </c>
      <c r="S15" s="51" t="s">
        <v>257</v>
      </c>
      <c r="T15" s="27" t="s">
        <v>229</v>
      </c>
      <c r="U15" s="23" t="s">
        <v>229</v>
      </c>
      <c r="V15" s="51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27" t="s">
        <v>229</v>
      </c>
      <c r="AC15" s="23" t="s">
        <v>229</v>
      </c>
      <c r="AD15" s="51" t="s">
        <v>230</v>
      </c>
      <c r="AE15" s="51" t="s">
        <v>230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63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4" t="s">
        <v>136</v>
      </c>
      <c r="D16" s="255"/>
      <c r="F16" s="62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27" t="s">
        <v>229</v>
      </c>
      <c r="L16" s="23" t="s">
        <v>229</v>
      </c>
      <c r="M16" s="51" t="s">
        <v>230</v>
      </c>
      <c r="N16" s="51" t="s">
        <v>256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27" t="s">
        <v>229</v>
      </c>
      <c r="T16" s="23" t="s">
        <v>229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27" t="s">
        <v>229</v>
      </c>
      <c r="AB16" s="23" t="s">
        <v>229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27" t="s">
        <v>229</v>
      </c>
      <c r="AJ16" s="63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4" t="s">
        <v>141</v>
      </c>
      <c r="D17" s="255"/>
      <c r="F17" s="62" t="s">
        <v>257</v>
      </c>
      <c r="G17" s="51" t="s">
        <v>257</v>
      </c>
      <c r="H17" s="51" t="s">
        <v>257</v>
      </c>
      <c r="I17" s="51" t="s">
        <v>30</v>
      </c>
      <c r="J17" s="27" t="s">
        <v>229</v>
      </c>
      <c r="K17" s="23" t="s">
        <v>229</v>
      </c>
      <c r="L17" s="51" t="s">
        <v>230</v>
      </c>
      <c r="M17" s="51" t="s">
        <v>256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27" t="s">
        <v>229</v>
      </c>
      <c r="S17" s="23" t="s">
        <v>229</v>
      </c>
      <c r="T17" s="51" t="s">
        <v>230</v>
      </c>
      <c r="U17" s="51" t="s">
        <v>256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27" t="s">
        <v>229</v>
      </c>
      <c r="AA17" s="23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27" t="s">
        <v>229</v>
      </c>
      <c r="AI17" s="23" t="s">
        <v>229</v>
      </c>
      <c r="AJ17" s="63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4" t="s">
        <v>132</v>
      </c>
      <c r="D18" s="255"/>
      <c r="F18" s="62" t="s">
        <v>257</v>
      </c>
      <c r="G18" s="51" t="s">
        <v>257</v>
      </c>
      <c r="H18" s="51" t="s">
        <v>257</v>
      </c>
      <c r="I18" s="27" t="s">
        <v>229</v>
      </c>
      <c r="J18" s="23" t="s">
        <v>229</v>
      </c>
      <c r="K18" s="51" t="s">
        <v>230</v>
      </c>
      <c r="L18" s="51" t="s">
        <v>256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27" t="s">
        <v>229</v>
      </c>
      <c r="R18" s="23" t="s">
        <v>229</v>
      </c>
      <c r="S18" s="51" t="s">
        <v>230</v>
      </c>
      <c r="T18" s="51" t="s">
        <v>256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27" t="s">
        <v>229</v>
      </c>
      <c r="Z18" s="23" t="s">
        <v>229</v>
      </c>
      <c r="AA18" s="51" t="s">
        <v>230</v>
      </c>
      <c r="AB18" s="51" t="s">
        <v>254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27" t="s">
        <v>229</v>
      </c>
      <c r="AH18" s="23" t="s">
        <v>229</v>
      </c>
      <c r="AI18" s="51" t="s">
        <v>230</v>
      </c>
      <c r="AJ18" s="63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4" t="s">
        <v>130</v>
      </c>
      <c r="D19" s="255"/>
      <c r="F19" s="62" t="s">
        <v>257</v>
      </c>
      <c r="G19" s="51" t="s">
        <v>257</v>
      </c>
      <c r="H19" s="27" t="s">
        <v>229</v>
      </c>
      <c r="I19" s="23" t="s">
        <v>229</v>
      </c>
      <c r="J19" s="51" t="s">
        <v>230</v>
      </c>
      <c r="K19" s="51" t="s">
        <v>256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27" t="s">
        <v>229</v>
      </c>
      <c r="Q19" s="23" t="s">
        <v>229</v>
      </c>
      <c r="R19" s="51" t="s">
        <v>230</v>
      </c>
      <c r="S19" s="51" t="s">
        <v>256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27" t="s">
        <v>229</v>
      </c>
      <c r="Y19" s="23" t="s">
        <v>229</v>
      </c>
      <c r="Z19" s="51" t="s">
        <v>230</v>
      </c>
      <c r="AA19" s="51" t="s">
        <v>254</v>
      </c>
      <c r="AB19" s="51" t="s">
        <v>254</v>
      </c>
      <c r="AC19" s="51" t="s">
        <v>257</v>
      </c>
      <c r="AD19" s="51" t="s">
        <v>257</v>
      </c>
      <c r="AE19" s="51" t="s">
        <v>257</v>
      </c>
      <c r="AF19" s="27" t="s">
        <v>229</v>
      </c>
      <c r="AG19" s="23" t="s">
        <v>229</v>
      </c>
      <c r="AH19" s="51" t="s">
        <v>230</v>
      </c>
      <c r="AI19" s="102" t="s">
        <v>256</v>
      </c>
      <c r="AJ19" s="63"/>
      <c r="AL19" s="50"/>
      <c r="AM19" s="50"/>
      <c r="AN19" s="50"/>
      <c r="AO19" s="50"/>
      <c r="AP19" s="50"/>
    </row>
    <row r="20" spans="2:42" ht="18.75" x14ac:dyDescent="0.25">
      <c r="B20" s="37">
        <v>16</v>
      </c>
      <c r="C20" s="254" t="s">
        <v>138</v>
      </c>
      <c r="D20" s="255"/>
      <c r="F20" s="62" t="s">
        <v>257</v>
      </c>
      <c r="G20" s="27" t="s">
        <v>229</v>
      </c>
      <c r="H20" s="23" t="s">
        <v>229</v>
      </c>
      <c r="I20" s="51" t="s">
        <v>255</v>
      </c>
      <c r="J20" s="51" t="s">
        <v>254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27" t="s">
        <v>229</v>
      </c>
      <c r="P20" s="23" t="s">
        <v>229</v>
      </c>
      <c r="Q20" s="51" t="s">
        <v>255</v>
      </c>
      <c r="R20" s="51" t="s">
        <v>230</v>
      </c>
      <c r="S20" s="51" t="s">
        <v>254</v>
      </c>
      <c r="T20" s="51" t="s">
        <v>257</v>
      </c>
      <c r="U20" s="51" t="s">
        <v>257</v>
      </c>
      <c r="V20" s="51" t="s">
        <v>257</v>
      </c>
      <c r="W20" s="27" t="s">
        <v>229</v>
      </c>
      <c r="X20" s="23" t="s">
        <v>229</v>
      </c>
      <c r="Y20" s="51" t="s">
        <v>230</v>
      </c>
      <c r="Z20" s="51" t="s">
        <v>256</v>
      </c>
      <c r="AA20" s="51" t="s">
        <v>254</v>
      </c>
      <c r="AB20" s="51" t="s">
        <v>257</v>
      </c>
      <c r="AC20" s="51" t="s">
        <v>257</v>
      </c>
      <c r="AD20" s="51" t="s">
        <v>257</v>
      </c>
      <c r="AE20" s="27" t="s">
        <v>229</v>
      </c>
      <c r="AF20" s="23" t="s">
        <v>229</v>
      </c>
      <c r="AG20" s="51" t="s">
        <v>230</v>
      </c>
      <c r="AH20" s="51" t="s">
        <v>256</v>
      </c>
      <c r="AI20" s="51" t="s">
        <v>254</v>
      </c>
      <c r="AJ20" s="63"/>
      <c r="AL20" s="50"/>
      <c r="AM20" s="50"/>
      <c r="AN20" s="50"/>
      <c r="AO20" s="50"/>
      <c r="AP20" s="50"/>
    </row>
    <row r="21" spans="2:42" ht="19.5" thickBot="1" x14ac:dyDescent="0.3">
      <c r="B21" s="37">
        <v>17</v>
      </c>
      <c r="C21" s="254" t="s">
        <v>135</v>
      </c>
      <c r="D21" s="255"/>
      <c r="F21" s="111" t="s">
        <v>229</v>
      </c>
      <c r="G21" s="108" t="s">
        <v>229</v>
      </c>
      <c r="H21" s="64" t="s">
        <v>230</v>
      </c>
      <c r="I21" s="64" t="s">
        <v>254</v>
      </c>
      <c r="J21" s="64" t="s">
        <v>254</v>
      </c>
      <c r="K21" s="64" t="s">
        <v>257</v>
      </c>
      <c r="L21" s="64" t="s">
        <v>257</v>
      </c>
      <c r="M21" s="64" t="s">
        <v>257</v>
      </c>
      <c r="N21" s="107" t="s">
        <v>229</v>
      </c>
      <c r="O21" s="108" t="s">
        <v>229</v>
      </c>
      <c r="P21" s="64" t="s">
        <v>255</v>
      </c>
      <c r="Q21" s="64" t="s">
        <v>254</v>
      </c>
      <c r="R21" s="64" t="s">
        <v>254</v>
      </c>
      <c r="S21" s="64" t="s">
        <v>257</v>
      </c>
      <c r="T21" s="64" t="s">
        <v>257</v>
      </c>
      <c r="U21" s="64" t="s">
        <v>257</v>
      </c>
      <c r="V21" s="107" t="s">
        <v>229</v>
      </c>
      <c r="W21" s="108" t="s">
        <v>229</v>
      </c>
      <c r="X21" s="64" t="s">
        <v>255</v>
      </c>
      <c r="Y21" s="64" t="s">
        <v>256</v>
      </c>
      <c r="Z21" s="64" t="s">
        <v>254</v>
      </c>
      <c r="AA21" s="64" t="s">
        <v>257</v>
      </c>
      <c r="AB21" s="64" t="s">
        <v>257</v>
      </c>
      <c r="AC21" s="64" t="s">
        <v>257</v>
      </c>
      <c r="AD21" s="107" t="s">
        <v>229</v>
      </c>
      <c r="AE21" s="108" t="s">
        <v>229</v>
      </c>
      <c r="AF21" s="64" t="s">
        <v>255</v>
      </c>
      <c r="AG21" s="64" t="s">
        <v>254</v>
      </c>
      <c r="AH21" s="64" t="s">
        <v>254</v>
      </c>
      <c r="AI21" s="64" t="s">
        <v>257</v>
      </c>
      <c r="AJ21" s="65"/>
      <c r="AL21" s="50"/>
      <c r="AM21" s="50"/>
      <c r="AN21" s="50"/>
      <c r="AO21" s="50"/>
      <c r="AP21" s="50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5" t="s">
        <v>91</v>
      </c>
      <c r="D23" s="176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5" t="s">
        <v>92</v>
      </c>
      <c r="D24" s="176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5" t="s">
        <v>72</v>
      </c>
      <c r="D25" s="176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5" t="s">
        <v>73</v>
      </c>
      <c r="D26" s="176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5" t="s">
        <v>106</v>
      </c>
      <c r="D27" s="176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2" t="s">
        <v>104</v>
      </c>
      <c r="D28" s="253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</row>
    <row r="30" spans="2:42" ht="18.75" x14ac:dyDescent="0.3">
      <c r="C30" s="175" t="s">
        <v>102</v>
      </c>
      <c r="D30" s="176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5" t="s">
        <v>90</v>
      </c>
      <c r="D31" s="176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5" t="s">
        <v>103</v>
      </c>
      <c r="D32" s="176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104" priority="2" operator="containsText" text="STN">
      <formula>NOT(ISERROR(SEARCH("STN",F5)))</formula>
    </cfRule>
    <cfRule type="containsText" dxfId="103" priority="3" operator="containsText" text="STN">
      <formula>NOT(ISERROR(SEARCH("STN",F5)))</formula>
    </cfRule>
    <cfRule type="containsText" dxfId="102" priority="4" operator="containsText" text="STM">
      <formula>NOT(ISERROR(SEARCH("STM",F5)))</formula>
    </cfRule>
    <cfRule type="containsText" dxfId="101" priority="5" operator="containsText" text="M">
      <formula>NOT(ISERROR(SEARCH("M",F5)))</formula>
    </cfRule>
    <cfRule type="containsText" dxfId="100" priority="6" operator="containsText" text="STM1">
      <formula>NOT(ISERROR(SEARCH("STM1",F5)))</formula>
    </cfRule>
    <cfRule type="containsText" dxfId="99" priority="7" operator="containsText" text="M">
      <formula>NOT(ISERROR(SEARCH("M",F5)))</formula>
    </cfRule>
    <cfRule type="containsText" dxfId="98" priority="8" operator="containsText" text="STM">
      <formula>NOT(ISERROR(SEARCH("STM",F5)))</formula>
    </cfRule>
    <cfRule type="containsText" dxfId="97" priority="9" operator="containsText" text="STM">
      <formula>NOT(ISERROR(SEARCH("STM",F5)))</formula>
    </cfRule>
  </conditionalFormatting>
  <conditionalFormatting sqref="F5:AJ21">
    <cfRule type="containsText" dxfId="96" priority="1" operator="containsText" text="AN13">
      <formula>NOT(ISERROR(SEARCH("AN13",F5)))</formula>
    </cfRule>
  </conditionalFormatting>
  <conditionalFormatting sqref="G5:AI5 F6:AI21">
    <cfRule type="containsText" dxfId="95" priority="10" operator="containsText" text="STM1">
      <formula>NOT(ISERROR(SEARCH("STM1",F5)))</formula>
    </cfRule>
    <cfRule type="containsText" dxfId="94" priority="11" operator="containsText" text="STA">
      <formula>NOT(ISERROR(SEARCH("STA",F5)))</formula>
    </cfRule>
    <cfRule type="containsText" dxfId="93" priority="12" operator="containsText" text="STM1">
      <formula>NOT(ISERROR(SEARCH("STM1",F5)))</formula>
    </cfRule>
    <cfRule type="containsText" dxfId="92" priority="13" operator="containsText" text="O">
      <formula>NOT(ISERROR(SEARCH("O",F5)))</formula>
    </cfRule>
    <cfRule type="containsText" dxfId="91" priority="14" operator="containsText" text="N">
      <formula>NOT(ISERROR(SEARCH("N",F5)))</formula>
    </cfRule>
    <cfRule type="containsText" dxfId="90" priority="15" operator="containsText" text="A">
      <formula>NOT(ISERROR(SEARCH("A",F5)))</formula>
    </cfRule>
    <cfRule type="containsText" dxfId="89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0" t="s">
        <v>117</v>
      </c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K2" s="187" t="s">
        <v>112</v>
      </c>
      <c r="AL2" s="187" t="s">
        <v>113</v>
      </c>
      <c r="AM2" s="187" t="s">
        <v>116</v>
      </c>
      <c r="AN2" s="187" t="s">
        <v>114</v>
      </c>
      <c r="AO2" s="187" t="s">
        <v>115</v>
      </c>
    </row>
    <row r="3" spans="2:41" ht="39" x14ac:dyDescent="0.3">
      <c r="B3" s="261" t="s">
        <v>105</v>
      </c>
      <c r="C3" s="262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88"/>
      <c r="AL3" s="188"/>
      <c r="AM3" s="188"/>
      <c r="AN3" s="188"/>
      <c r="AO3" s="188"/>
    </row>
    <row r="4" spans="2:41" ht="19.5" thickBot="1" x14ac:dyDescent="0.35">
      <c r="B4" s="263"/>
      <c r="C4" s="264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89"/>
      <c r="AL4" s="189"/>
      <c r="AM4" s="189"/>
      <c r="AN4" s="189"/>
      <c r="AO4" s="189"/>
    </row>
    <row r="5" spans="2:41" ht="18.75" x14ac:dyDescent="0.25">
      <c r="B5" s="259" t="s">
        <v>79</v>
      </c>
      <c r="C5" s="259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9" t="s">
        <v>80</v>
      </c>
      <c r="C6" s="259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9" t="s">
        <v>81</v>
      </c>
      <c r="C7" s="259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9" t="s">
        <v>82</v>
      </c>
      <c r="C8" s="259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9" t="s">
        <v>83</v>
      </c>
      <c r="C9" s="259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9" t="s">
        <v>84</v>
      </c>
      <c r="C10" s="259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9" t="s">
        <v>85</v>
      </c>
      <c r="C11" s="259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9" t="s">
        <v>86</v>
      </c>
      <c r="C12" s="259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9" t="s">
        <v>87</v>
      </c>
      <c r="C13" s="259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9" t="s">
        <v>88</v>
      </c>
      <c r="C14" s="259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9" t="s">
        <v>89</v>
      </c>
      <c r="C15" s="259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79" t="s">
        <v>91</v>
      </c>
      <c r="C17" s="179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79" t="s">
        <v>92</v>
      </c>
      <c r="C18" s="179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79" t="s">
        <v>72</v>
      </c>
      <c r="C19" s="179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79" t="s">
        <v>73</v>
      </c>
      <c r="C20" s="179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5" t="s">
        <v>106</v>
      </c>
      <c r="C21" s="176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77" t="s">
        <v>104</v>
      </c>
      <c r="C22" s="177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</row>
    <row r="24" spans="2:35" ht="18.75" x14ac:dyDescent="0.3">
      <c r="B24" s="179" t="s">
        <v>102</v>
      </c>
      <c r="C24" s="179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79" t="s">
        <v>90</v>
      </c>
      <c r="C25" s="179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79" t="s">
        <v>103</v>
      </c>
      <c r="C26" s="179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88" priority="23" operator="containsText" text="STN">
      <formula>NOT(ISERROR(SEARCH("STN",E5)))</formula>
    </cfRule>
    <cfRule type="containsText" dxfId="87" priority="24" operator="containsText" text="STN">
      <formula>NOT(ISERROR(SEARCH("STN",E5)))</formula>
    </cfRule>
    <cfRule type="containsText" dxfId="86" priority="25" operator="containsText" text="STM">
      <formula>NOT(ISERROR(SEARCH("STM",E5)))</formula>
    </cfRule>
    <cfRule type="containsText" dxfId="85" priority="26" operator="containsText" text="M">
      <formula>NOT(ISERROR(SEARCH("M",E5)))</formula>
    </cfRule>
    <cfRule type="containsText" dxfId="84" priority="27" operator="containsText" text="STM1">
      <formula>NOT(ISERROR(SEARCH("STM1",E5)))</formula>
    </cfRule>
    <cfRule type="containsText" dxfId="83" priority="28" operator="containsText" text="M">
      <formula>NOT(ISERROR(SEARCH("M",E5)))</formula>
    </cfRule>
    <cfRule type="containsText" dxfId="82" priority="29" operator="containsText" text="STM">
      <formula>NOT(ISERROR(SEARCH("STM",E5)))</formula>
    </cfRule>
    <cfRule type="containsText" dxfId="81" priority="30" operator="containsText" text="STM">
      <formula>NOT(ISERROR(SEARCH("STM",E5)))</formula>
    </cfRule>
  </conditionalFormatting>
  <conditionalFormatting sqref="E5:AH15">
    <cfRule type="containsText" dxfId="80" priority="19" operator="containsText" text="A">
      <formula>NOT(ISERROR(SEARCH("A",E5)))</formula>
    </cfRule>
    <cfRule type="containsText" dxfId="79" priority="5" operator="containsText" text="STM1">
      <formula>NOT(ISERROR(SEARCH("STM1",E5)))</formula>
    </cfRule>
  </conditionalFormatting>
  <conditionalFormatting sqref="E11:AH15">
    <cfRule type="containsText" dxfId="78" priority="16" operator="containsText" text="STM1">
      <formula>NOT(ISERROR(SEARCH("STM1",E11)))</formula>
    </cfRule>
    <cfRule type="containsText" dxfId="77" priority="17" operator="containsText" text="O">
      <formula>NOT(ISERROR(SEARCH("O",E11)))</formula>
    </cfRule>
    <cfRule type="containsText" dxfId="76" priority="18" operator="containsText" text="N">
      <formula>NOT(ISERROR(SEARCH("N",E11)))</formula>
    </cfRule>
    <cfRule type="containsText" dxfId="75" priority="6" operator="containsText" text="STN">
      <formula>NOT(ISERROR(SEARCH("STN",E11)))</formula>
    </cfRule>
    <cfRule type="containsText" dxfId="74" priority="7" operator="containsText" text="STN">
      <formula>NOT(ISERROR(SEARCH("STN",E11)))</formula>
    </cfRule>
    <cfRule type="containsText" dxfId="73" priority="8" operator="containsText" text="STM">
      <formula>NOT(ISERROR(SEARCH("STM",E11)))</formula>
    </cfRule>
    <cfRule type="containsText" dxfId="72" priority="9" operator="containsText" text="M">
      <formula>NOT(ISERROR(SEARCH("M",E11)))</formula>
    </cfRule>
    <cfRule type="containsText" dxfId="71" priority="10" operator="containsText" text="STM1">
      <formula>NOT(ISERROR(SEARCH("STM1",E11)))</formula>
    </cfRule>
    <cfRule type="containsText" dxfId="70" priority="11" operator="containsText" text="M">
      <formula>NOT(ISERROR(SEARCH("M",E11)))</formula>
    </cfRule>
    <cfRule type="containsText" dxfId="69" priority="12" operator="containsText" text="STM">
      <formula>NOT(ISERROR(SEARCH("STM",E11)))</formula>
    </cfRule>
    <cfRule type="containsText" dxfId="68" priority="13" operator="containsText" text="STM">
      <formula>NOT(ISERROR(SEARCH("STM",E11)))</formula>
    </cfRule>
    <cfRule type="containsText" dxfId="67" priority="14" operator="containsText" text="STM1">
      <formula>NOT(ISERROR(SEARCH("STM1",E11)))</formula>
    </cfRule>
    <cfRule type="containsText" dxfId="66" priority="15" operator="containsText" text="STA">
      <formula>NOT(ISERROR(SEARCH("STA",E11)))</formula>
    </cfRule>
    <cfRule type="containsText" dxfId="65" priority="20" operator="containsText" text="M">
      <formula>NOT(ISERROR(SEARCH("M",E11)))</formula>
    </cfRule>
  </conditionalFormatting>
  <conditionalFormatting sqref="E5:AI15">
    <cfRule type="containsText" dxfId="64" priority="3" operator="containsText" text="STM1">
      <formula>NOT(ISERROR(SEARCH("STM1",E5)))</formula>
    </cfRule>
    <cfRule type="containsText" dxfId="63" priority="4" operator="containsText" text="STM1">
      <formula>NOT(ISERROR(SEARCH("STM1",E5)))</formula>
    </cfRule>
    <cfRule type="containsText" dxfId="62" priority="1" operator="containsText" text="STN">
      <formula>NOT(ISERROR(SEARCH("STN",E5)))</formula>
    </cfRule>
    <cfRule type="containsText" dxfId="61" priority="2" operator="containsText" text="STA">
      <formula>NOT(ISERROR(SEARCH("STA",E5)))</formula>
    </cfRule>
  </conditionalFormatting>
  <conditionalFormatting sqref="F5:AH5 E6:AH10">
    <cfRule type="containsText" dxfId="60" priority="31" operator="containsText" text="STM1">
      <formula>NOT(ISERROR(SEARCH("STM1",E5)))</formula>
    </cfRule>
    <cfRule type="containsText" dxfId="59" priority="32" operator="containsText" text="STA">
      <formula>NOT(ISERROR(SEARCH("STA",E5)))</formula>
    </cfRule>
    <cfRule type="containsText" dxfId="58" priority="33" operator="containsText" text="STM1">
      <formula>NOT(ISERROR(SEARCH("STM1",E5)))</formula>
    </cfRule>
    <cfRule type="containsText" dxfId="57" priority="34" operator="containsText" text="O">
      <formula>NOT(ISERROR(SEARCH("O",E5)))</formula>
    </cfRule>
    <cfRule type="containsText" dxfId="56" priority="35" operator="containsText" text="N">
      <formula>NOT(ISERROR(SEARCH("N",E5)))</formula>
    </cfRule>
    <cfRule type="containsText" dxfId="55" priority="36" operator="containsText" text="A">
      <formula>NOT(ISERROR(SEARCH("A",E5)))</formula>
    </cfRule>
    <cfRule type="containsText" dxfId="54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f1e9c892-1499-41bb-8a64-60ef909d8682"/>
    <ds:schemaRef ds:uri="http://schemas.microsoft.com/office/2006/metadata/properties"/>
    <ds:schemaRef ds:uri="http://schemas.microsoft.com/office/infopath/2007/PartnerControls"/>
    <ds:schemaRef ds:uri="http://purl.org/dc/elements/1.1/"/>
    <ds:schemaRef ds:uri="0ecd8b7c-869e-4f04-a6a3-066c3c63b311"/>
    <ds:schemaRef ds:uri="http://schemas.microsoft.com/sharepoint/v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2025-12-10T10:55:30Z</cp:lastPrinted>
  <dcterms:created xsi:type="dcterms:W3CDTF">2025-09-02T04:15:34Z</dcterms:created>
  <dcterms:modified xsi:type="dcterms:W3CDTF">2026-01-06T12:33:29Z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