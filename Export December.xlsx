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New folder/STAFF OPERATION SCHEDULE/ROSTER 2025/Ops/"/>
    </mc:Choice>
  </mc:AlternateContent>
  <xr:revisionPtr revIDLastSave="285" documentId="8_{3140C5D3-2D73-4107-9193-DE8EA7547ADC}" xr6:coauthVersionLast="47" xr6:coauthVersionMax="47" xr10:uidLastSave="{25C022DB-029C-4238-9DF7-6A3F552C6E5A}"/>
  <bookViews>
    <workbookView xWindow="-120" yWindow="-120" windowWidth="29040" windowHeight="15720" firstSheet="2" activeTab="5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Export Checker" sheetId="23" r:id="rId6"/>
    <sheet name="Sheet2" sheetId="27" r:id="rId7"/>
    <sheet name="Load Control" sheetId="10" r:id="rId8"/>
    <sheet name="Export Operators" sheetId="9" r:id="rId9"/>
    <sheet name="Flight Attending" sheetId="19" state="hidden" r:id="rId10"/>
    <sheet name="Acceptance" sheetId="13" state="hidden" r:id="rId11"/>
  </sheets>
  <definedNames>
    <definedName name="_xlnm._FilterDatabase" localSheetId="2" hidden="1">'Full staffs as per JD'!$F$4:$AJ$105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F44" i="23" l="1"/>
  <c r="G44" i="23"/>
  <c r="G103" i="25" l="1"/>
  <c r="H103" i="25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Z103" i="25"/>
  <c r="AA103" i="25"/>
  <c r="AB103" i="25"/>
  <c r="AC103" i="25"/>
  <c r="AD103" i="25"/>
  <c r="AE103" i="25"/>
  <c r="AF103" i="25"/>
  <c r="AG103" i="25"/>
  <c r="AH103" i="25"/>
  <c r="AI103" i="25"/>
  <c r="AJ103" i="25"/>
  <c r="G101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G100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G99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F104" i="25"/>
  <c r="F103" i="25"/>
  <c r="F101" i="25"/>
  <c r="F100" i="25"/>
  <c r="F99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/>
  <c r="AO65" i="25"/>
  <c r="AN65" i="25"/>
  <c r="AM65" i="25"/>
  <c r="AL65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" i="25"/>
  <c r="AO8" i="25"/>
  <c r="AN8" i="25"/>
  <c r="AM8" i="25"/>
  <c r="AL8" i="25"/>
  <c r="AP7" i="25"/>
  <c r="AO7" i="25"/>
  <c r="AN7" i="25"/>
  <c r="AM7" i="25"/>
  <c r="AL7" i="25"/>
  <c r="AP6" i="25"/>
  <c r="AO6" i="25"/>
  <c r="AN6" i="25"/>
  <c r="AM6" i="25"/>
  <c r="AL6" i="25"/>
  <c r="AP5" i="25"/>
  <c r="AO5" i="25"/>
  <c r="AN5" i="25"/>
  <c r="AM5" i="25"/>
  <c r="AL5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61" i="25" l="1"/>
  <c r="AO61" i="25"/>
  <c r="AN61" i="25"/>
  <c r="AM61" i="25"/>
  <c r="AL61" i="25"/>
  <c r="AJ105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H107" i="25" l="1"/>
  <c r="H105" i="25" s="1"/>
  <c r="V107" i="25"/>
  <c r="V105" i="25" s="1"/>
  <c r="K109" i="25"/>
  <c r="Y109" i="25"/>
  <c r="Z109" i="25"/>
  <c r="AA109" i="25"/>
  <c r="M109" i="25"/>
  <c r="L109" i="25"/>
  <c r="N109" i="25"/>
  <c r="AB109" i="25"/>
  <c r="O109" i="25"/>
  <c r="AC109" i="25"/>
  <c r="I109" i="25"/>
  <c r="W109" i="25"/>
  <c r="F109" i="25"/>
  <c r="T109" i="25"/>
  <c r="AH109" i="25"/>
  <c r="P109" i="25"/>
  <c r="AD109" i="25"/>
  <c r="M107" i="25"/>
  <c r="M105" i="25" s="1"/>
  <c r="AA107" i="25"/>
  <c r="AA105" i="25" s="1"/>
  <c r="J109" i="25"/>
  <c r="X109" i="25"/>
  <c r="G109" i="25"/>
  <c r="U109" i="25"/>
  <c r="AI109" i="25"/>
  <c r="Q109" i="25"/>
  <c r="AE109" i="25"/>
  <c r="N107" i="25"/>
  <c r="N105" i="25" s="1"/>
  <c r="AB107" i="25"/>
  <c r="AB105" i="25" s="1"/>
  <c r="H109" i="25"/>
  <c r="V109" i="25"/>
  <c r="R109" i="25"/>
  <c r="AF109" i="25"/>
  <c r="S109" i="25"/>
  <c r="AG109" i="25"/>
  <c r="F107" i="25"/>
  <c r="F105" i="25" s="1"/>
  <c r="T107" i="25"/>
  <c r="T105" i="25" s="1"/>
  <c r="AH107" i="25"/>
  <c r="AH105" i="25" s="1"/>
  <c r="G107" i="25"/>
  <c r="G105" i="25" s="1"/>
  <c r="U107" i="25"/>
  <c r="U105" i="25" s="1"/>
  <c r="AI107" i="25"/>
  <c r="AI105" i="25" s="1"/>
  <c r="I107" i="25"/>
  <c r="I105" i="25" s="1"/>
  <c r="W107" i="25"/>
  <c r="W105" i="25" s="1"/>
  <c r="J107" i="25"/>
  <c r="J105" i="25" s="1"/>
  <c r="X107" i="25"/>
  <c r="X105" i="25" s="1"/>
  <c r="K107" i="25"/>
  <c r="K105" i="25" s="1"/>
  <c r="Y107" i="25"/>
  <c r="Y105" i="25" s="1"/>
  <c r="L107" i="25"/>
  <c r="L105" i="25" s="1"/>
  <c r="Z107" i="25"/>
  <c r="Z105" i="25" s="1"/>
  <c r="O107" i="25"/>
  <c r="O105" i="25" s="1"/>
  <c r="AC107" i="25"/>
  <c r="AC105" i="25" s="1"/>
  <c r="P107" i="25"/>
  <c r="P105" i="25" s="1"/>
  <c r="AD107" i="25"/>
  <c r="AD105" i="25" s="1"/>
  <c r="Q107" i="25"/>
  <c r="Q105" i="25" s="1"/>
  <c r="AE107" i="25"/>
  <c r="AE105" i="25" s="1"/>
  <c r="R107" i="25"/>
  <c r="R105" i="25" s="1"/>
  <c r="AF107" i="25"/>
  <c r="AF105" i="25" s="1"/>
  <c r="S107" i="25"/>
  <c r="S105" i="25" s="1"/>
  <c r="AG107" i="25"/>
  <c r="AG105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H44" i="23" l="1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6" i="22"/>
  <c r="AO6" i="22"/>
  <c r="AN6" i="22"/>
  <c r="AM6" i="22"/>
  <c r="AL6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5" authorId="0" shapeId="0" xr:uid="{E33A98EC-4786-4E73-A66B-9ADD0A7611D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Mohamed Siyabi</t>
        </r>
      </text>
    </comment>
    <comment ref="K6" authorId="0" shapeId="0" xr:uid="{50C1FA2D-D0C5-481A-9C24-C51E5580F0D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Omar</t>
        </r>
      </text>
    </comment>
    <comment ref="AJ6" authorId="0" shapeId="0" xr:uid="{51EC5275-B2D6-4290-B2E9-7A5D183EE9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Omar</t>
        </r>
      </text>
    </comment>
    <comment ref="AA7" authorId="0" shapeId="0" xr:uid="{AE4FCC02-0CA1-4147-AFF8-B821F13C6CD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Qasim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5" authorId="0" shapeId="0" xr:uid="{47991D0F-EDBC-4D60-882A-148CA01A11F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Mohamed Siyabi</t>
        </r>
      </text>
    </comment>
    <comment ref="K6" authorId="0" shapeId="0" xr:uid="{9D661227-E60E-4A7C-956B-4F955ECD43B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Omar</t>
        </r>
      </text>
    </comment>
    <comment ref="AJ6" authorId="0" shapeId="0" xr:uid="{084BFA4F-B06C-4581-B0FA-AB42E82792A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Omar</t>
        </r>
      </text>
    </comment>
    <comment ref="AA7" authorId="0" shapeId="0" xr:uid="{1D252E3F-EA9A-4E84-BD43-9A8AF21328B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Qasim</t>
        </r>
      </text>
    </comment>
  </commentList>
</comments>
</file>

<file path=xl/sharedStrings.xml><?xml version="1.0" encoding="utf-8"?>
<sst xmlns="http://schemas.openxmlformats.org/spreadsheetml/2006/main" count="7710" uniqueCount="281">
  <si>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</si>
  <si>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</si>
  <si>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</si>
  <si>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</si>
  <si>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</si>
  <si>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</si>
  <si>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</si>
  <si>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</si>
  <si>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</si>
  <si>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</si>
  <si>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</si>
  <si>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</si>
  <si>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</si>
  <si>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</si>
  <si>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</si>
  <si>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</si>
  <si>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</si>
  <si>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</si>
  <si>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</si>
  <si>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</si>
  <si>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</si>
  <si>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</si>
  <si>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</si>
  <si>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</si>
  <si>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</si>
  <si>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</si>
  <si>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</si>
  <si>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</si>
  <si>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</si>
  <si>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</si>
  <si>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</si>
  <si>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</si>
  <si>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</si>
  <si>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</si>
  <si>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</si>
  <si>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</si>
  <si>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</si>
  <si>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</si>
  <si>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</si>
  <si>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</si>
  <si>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</si>
  <si>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</si>
  <si>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</si>
  <si>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</si>
  <si>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</si>
  <si>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</si>
  <si>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</si>
  <si>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</si>
  <si>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</si>
  <si>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</si>
  <si>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</si>
  <si>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</si>
  <si>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</si>
  <si>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</si>
  <si>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</si>
  <si>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</si>
  <si>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</si>
  <si>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</si>
  <si>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</si>
  <si>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</si>
  <si>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</si>
  <si>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</si>
  <si>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</si>
  <si>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</si>
  <si>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</si>
  <si>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</si>
  <si>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</si>
  <si>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</si>
  <si>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</si>
  <si>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</si>
  <si>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</si>
  <si>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</si>
  <si>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</si>
  <si>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</si>
  <si>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</si>
  <si>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</si>
  <si>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</si>
  <si>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</si>
  <si>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</si>
  <si>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</si>
  <si>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</si>
  <si>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</si>
  <si>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</si>
  <si>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</si>
  <si>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</si>
  <si>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</si>
  <si>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</si>
  <si>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</si>
  <si>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</si>
  <si>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</si>
  <si>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</si>
  <si>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</si>
  <si>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</si>
  <si>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</si>
  <si>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</si>
  <si>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</si>
  <si>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</si>
  <si>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</si>
  <si>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</si>
  <si>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</si>
  <si>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</si>
  <si>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</si>
  <si>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</si>
  <si>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</si>
  <si>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</si>
  <si>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</si>
  <si>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</si>
  <si>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</si>
  <si>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</si>
  <si>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</si>
  <si>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</si>
  <si>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</si>
  <si>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</si>
  <si>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</si>
  <si>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</si>
  <si>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</si>
  <si>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</si>
  <si>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</si>
  <si>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</si>
  <si>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</si>
  <si>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</si>
  <si>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</si>
  <si>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</si>
  <si>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</si>
  <si>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</si>
  <si>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</si>
  <si>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</si>
  <si>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</si>
  <si>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</si>
  <si>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</si>
  <si>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</si>
  <si>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</si>
  <si>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</si>
  <si>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</si>
  <si>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</si>
  <si>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</si>
  <si>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</si>
  <si>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</si>
  <si>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</si>
  <si>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</si>
  <si>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</si>
  <si>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</si>
  <si>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</si>
  <si>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</si>
  <si>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</si>
  <si>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</si>
  <si>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</si>
  <si>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</si>
  <si>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</si>
  <si>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</si>
  <si>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</si>
  <si>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</si>
  <si>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</si>
  <si>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</si>
  <si>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</si>
  <si>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</si>
  <si>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</si>
  <si>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</si>
  <si>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</si>
  <si>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</si>
  <si>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</si>
  <si>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</si>
  <si>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</si>
  <si>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</si>
  <si>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</si>
  <si>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</si>
  <si>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</si>
  <si>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</si>
  <si>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</si>
  <si>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</si>
  <si>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</si>
  <si>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</si>
  <si>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</si>
  <si>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</si>
  <si>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</si>
  <si>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</si>
  <si>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</si>
  <si>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</si>
  <si>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</si>
  <si>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</si>
  <si>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</si>
  <si>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</si>
  <si>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</si>
  <si>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</si>
  <si>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</si>
  <si>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</si>
  <si>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</si>
  <si>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</si>
  <si>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</si>
  <si>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</si>
  <si>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</si>
  <si>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</si>
  <si>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</si>
  <si>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</si>
  <si>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</si>
  <si>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</si>
  <si>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</si>
  <si>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</si>
  <si>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</si>
  <si>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</si>
  <si>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</si>
  <si>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</si>
  <si>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</si>
  <si>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</si>
  <si>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</si>
  <si>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</si>
  <si>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</si>
  <si>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</si>
  <si>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</si>
  <si>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</si>
  <si>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</si>
  <si>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</si>
  <si>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</si>
  <si>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</si>
  <si>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</si>
  <si>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</si>
  <si>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</si>
  <si>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</si>
  <si>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</si>
  <si>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</si>
  <si>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</si>
  <si>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</si>
  <si>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</si>
  <si>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</si>
  <si>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</si>
  <si>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</si>
  <si>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</si>
  <si>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</si>
  <si>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</si>
  <si>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</si>
  <si>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</si>
  <si>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</si>
  <si>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</si>
  <si>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</si>
  <si>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</si>
  <si>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</si>
  <si>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</si>
  <si>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</si>
  <si>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</si>
  <si>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</si>
  <si>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</si>
  <si>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</si>
  <si>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</si>
  <si>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</si>
  <si>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</si>
  <si>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</si>
  <si>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</si>
  <si>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</si>
  <si>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</si>
  <si>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</si>
  <si>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</si>
  <si>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</si>
  <si>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</si>
  <si>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</si>
  <si>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Badar Al Burtamani - 82423</t>
  </si>
  <si>
    <t>Ahmed Al Oraimi - 82427</t>
  </si>
  <si>
    <t>Mohamed Al Saadi - 82420</t>
  </si>
  <si>
    <t>Younis Al Siyabi - 80480</t>
  </si>
  <si>
    <t>Haitham Al Balushi - 82419</t>
  </si>
  <si>
    <t>Mahmood Al Balushi - 82431</t>
  </si>
  <si>
    <t>Said Al Sadi - 82410</t>
  </si>
  <si>
    <t>Ahmed Al Balushi - 82415</t>
  </si>
  <si>
    <t>Yaarab Al Raqadi - 82571</t>
  </si>
  <si>
    <t>Abdullah Al Maharbi - 82428</t>
  </si>
  <si>
    <t>Sami Al Hadabi - 80479</t>
  </si>
  <si>
    <t>Anwar Al Amri - 82566</t>
  </si>
  <si>
    <t>Ali Al Shamsi - 82425</t>
  </si>
  <si>
    <t>Ismail Al Maharbi - 82331</t>
  </si>
  <si>
    <t>Nasser Al Omairi - 82416</t>
  </si>
  <si>
    <t>Talal Al Huseini - 82417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</si>
  <si>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</si>
  <si>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</si>
  <si>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</si>
  <si>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</si>
  <si>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</si>
  <si>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</si>
  <si>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</si>
  <si>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</si>
  <si>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DECEMBER 2025</t>
  </si>
  <si>
    <t>Export Load Control Roster for the Month of December 2025</t>
  </si>
  <si>
    <t>Export Operators Roster for the Month of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</si>
</sst>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3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2" xfId="0" applyFont="1" applyBorder="1" applyAlignment="1" applyProtection="1">
      <alignment horizontal="center" vertical="center"/>
      <protection locked="0"/>
    </xf>
    <xf numFmtId="0" fontId="4" fillId="0" borderId="34" xfId="0" applyFont="1" applyBorder="1"/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4" fillId="0" borderId="2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9" fillId="5" borderId="27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8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31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3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1" xfId="0" applyFont="1" applyFill="1" applyBorder="1" applyAlignment="1">
      <alignment horizont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56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</row>
    <row r="2" spans="2:40" ht="28.5" x14ac:dyDescent="0.45">
      <c r="B2" s="137" t="s">
        <v>32</v>
      </c>
      <c r="C2" s="137"/>
      <c r="D2" s="10"/>
      <c r="E2" s="138" t="s">
        <v>33</v>
      </c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 t="s">
        <v>9</v>
      </c>
      <c r="X2" s="138"/>
      <c r="Y2" s="138"/>
      <c r="Z2" s="138"/>
      <c r="AA2" s="138"/>
      <c r="AB2" s="138"/>
      <c r="AC2" s="138">
        <v>2025</v>
      </c>
      <c r="AD2" s="138"/>
      <c r="AE2" s="138"/>
      <c r="AF2" s="138"/>
      <c r="AG2" s="5"/>
      <c r="AH2" s="5"/>
      <c r="AI2" s="5"/>
      <c r="AK2" s="132" t="s">
        <v>78</v>
      </c>
      <c r="AL2" s="132"/>
      <c r="AM2" s="132"/>
      <c r="AN2" s="132"/>
    </row>
    <row r="3" spans="2:40" x14ac:dyDescent="0.25">
      <c r="B3" s="137"/>
      <c r="C3" s="13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2"/>
      <c r="AL3" s="132"/>
      <c r="AM3" s="132"/>
      <c r="AN3" s="132"/>
    </row>
    <row r="4" spans="2:40" x14ac:dyDescent="0.25">
      <c r="B4" s="137"/>
      <c r="C4" s="137"/>
      <c r="D4" s="11"/>
      <c r="E4" s="133" t="s">
        <v>34</v>
      </c>
      <c r="F4" s="133"/>
      <c r="G4" s="133"/>
      <c r="H4" s="133"/>
      <c r="I4" s="133"/>
      <c r="J4" s="3">
        <v>1</v>
      </c>
      <c r="K4" s="3"/>
      <c r="L4" s="3"/>
      <c r="M4" s="135" t="s">
        <v>35</v>
      </c>
      <c r="N4" s="135"/>
      <c r="O4" s="135"/>
      <c r="P4" s="140">
        <f>IFERROR(DATEVALUE(J4&amp;W2&amp;AC2),"")</f>
        <v>45901</v>
      </c>
      <c r="Q4" s="140"/>
      <c r="R4" s="140"/>
      <c r="S4" s="3"/>
      <c r="T4" s="3"/>
      <c r="U4" s="135" t="s">
        <v>36</v>
      </c>
      <c r="V4" s="135"/>
      <c r="W4" s="135"/>
      <c r="X4" s="140">
        <f>IFERROR(EOMONTH(P4,0)+J4-1,"")</f>
        <v>45930</v>
      </c>
      <c r="Y4" s="140"/>
      <c r="Z4" s="140"/>
      <c r="AA4" s="3"/>
      <c r="AB4" s="3"/>
      <c r="AC4" s="135" t="s">
        <v>37</v>
      </c>
      <c r="AD4" s="135"/>
      <c r="AE4" s="135"/>
      <c r="AF4" s="3">
        <f>COUNTIF(E6:AI6,"*?")</f>
        <v>30</v>
      </c>
      <c r="AG4" s="3"/>
      <c r="AH4" s="3"/>
      <c r="AI4" s="3"/>
      <c r="AK4" s="132"/>
      <c r="AL4" s="132"/>
      <c r="AM4" s="132"/>
      <c r="AN4" s="13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6" t="s">
        <v>38</v>
      </c>
      <c r="C6" s="13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4" t="s">
        <v>74</v>
      </c>
      <c r="AL6" s="134" t="s">
        <v>75</v>
      </c>
      <c r="AM6" s="134" t="s">
        <v>76</v>
      </c>
      <c r="AN6" s="134" t="s">
        <v>77</v>
      </c>
    </row>
    <row r="7" spans="2:40" x14ac:dyDescent="0.25">
      <c r="B7" s="136"/>
      <c r="C7" s="13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4"/>
      <c r="AL7" s="134"/>
      <c r="AM7" s="134"/>
      <c r="AN7" s="13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3" t="s">
        <v>70</v>
      </c>
      <c r="C39" s="13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3" t="s">
        <v>71</v>
      </c>
      <c r="C40" s="13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3" t="s">
        <v>72</v>
      </c>
      <c r="C41" s="13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3" t="s">
        <v>73</v>
      </c>
      <c r="C42" s="13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55" priority="4">
      <formula>LEFT(E8,1)="N"</formula>
    </cfRule>
    <cfRule type="expression" dxfId="154" priority="5">
      <formula>LEFT(E8,1)="A"</formula>
    </cfRule>
    <cfRule type="expression" dxfId="153" priority="7">
      <formula>LEFT(E8,1)="M"</formula>
    </cfRule>
    <cfRule type="expression" dxfId="152" priority="8">
      <formula>LEFT(E8,1)="D"</formula>
    </cfRule>
  </conditionalFormatting>
  <conditionalFormatting sqref="E39:AI42 E8:AI37 AK8:AN37">
    <cfRule type="expression" dxfId="151" priority="3">
      <formula>LEFT(E8,1)="O"</formula>
    </cfRule>
  </conditionalFormatting>
  <conditionalFormatting sqref="E39:AI42">
    <cfRule type="expression" dxfId="15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18"/>
  <sheetViews>
    <sheetView topLeftCell="A83" zoomScale="91" zoomScaleNormal="120" workbookViewId="0">
      <selection activeCell="N57" sqref="N5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126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45"/>
      <c r="AM3" s="145"/>
      <c r="AN3" s="145"/>
      <c r="AO3" s="145"/>
      <c r="AP3" s="145"/>
    </row>
    <row r="4" spans="2:42" ht="19.5" customHeight="1" thickBot="1" x14ac:dyDescent="0.35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48">
        <v>31</v>
      </c>
      <c r="AL4" s="146"/>
      <c r="AM4" s="146"/>
      <c r="AN4" s="146"/>
      <c r="AO4" s="146"/>
      <c r="AP4" s="146"/>
    </row>
    <row r="5" spans="2:42" ht="18.75" x14ac:dyDescent="0.25">
      <c r="B5" s="37" t="s">
        <v>247</v>
      </c>
      <c r="C5" s="147" t="s">
        <v>178</v>
      </c>
      <c r="D5" s="147"/>
      <c r="F5" s="44" t="s">
        <v>230</v>
      </c>
      <c r="G5" s="44" t="s">
        <v>230</v>
      </c>
      <c r="H5" s="44" t="s">
        <v>231</v>
      </c>
      <c r="I5" s="44" t="s">
        <v>231</v>
      </c>
      <c r="J5" s="44" t="s">
        <v>271</v>
      </c>
      <c r="K5" s="44" t="s">
        <v>274</v>
      </c>
      <c r="L5" s="44" t="s">
        <v>274</v>
      </c>
      <c r="M5" s="44" t="s">
        <v>274</v>
      </c>
      <c r="N5" s="44" t="s">
        <v>275</v>
      </c>
      <c r="O5" s="44" t="s">
        <v>275</v>
      </c>
      <c r="P5" s="44" t="s">
        <v>275</v>
      </c>
      <c r="Q5" s="44" t="s">
        <v>275</v>
      </c>
      <c r="R5" s="44" t="s">
        <v>275</v>
      </c>
      <c r="S5" s="44" t="s">
        <v>274</v>
      </c>
      <c r="T5" s="44" t="s">
        <v>274</v>
      </c>
      <c r="U5" s="44" t="s">
        <v>274</v>
      </c>
      <c r="V5" s="44" t="s">
        <v>230</v>
      </c>
      <c r="W5" s="44" t="s">
        <v>230</v>
      </c>
      <c r="X5" s="44" t="s">
        <v>231</v>
      </c>
      <c r="Y5" s="44" t="s">
        <v>231</v>
      </c>
      <c r="Z5" s="44" t="s">
        <v>271</v>
      </c>
      <c r="AA5" s="44" t="s">
        <v>274</v>
      </c>
      <c r="AB5" s="44" t="s">
        <v>274</v>
      </c>
      <c r="AC5" s="44" t="s">
        <v>274</v>
      </c>
      <c r="AD5" s="44" t="s">
        <v>230</v>
      </c>
      <c r="AE5" s="44" t="s">
        <v>230</v>
      </c>
      <c r="AF5" s="44" t="s">
        <v>231</v>
      </c>
      <c r="AG5" s="44" t="s">
        <v>231</v>
      </c>
      <c r="AH5" s="44" t="s">
        <v>271</v>
      </c>
      <c r="AI5" s="44" t="s">
        <v>274</v>
      </c>
      <c r="AJ5" s="44" t="s">
        <v>274</v>
      </c>
      <c r="AL5" s="51">
        <f t="shared" ref="AL5:AL10" si="0">COUNTIF($F5:$AJ5,"ST*")</f>
        <v>0</v>
      </c>
      <c r="AM5" s="51">
        <f t="shared" ref="AM5:AM10" si="1">COUNTIF($F5:$AJ5,"M*")</f>
        <v>6</v>
      </c>
      <c r="AN5" s="51">
        <f t="shared" ref="AN5:AN10" si="2">COUNTIF($F5:$AJ5,"A*")</f>
        <v>6</v>
      </c>
      <c r="AO5" s="51">
        <f t="shared" ref="AO5:AO10" si="3">COUNTIF($F5:$AJ5,"N*")</f>
        <v>3</v>
      </c>
      <c r="AP5" s="51">
        <f t="shared" ref="AP5:AP10" si="4">COUNTIF($F5:$AJ5,"O*")</f>
        <v>11</v>
      </c>
    </row>
    <row r="6" spans="2:42" ht="18.75" x14ac:dyDescent="0.25">
      <c r="B6" s="37" t="s">
        <v>247</v>
      </c>
      <c r="C6" s="147" t="s">
        <v>179</v>
      </c>
      <c r="D6" s="147"/>
      <c r="F6" s="52" t="s">
        <v>231</v>
      </c>
      <c r="G6" s="52" t="s">
        <v>271</v>
      </c>
      <c r="H6" s="52" t="s">
        <v>274</v>
      </c>
      <c r="I6" s="52" t="s">
        <v>274</v>
      </c>
      <c r="J6" s="52" t="s">
        <v>274</v>
      </c>
      <c r="K6" s="52" t="s">
        <v>275</v>
      </c>
      <c r="L6" s="52" t="s">
        <v>275</v>
      </c>
      <c r="M6" s="52" t="s">
        <v>275</v>
      </c>
      <c r="N6" s="52" t="s">
        <v>275</v>
      </c>
      <c r="O6" s="52" t="s">
        <v>275</v>
      </c>
      <c r="P6" s="52" t="s">
        <v>275</v>
      </c>
      <c r="Q6" s="52" t="s">
        <v>275</v>
      </c>
      <c r="R6" s="52" t="s">
        <v>275</v>
      </c>
      <c r="S6" s="52" t="s">
        <v>275</v>
      </c>
      <c r="T6" s="52" t="s">
        <v>275</v>
      </c>
      <c r="U6" s="52" t="s">
        <v>275</v>
      </c>
      <c r="V6" s="52" t="s">
        <v>275</v>
      </c>
      <c r="W6" s="52" t="s">
        <v>275</v>
      </c>
      <c r="X6" s="52" t="s">
        <v>274</v>
      </c>
      <c r="Y6" s="52" t="s">
        <v>274</v>
      </c>
      <c r="Z6" s="52" t="s">
        <v>274</v>
      </c>
      <c r="AA6" s="52" t="s">
        <v>230</v>
      </c>
      <c r="AB6" s="52" t="s">
        <v>230</v>
      </c>
      <c r="AC6" s="52" t="s">
        <v>231</v>
      </c>
      <c r="AD6" s="52" t="s">
        <v>231</v>
      </c>
      <c r="AE6" s="52" t="s">
        <v>271</v>
      </c>
      <c r="AF6" s="52" t="s">
        <v>274</v>
      </c>
      <c r="AG6" s="52" t="s">
        <v>274</v>
      </c>
      <c r="AH6" s="52" t="s">
        <v>274</v>
      </c>
      <c r="AI6" s="52" t="s">
        <v>230</v>
      </c>
      <c r="AJ6" s="52" t="s">
        <v>144</v>
      </c>
      <c r="AL6" s="51">
        <f t="shared" si="0"/>
        <v>0</v>
      </c>
      <c r="AM6" s="51">
        <f t="shared" si="1"/>
        <v>3</v>
      </c>
      <c r="AN6" s="51">
        <f t="shared" si="2"/>
        <v>3</v>
      </c>
      <c r="AO6" s="51">
        <f t="shared" si="3"/>
        <v>2</v>
      </c>
      <c r="AP6" s="51">
        <f t="shared" si="4"/>
        <v>9</v>
      </c>
    </row>
    <row r="7" spans="2:42" ht="18.75" x14ac:dyDescent="0.25">
      <c r="B7" s="37" t="s">
        <v>247</v>
      </c>
      <c r="C7" s="147" t="s">
        <v>180</v>
      </c>
      <c r="D7" s="147"/>
      <c r="F7" s="52" t="s">
        <v>271</v>
      </c>
      <c r="G7" s="52" t="s">
        <v>274</v>
      </c>
      <c r="H7" s="52" t="s">
        <v>274</v>
      </c>
      <c r="I7" s="52" t="s">
        <v>274</v>
      </c>
      <c r="J7" s="52" t="s">
        <v>230</v>
      </c>
      <c r="K7" s="52" t="s">
        <v>231</v>
      </c>
      <c r="L7" s="52" t="s">
        <v>231</v>
      </c>
      <c r="M7" s="52" t="s">
        <v>271</v>
      </c>
      <c r="N7" s="52" t="s">
        <v>271</v>
      </c>
      <c r="O7" s="52" t="s">
        <v>274</v>
      </c>
      <c r="P7" s="52" t="s">
        <v>274</v>
      </c>
      <c r="Q7" s="52" t="s">
        <v>274</v>
      </c>
      <c r="R7" s="52" t="s">
        <v>230</v>
      </c>
      <c r="S7" s="52" t="s">
        <v>231</v>
      </c>
      <c r="T7" s="52" t="s">
        <v>231</v>
      </c>
      <c r="U7" s="52" t="s">
        <v>271</v>
      </c>
      <c r="V7" s="52" t="s">
        <v>271</v>
      </c>
      <c r="W7" s="52" t="s">
        <v>274</v>
      </c>
      <c r="X7" s="52" t="s">
        <v>274</v>
      </c>
      <c r="Y7" s="52" t="s">
        <v>274</v>
      </c>
      <c r="Z7" s="52" t="s">
        <v>230</v>
      </c>
      <c r="AA7" s="52" t="s">
        <v>144</v>
      </c>
      <c r="AB7" s="52" t="s">
        <v>231</v>
      </c>
      <c r="AC7" s="131" t="s">
        <v>271</v>
      </c>
      <c r="AD7" s="52" t="s">
        <v>271</v>
      </c>
      <c r="AE7" s="52" t="s">
        <v>274</v>
      </c>
      <c r="AF7" s="52" t="s">
        <v>274</v>
      </c>
      <c r="AG7" s="52" t="s">
        <v>274</v>
      </c>
      <c r="AH7" s="52" t="s">
        <v>275</v>
      </c>
      <c r="AI7" s="52" t="s">
        <v>275</v>
      </c>
      <c r="AJ7" s="52" t="s">
        <v>275</v>
      </c>
      <c r="AL7" s="51">
        <f t="shared" si="0"/>
        <v>0</v>
      </c>
      <c r="AM7" s="51">
        <f t="shared" si="1"/>
        <v>3</v>
      </c>
      <c r="AN7" s="51">
        <f t="shared" si="2"/>
        <v>5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 t="s">
        <v>247</v>
      </c>
      <c r="C8" s="147" t="s">
        <v>181</v>
      </c>
      <c r="D8" s="147"/>
      <c r="F8" s="52" t="s">
        <v>230</v>
      </c>
      <c r="G8" s="52" t="s">
        <v>231</v>
      </c>
      <c r="H8" s="52" t="s">
        <v>271</v>
      </c>
      <c r="I8" s="52" t="s">
        <v>271</v>
      </c>
      <c r="J8" s="52" t="s">
        <v>274</v>
      </c>
      <c r="K8" s="52" t="s">
        <v>274</v>
      </c>
      <c r="L8" s="52" t="s">
        <v>274</v>
      </c>
      <c r="M8" s="52" t="s">
        <v>230</v>
      </c>
      <c r="N8" s="52" t="s">
        <v>230</v>
      </c>
      <c r="O8" s="52" t="s">
        <v>231</v>
      </c>
      <c r="P8" s="52" t="s">
        <v>271</v>
      </c>
      <c r="Q8" s="52" t="s">
        <v>271</v>
      </c>
      <c r="R8" s="52" t="s">
        <v>274</v>
      </c>
      <c r="S8" s="52" t="s">
        <v>274</v>
      </c>
      <c r="T8" s="52" t="s">
        <v>274</v>
      </c>
      <c r="U8" s="52" t="s">
        <v>230</v>
      </c>
      <c r="V8" s="52" t="s">
        <v>230</v>
      </c>
      <c r="W8" s="52" t="s">
        <v>231</v>
      </c>
      <c r="X8" s="52" t="s">
        <v>271</v>
      </c>
      <c r="Y8" s="52" t="s">
        <v>271</v>
      </c>
      <c r="Z8" s="52" t="s">
        <v>274</v>
      </c>
      <c r="AA8" s="52" t="s">
        <v>274</v>
      </c>
      <c r="AB8" s="52" t="s">
        <v>274</v>
      </c>
      <c r="AC8" s="52" t="s">
        <v>230</v>
      </c>
      <c r="AD8" s="52" t="s">
        <v>230</v>
      </c>
      <c r="AE8" s="52" t="s">
        <v>231</v>
      </c>
      <c r="AF8" s="52" t="s">
        <v>271</v>
      </c>
      <c r="AG8" s="52" t="s">
        <v>271</v>
      </c>
      <c r="AH8" s="52" t="s">
        <v>274</v>
      </c>
      <c r="AI8" s="52" t="s">
        <v>274</v>
      </c>
      <c r="AJ8" s="52" t="s">
        <v>274</v>
      </c>
      <c r="AL8" s="51">
        <f t="shared" si="0"/>
        <v>0</v>
      </c>
      <c r="AM8" s="51">
        <f t="shared" si="1"/>
        <v>7</v>
      </c>
      <c r="AN8" s="51">
        <f t="shared" si="2"/>
        <v>4</v>
      </c>
      <c r="AO8" s="51">
        <f t="shared" si="3"/>
        <v>8</v>
      </c>
      <c r="AP8" s="51">
        <f t="shared" si="4"/>
        <v>12</v>
      </c>
    </row>
    <row r="9" spans="2:42" ht="18.75" x14ac:dyDescent="0.25">
      <c r="B9" s="37" t="s">
        <v>247</v>
      </c>
      <c r="C9" s="147" t="s">
        <v>182</v>
      </c>
      <c r="D9" s="147"/>
      <c r="F9" s="52" t="s">
        <v>274</v>
      </c>
      <c r="G9" s="52" t="s">
        <v>274</v>
      </c>
      <c r="H9" s="52" t="s">
        <v>230</v>
      </c>
      <c r="I9" s="52" t="s">
        <v>230</v>
      </c>
      <c r="J9" s="52" t="s">
        <v>231</v>
      </c>
      <c r="K9" s="52" t="s">
        <v>271</v>
      </c>
      <c r="L9" s="52" t="s">
        <v>271</v>
      </c>
      <c r="M9" s="52" t="s">
        <v>274</v>
      </c>
      <c r="N9" s="52" t="s">
        <v>274</v>
      </c>
      <c r="O9" s="52" t="s">
        <v>274</v>
      </c>
      <c r="P9" s="52" t="s">
        <v>230</v>
      </c>
      <c r="Q9" s="52" t="s">
        <v>230</v>
      </c>
      <c r="R9" s="52" t="s">
        <v>231</v>
      </c>
      <c r="S9" s="52" t="s">
        <v>271</v>
      </c>
      <c r="T9" s="52" t="s">
        <v>271</v>
      </c>
      <c r="U9" s="52" t="s">
        <v>274</v>
      </c>
      <c r="V9" s="52" t="s">
        <v>274</v>
      </c>
      <c r="W9" s="52" t="s">
        <v>274</v>
      </c>
      <c r="X9" s="52" t="s">
        <v>230</v>
      </c>
      <c r="Y9" s="52" t="s">
        <v>230</v>
      </c>
      <c r="Z9" s="52" t="s">
        <v>231</v>
      </c>
      <c r="AA9" s="52" t="s">
        <v>271</v>
      </c>
      <c r="AB9" s="52" t="s">
        <v>271</v>
      </c>
      <c r="AC9" s="52" t="s">
        <v>274</v>
      </c>
      <c r="AD9" s="52" t="s">
        <v>274</v>
      </c>
      <c r="AE9" s="52" t="s">
        <v>274</v>
      </c>
      <c r="AF9" s="52" t="s">
        <v>230</v>
      </c>
      <c r="AG9" s="52" t="s">
        <v>230</v>
      </c>
      <c r="AH9" s="52" t="s">
        <v>231</v>
      </c>
      <c r="AI9" s="52" t="s">
        <v>271</v>
      </c>
      <c r="AJ9" s="52" t="s">
        <v>271</v>
      </c>
      <c r="AK9" s="101"/>
      <c r="AL9" s="51">
        <f t="shared" si="0"/>
        <v>0</v>
      </c>
      <c r="AM9" s="51">
        <f t="shared" si="1"/>
        <v>8</v>
      </c>
      <c r="AN9" s="51">
        <f t="shared" si="2"/>
        <v>4</v>
      </c>
      <c r="AO9" s="51">
        <f t="shared" si="3"/>
        <v>8</v>
      </c>
      <c r="AP9" s="51">
        <f t="shared" si="4"/>
        <v>11</v>
      </c>
    </row>
    <row r="10" spans="2:42" ht="19.5" thickBot="1" x14ac:dyDescent="0.3">
      <c r="B10" s="37" t="s">
        <v>247</v>
      </c>
      <c r="C10" s="147" t="s">
        <v>183</v>
      </c>
      <c r="D10" s="147"/>
      <c r="F10" s="65" t="s">
        <v>274</v>
      </c>
      <c r="G10" s="65" t="s">
        <v>274</v>
      </c>
      <c r="H10" s="65" t="s">
        <v>230</v>
      </c>
      <c r="I10" s="65" t="s">
        <v>230</v>
      </c>
      <c r="J10" s="65" t="s">
        <v>240</v>
      </c>
      <c r="K10" s="65" t="s">
        <v>240</v>
      </c>
      <c r="L10" s="65" t="s">
        <v>230</v>
      </c>
      <c r="M10" s="65" t="s">
        <v>274</v>
      </c>
      <c r="N10" s="65" t="s">
        <v>274</v>
      </c>
      <c r="O10" s="65" t="s">
        <v>230</v>
      </c>
      <c r="P10" s="65" t="s">
        <v>230</v>
      </c>
      <c r="Q10" s="65" t="s">
        <v>240</v>
      </c>
      <c r="R10" s="65" t="s">
        <v>240</v>
      </c>
      <c r="S10" s="65" t="s">
        <v>230</v>
      </c>
      <c r="T10" s="65" t="s">
        <v>274</v>
      </c>
      <c r="U10" s="65" t="s">
        <v>274</v>
      </c>
      <c r="V10" s="65" t="s">
        <v>230</v>
      </c>
      <c r="W10" s="65" t="s">
        <v>230</v>
      </c>
      <c r="X10" s="65" t="s">
        <v>240</v>
      </c>
      <c r="Y10" s="65" t="s">
        <v>240</v>
      </c>
      <c r="Z10" s="65" t="s">
        <v>230</v>
      </c>
      <c r="AA10" s="65" t="s">
        <v>274</v>
      </c>
      <c r="AB10" s="65" t="s">
        <v>274</v>
      </c>
      <c r="AC10" s="65" t="s">
        <v>230</v>
      </c>
      <c r="AD10" s="65" t="s">
        <v>274</v>
      </c>
      <c r="AE10" s="65" t="s">
        <v>274</v>
      </c>
      <c r="AF10" s="65" t="s">
        <v>230</v>
      </c>
      <c r="AG10" s="65" t="s">
        <v>230</v>
      </c>
      <c r="AH10" s="65" t="s">
        <v>240</v>
      </c>
      <c r="AI10" s="65" t="s">
        <v>240</v>
      </c>
      <c r="AJ10" s="65" t="s">
        <v>230</v>
      </c>
      <c r="AL10" s="51">
        <f t="shared" si="0"/>
        <v>0</v>
      </c>
      <c r="AM10" s="51">
        <f t="shared" si="1"/>
        <v>21</v>
      </c>
      <c r="AN10" s="51">
        <f t="shared" si="2"/>
        <v>0</v>
      </c>
      <c r="AO10" s="51">
        <f t="shared" si="3"/>
        <v>0</v>
      </c>
      <c r="AP10" s="51">
        <f t="shared" si="4"/>
        <v>10</v>
      </c>
    </row>
    <row r="11" spans="2:42" ht="18.75" x14ac:dyDescent="0.25">
      <c r="B11" s="37" t="s">
        <v>248</v>
      </c>
      <c r="C11" s="148" t="s">
        <v>226</v>
      </c>
      <c r="D11" s="149"/>
      <c r="E11" s="99"/>
      <c r="F11" s="44" t="s">
        <v>274</v>
      </c>
      <c r="G11" s="44" t="s">
        <v>274</v>
      </c>
      <c r="H11" s="116" t="s">
        <v>275</v>
      </c>
      <c r="I11" s="107" t="s">
        <v>275</v>
      </c>
      <c r="J11" s="44" t="s">
        <v>275</v>
      </c>
      <c r="K11" s="44" t="s">
        <v>275</v>
      </c>
      <c r="L11" s="44" t="s">
        <v>275</v>
      </c>
      <c r="M11" s="44" t="s">
        <v>274</v>
      </c>
      <c r="N11" s="44" t="s">
        <v>274</v>
      </c>
      <c r="O11" s="44" t="s">
        <v>274</v>
      </c>
      <c r="P11" s="107" t="s">
        <v>230</v>
      </c>
      <c r="Q11" s="107" t="s">
        <v>270</v>
      </c>
      <c r="R11" s="44" t="s">
        <v>231</v>
      </c>
      <c r="S11" s="44" t="s">
        <v>273</v>
      </c>
      <c r="T11" s="44" t="s">
        <v>271</v>
      </c>
      <c r="U11" s="44" t="s">
        <v>274</v>
      </c>
      <c r="V11" s="44" t="s">
        <v>274</v>
      </c>
      <c r="W11" s="44" t="s">
        <v>274</v>
      </c>
      <c r="X11" s="107" t="s">
        <v>230</v>
      </c>
      <c r="Y11" s="44" t="s">
        <v>230</v>
      </c>
      <c r="Z11" s="44" t="s">
        <v>231</v>
      </c>
      <c r="AA11" s="44" t="s">
        <v>272</v>
      </c>
      <c r="AB11" s="44" t="s">
        <v>271</v>
      </c>
      <c r="AC11" s="44" t="s">
        <v>274</v>
      </c>
      <c r="AD11" s="44" t="s">
        <v>274</v>
      </c>
      <c r="AE11" s="44" t="s">
        <v>274</v>
      </c>
      <c r="AF11" s="116" t="s">
        <v>230</v>
      </c>
      <c r="AG11" s="107" t="s">
        <v>230</v>
      </c>
      <c r="AH11" s="44" t="s">
        <v>231</v>
      </c>
      <c r="AI11" s="44" t="s">
        <v>271</v>
      </c>
      <c r="AJ11" s="44" t="s">
        <v>271</v>
      </c>
      <c r="AL11" s="51">
        <f>COUNTIF($F11:$AJ11,"ST*")</f>
        <v>3</v>
      </c>
      <c r="AM11" s="51">
        <f>COUNTIF($F11:$AJ11,"M*")</f>
        <v>5</v>
      </c>
      <c r="AN11" s="51">
        <f>COUNTIF($F11:$AJ11,"A*")</f>
        <v>3</v>
      </c>
      <c r="AO11" s="51">
        <f>COUNTIF($F11:$AJ11,"N*")</f>
        <v>4</v>
      </c>
      <c r="AP11" s="51">
        <f>COUNTIF($F11:$AJ11,"O*")</f>
        <v>11</v>
      </c>
    </row>
    <row r="12" spans="2:42" ht="18.75" x14ac:dyDescent="0.25">
      <c r="B12" s="41" t="s">
        <v>248</v>
      </c>
      <c r="C12" s="148" t="s">
        <v>215</v>
      </c>
      <c r="D12" s="149"/>
      <c r="E12" s="99"/>
      <c r="F12" s="52" t="s">
        <v>274</v>
      </c>
      <c r="G12" s="57" t="s">
        <v>230</v>
      </c>
      <c r="H12" s="52" t="s">
        <v>231</v>
      </c>
      <c r="I12" s="52" t="s">
        <v>230</v>
      </c>
      <c r="J12" s="52" t="s">
        <v>230</v>
      </c>
      <c r="K12" s="52" t="s">
        <v>271</v>
      </c>
      <c r="L12" s="52" t="s">
        <v>274</v>
      </c>
      <c r="M12" s="52" t="s">
        <v>274</v>
      </c>
      <c r="N12" s="52" t="s">
        <v>274</v>
      </c>
      <c r="O12" s="57" t="s">
        <v>230</v>
      </c>
      <c r="P12" s="57" t="s">
        <v>270</v>
      </c>
      <c r="Q12" s="57" t="s">
        <v>231</v>
      </c>
      <c r="R12" s="57" t="s">
        <v>271</v>
      </c>
      <c r="S12" s="57" t="s">
        <v>271</v>
      </c>
      <c r="T12" s="52" t="s">
        <v>274</v>
      </c>
      <c r="U12" s="52" t="s">
        <v>274</v>
      </c>
      <c r="V12" s="52" t="s">
        <v>274</v>
      </c>
      <c r="W12" s="57" t="s">
        <v>230</v>
      </c>
      <c r="X12" s="52" t="s">
        <v>231</v>
      </c>
      <c r="Y12" s="52" t="s">
        <v>231</v>
      </c>
      <c r="Z12" s="52" t="s">
        <v>273</v>
      </c>
      <c r="AA12" s="52" t="s">
        <v>271</v>
      </c>
      <c r="AB12" s="52" t="s">
        <v>274</v>
      </c>
      <c r="AC12" s="52" t="s">
        <v>274</v>
      </c>
      <c r="AD12" s="52" t="s">
        <v>274</v>
      </c>
      <c r="AE12" s="57" t="s">
        <v>230</v>
      </c>
      <c r="AF12" s="52" t="s">
        <v>231</v>
      </c>
      <c r="AG12" s="52" t="s">
        <v>231</v>
      </c>
      <c r="AH12" s="52" t="s">
        <v>271</v>
      </c>
      <c r="AI12" s="52" t="s">
        <v>271</v>
      </c>
      <c r="AJ12" s="52" t="s">
        <v>274</v>
      </c>
      <c r="AL12" s="51">
        <f t="shared" ref="AL12:AL25" si="5">COUNTIF($F12:$AJ12,"ST*")</f>
        <v>2</v>
      </c>
      <c r="AM12" s="51">
        <f t="shared" ref="AM12:AM25" si="6">COUNTIF($F12:$AJ12,"M*")</f>
        <v>6</v>
      </c>
      <c r="AN12" s="51">
        <f t="shared" ref="AN12:AN25" si="7">COUNTIF($F12:$AJ12,"A*")</f>
        <v>6</v>
      </c>
      <c r="AO12" s="51">
        <f t="shared" ref="AO12:AO25" si="8">COUNTIF($F12:$AJ12,"N*")</f>
        <v>6</v>
      </c>
      <c r="AP12" s="51">
        <f t="shared" ref="AP12:AP25" si="9">COUNTIF($F12:$AJ12,"O*")</f>
        <v>11</v>
      </c>
    </row>
    <row r="13" spans="2:42" ht="18.75" x14ac:dyDescent="0.25">
      <c r="B13" s="41" t="s">
        <v>248</v>
      </c>
      <c r="C13" s="148" t="s">
        <v>216</v>
      </c>
      <c r="D13" s="149"/>
      <c r="E13" s="99"/>
      <c r="F13" s="57" t="s">
        <v>275</v>
      </c>
      <c r="G13" s="57" t="s">
        <v>275</v>
      </c>
      <c r="H13" s="57" t="s">
        <v>275</v>
      </c>
      <c r="I13" s="57" t="s">
        <v>275</v>
      </c>
      <c r="J13" s="57" t="s">
        <v>275</v>
      </c>
      <c r="K13" s="57" t="s">
        <v>275</v>
      </c>
      <c r="L13" s="57" t="s">
        <v>275</v>
      </c>
      <c r="M13" s="57" t="s">
        <v>275</v>
      </c>
      <c r="N13" s="57" t="s">
        <v>275</v>
      </c>
      <c r="O13" s="57" t="s">
        <v>275</v>
      </c>
      <c r="P13" s="57" t="s">
        <v>275</v>
      </c>
      <c r="Q13" s="57" t="s">
        <v>275</v>
      </c>
      <c r="R13" s="57" t="s">
        <v>275</v>
      </c>
      <c r="S13" s="57" t="s">
        <v>275</v>
      </c>
      <c r="T13" s="57" t="s">
        <v>275</v>
      </c>
      <c r="U13" s="57" t="s">
        <v>275</v>
      </c>
      <c r="V13" s="57" t="s">
        <v>275</v>
      </c>
      <c r="W13" s="57" t="s">
        <v>275</v>
      </c>
      <c r="X13" s="57" t="s">
        <v>275</v>
      </c>
      <c r="Y13" s="57" t="s">
        <v>275</v>
      </c>
      <c r="Z13" s="57" t="s">
        <v>275</v>
      </c>
      <c r="AA13" s="57" t="s">
        <v>275</v>
      </c>
      <c r="AB13" s="52" t="s">
        <v>274</v>
      </c>
      <c r="AC13" s="52" t="s">
        <v>274</v>
      </c>
      <c r="AD13" s="57" t="s">
        <v>230</v>
      </c>
      <c r="AE13" s="100" t="s">
        <v>230</v>
      </c>
      <c r="AF13" s="52" t="s">
        <v>231</v>
      </c>
      <c r="AG13" s="52" t="s">
        <v>272</v>
      </c>
      <c r="AH13" s="52" t="s">
        <v>271</v>
      </c>
      <c r="AI13" s="52" t="s">
        <v>274</v>
      </c>
      <c r="AJ13" s="52" t="s">
        <v>274</v>
      </c>
      <c r="AL13" s="51">
        <f t="shared" si="5"/>
        <v>1</v>
      </c>
      <c r="AM13" s="51">
        <f t="shared" si="6"/>
        <v>2</v>
      </c>
      <c r="AN13" s="51">
        <f t="shared" si="7"/>
        <v>1</v>
      </c>
      <c r="AO13" s="51">
        <f t="shared" si="8"/>
        <v>1</v>
      </c>
      <c r="AP13" s="51">
        <f t="shared" si="9"/>
        <v>4</v>
      </c>
    </row>
    <row r="14" spans="2:42" ht="18.75" x14ac:dyDescent="0.25">
      <c r="B14" s="41" t="s">
        <v>248</v>
      </c>
      <c r="C14" s="148" t="s">
        <v>217</v>
      </c>
      <c r="D14" s="149"/>
      <c r="E14" s="99"/>
      <c r="F14" s="100" t="s">
        <v>270</v>
      </c>
      <c r="G14" s="52" t="s">
        <v>231</v>
      </c>
      <c r="H14" s="52" t="s">
        <v>273</v>
      </c>
      <c r="I14" s="52" t="s">
        <v>271</v>
      </c>
      <c r="J14" s="52" t="s">
        <v>274</v>
      </c>
      <c r="K14" s="52" t="s">
        <v>274</v>
      </c>
      <c r="L14" s="52" t="s">
        <v>274</v>
      </c>
      <c r="M14" s="57" t="s">
        <v>275</v>
      </c>
      <c r="N14" s="57" t="s">
        <v>275</v>
      </c>
      <c r="O14" s="57" t="s">
        <v>275</v>
      </c>
      <c r="P14" s="57" t="s">
        <v>275</v>
      </c>
      <c r="Q14" s="57" t="s">
        <v>275</v>
      </c>
      <c r="R14" s="57" t="s">
        <v>275</v>
      </c>
      <c r="S14" s="57" t="s">
        <v>275</v>
      </c>
      <c r="T14" s="57" t="s">
        <v>275</v>
      </c>
      <c r="U14" s="57" t="s">
        <v>275</v>
      </c>
      <c r="V14" s="57" t="s">
        <v>275</v>
      </c>
      <c r="W14" s="57" t="s">
        <v>275</v>
      </c>
      <c r="X14" s="57" t="s">
        <v>275</v>
      </c>
      <c r="Y14" s="57" t="s">
        <v>275</v>
      </c>
      <c r="Z14" s="57" t="s">
        <v>275</v>
      </c>
      <c r="AA14" s="52" t="s">
        <v>274</v>
      </c>
      <c r="AB14" s="52" t="s">
        <v>274</v>
      </c>
      <c r="AC14" s="52" t="s">
        <v>230</v>
      </c>
      <c r="AD14" s="100" t="s">
        <v>230</v>
      </c>
      <c r="AE14" s="52" t="s">
        <v>231</v>
      </c>
      <c r="AF14" s="52" t="s">
        <v>271</v>
      </c>
      <c r="AG14" s="52" t="s">
        <v>271</v>
      </c>
      <c r="AH14" s="52" t="s">
        <v>274</v>
      </c>
      <c r="AI14" s="52" t="s">
        <v>274</v>
      </c>
      <c r="AJ14" s="52" t="s">
        <v>274</v>
      </c>
      <c r="AL14" s="51">
        <f t="shared" si="5"/>
        <v>2</v>
      </c>
      <c r="AM14" s="51">
        <f t="shared" si="6"/>
        <v>2</v>
      </c>
      <c r="AN14" s="51">
        <f t="shared" si="7"/>
        <v>2</v>
      </c>
      <c r="AO14" s="51">
        <f t="shared" si="8"/>
        <v>3</v>
      </c>
      <c r="AP14" s="51">
        <f t="shared" si="9"/>
        <v>8</v>
      </c>
    </row>
    <row r="15" spans="2:42" ht="18.75" x14ac:dyDescent="0.25">
      <c r="B15" s="41" t="s">
        <v>248</v>
      </c>
      <c r="C15" s="148" t="s">
        <v>218</v>
      </c>
      <c r="D15" s="149"/>
      <c r="E15" s="99"/>
      <c r="F15" s="52" t="s">
        <v>272</v>
      </c>
      <c r="G15" s="52" t="s">
        <v>231</v>
      </c>
      <c r="H15" s="52" t="s">
        <v>271</v>
      </c>
      <c r="I15" s="52" t="s">
        <v>274</v>
      </c>
      <c r="J15" s="52" t="s">
        <v>274</v>
      </c>
      <c r="K15" s="52" t="s">
        <v>274</v>
      </c>
      <c r="L15" s="57" t="s">
        <v>230</v>
      </c>
      <c r="M15" s="100" t="s">
        <v>270</v>
      </c>
      <c r="N15" s="52" t="s">
        <v>231</v>
      </c>
      <c r="O15" s="52" t="s">
        <v>272</v>
      </c>
      <c r="P15" s="52" t="s">
        <v>271</v>
      </c>
      <c r="Q15" s="52" t="s">
        <v>274</v>
      </c>
      <c r="R15" s="52" t="s">
        <v>274</v>
      </c>
      <c r="S15" s="52" t="s">
        <v>274</v>
      </c>
      <c r="T15" s="57" t="s">
        <v>230</v>
      </c>
      <c r="U15" s="100" t="s">
        <v>270</v>
      </c>
      <c r="V15" s="52" t="s">
        <v>231</v>
      </c>
      <c r="W15" s="52" t="s">
        <v>231</v>
      </c>
      <c r="X15" s="52" t="s">
        <v>271</v>
      </c>
      <c r="Y15" s="52" t="s">
        <v>274</v>
      </c>
      <c r="Z15" s="52" t="s">
        <v>274</v>
      </c>
      <c r="AA15" s="52" t="s">
        <v>274</v>
      </c>
      <c r="AB15" s="57" t="s">
        <v>275</v>
      </c>
      <c r="AC15" s="100" t="s">
        <v>275</v>
      </c>
      <c r="AD15" s="52" t="s">
        <v>275</v>
      </c>
      <c r="AE15" s="52" t="s">
        <v>275</v>
      </c>
      <c r="AF15" s="52" t="s">
        <v>275</v>
      </c>
      <c r="AG15" s="52" t="s">
        <v>275</v>
      </c>
      <c r="AH15" s="52" t="s">
        <v>274</v>
      </c>
      <c r="AI15" s="52" t="s">
        <v>274</v>
      </c>
      <c r="AJ15" s="57" t="s">
        <v>230</v>
      </c>
      <c r="AL15" s="51">
        <f t="shared" si="5"/>
        <v>4</v>
      </c>
      <c r="AM15" s="51">
        <f t="shared" si="6"/>
        <v>3</v>
      </c>
      <c r="AN15" s="51">
        <f t="shared" si="7"/>
        <v>4</v>
      </c>
      <c r="AO15" s="51">
        <f t="shared" si="8"/>
        <v>3</v>
      </c>
      <c r="AP15" s="51">
        <f t="shared" si="9"/>
        <v>11</v>
      </c>
    </row>
    <row r="16" spans="2:42" ht="18.75" x14ac:dyDescent="0.25">
      <c r="B16" s="41" t="s">
        <v>248</v>
      </c>
      <c r="C16" s="148" t="s">
        <v>219</v>
      </c>
      <c r="D16" s="149"/>
      <c r="E16" s="99"/>
      <c r="F16" s="52" t="s">
        <v>231</v>
      </c>
      <c r="G16" s="52" t="s">
        <v>271</v>
      </c>
      <c r="H16" s="52" t="s">
        <v>274</v>
      </c>
      <c r="I16" s="52" t="s">
        <v>274</v>
      </c>
      <c r="J16" s="52" t="s">
        <v>274</v>
      </c>
      <c r="K16" s="100" t="s">
        <v>230</v>
      </c>
      <c r="L16" s="52" t="s">
        <v>270</v>
      </c>
      <c r="M16" s="52" t="s">
        <v>231</v>
      </c>
      <c r="N16" s="52" t="s">
        <v>231</v>
      </c>
      <c r="O16" s="52" t="s">
        <v>271</v>
      </c>
      <c r="P16" s="52" t="s">
        <v>274</v>
      </c>
      <c r="Q16" s="52" t="s">
        <v>274</v>
      </c>
      <c r="R16" s="52" t="s">
        <v>274</v>
      </c>
      <c r="S16" s="100" t="s">
        <v>230</v>
      </c>
      <c r="T16" s="52" t="s">
        <v>270</v>
      </c>
      <c r="U16" s="52" t="s">
        <v>231</v>
      </c>
      <c r="V16" s="52" t="s">
        <v>272</v>
      </c>
      <c r="W16" s="52" t="s">
        <v>271</v>
      </c>
      <c r="X16" s="52" t="s">
        <v>274</v>
      </c>
      <c r="Y16" s="52" t="s">
        <v>274</v>
      </c>
      <c r="Z16" s="52" t="s">
        <v>274</v>
      </c>
      <c r="AA16" s="57" t="s">
        <v>230</v>
      </c>
      <c r="AB16" s="100" t="s">
        <v>230</v>
      </c>
      <c r="AC16" s="52" t="s">
        <v>231</v>
      </c>
      <c r="AD16" s="52" t="s">
        <v>231</v>
      </c>
      <c r="AE16" s="52" t="s">
        <v>271</v>
      </c>
      <c r="AF16" s="52" t="s">
        <v>274</v>
      </c>
      <c r="AG16" s="52" t="s">
        <v>274</v>
      </c>
      <c r="AH16" s="52" t="s">
        <v>274</v>
      </c>
      <c r="AI16" s="100" t="s">
        <v>230</v>
      </c>
      <c r="AJ16" s="52" t="s">
        <v>272</v>
      </c>
      <c r="AL16" s="51">
        <f t="shared" si="5"/>
        <v>4</v>
      </c>
      <c r="AM16" s="51">
        <f t="shared" si="6"/>
        <v>5</v>
      </c>
      <c r="AN16" s="51">
        <f t="shared" si="7"/>
        <v>6</v>
      </c>
      <c r="AO16" s="51">
        <f t="shared" si="8"/>
        <v>4</v>
      </c>
      <c r="AP16" s="51">
        <f t="shared" si="9"/>
        <v>12</v>
      </c>
    </row>
    <row r="17" spans="2:42" ht="18.75" x14ac:dyDescent="0.25">
      <c r="B17" s="41" t="s">
        <v>248</v>
      </c>
      <c r="C17" s="148" t="s">
        <v>220</v>
      </c>
      <c r="D17" s="149"/>
      <c r="E17" s="99"/>
      <c r="F17" s="52" t="s">
        <v>271</v>
      </c>
      <c r="G17" s="52" t="s">
        <v>274</v>
      </c>
      <c r="H17" s="52" t="s">
        <v>274</v>
      </c>
      <c r="I17" s="52" t="s">
        <v>274</v>
      </c>
      <c r="J17" s="100" t="s">
        <v>230</v>
      </c>
      <c r="K17" s="52" t="s">
        <v>270</v>
      </c>
      <c r="L17" s="52" t="s">
        <v>144</v>
      </c>
      <c r="M17" s="52" t="s">
        <v>271</v>
      </c>
      <c r="N17" s="52" t="s">
        <v>271</v>
      </c>
      <c r="O17" s="52" t="s">
        <v>274</v>
      </c>
      <c r="P17" s="52" t="s">
        <v>274</v>
      </c>
      <c r="Q17" s="52" t="s">
        <v>274</v>
      </c>
      <c r="R17" s="57" t="s">
        <v>230</v>
      </c>
      <c r="S17" s="57" t="s">
        <v>270</v>
      </c>
      <c r="T17" s="57" t="s">
        <v>231</v>
      </c>
      <c r="U17" s="57" t="s">
        <v>231</v>
      </c>
      <c r="V17" s="57" t="s">
        <v>271</v>
      </c>
      <c r="W17" s="52" t="s">
        <v>274</v>
      </c>
      <c r="X17" s="52" t="s">
        <v>274</v>
      </c>
      <c r="Y17" s="52" t="s">
        <v>274</v>
      </c>
      <c r="Z17" s="57" t="s">
        <v>230</v>
      </c>
      <c r="AA17" s="100" t="s">
        <v>270</v>
      </c>
      <c r="AB17" s="52" t="s">
        <v>231</v>
      </c>
      <c r="AC17" s="52" t="s">
        <v>144</v>
      </c>
      <c r="AD17" s="52" t="s">
        <v>271</v>
      </c>
      <c r="AE17" s="52" t="s">
        <v>274</v>
      </c>
      <c r="AF17" s="52" t="s">
        <v>274</v>
      </c>
      <c r="AG17" s="52" t="s">
        <v>274</v>
      </c>
      <c r="AH17" s="100" t="s">
        <v>230</v>
      </c>
      <c r="AI17" s="52" t="s">
        <v>272</v>
      </c>
      <c r="AJ17" s="52" t="s">
        <v>273</v>
      </c>
      <c r="AL17" s="51">
        <f t="shared" si="5"/>
        <v>5</v>
      </c>
      <c r="AM17" s="51">
        <f t="shared" si="6"/>
        <v>4</v>
      </c>
      <c r="AN17" s="51">
        <f t="shared" si="7"/>
        <v>3</v>
      </c>
      <c r="AO17" s="51">
        <f t="shared" si="8"/>
        <v>5</v>
      </c>
      <c r="AP17" s="51">
        <f t="shared" si="9"/>
        <v>12</v>
      </c>
    </row>
    <row r="18" spans="2:42" ht="18.75" x14ac:dyDescent="0.25">
      <c r="B18" s="41" t="s">
        <v>248</v>
      </c>
      <c r="C18" s="148" t="s">
        <v>221</v>
      </c>
      <c r="D18" s="149"/>
      <c r="E18" s="99"/>
      <c r="F18" s="52" t="s">
        <v>274</v>
      </c>
      <c r="G18" s="52" t="s">
        <v>274</v>
      </c>
      <c r="H18" s="52" t="s">
        <v>274</v>
      </c>
      <c r="I18" s="57" t="s">
        <v>230</v>
      </c>
      <c r="J18" s="57" t="s">
        <v>230</v>
      </c>
      <c r="K18" s="57" t="s">
        <v>272</v>
      </c>
      <c r="L18" s="57" t="s">
        <v>271</v>
      </c>
      <c r="M18" s="57" t="s">
        <v>271</v>
      </c>
      <c r="N18" s="52" t="s">
        <v>274</v>
      </c>
      <c r="O18" s="52" t="s">
        <v>274</v>
      </c>
      <c r="P18" s="52" t="s">
        <v>274</v>
      </c>
      <c r="Q18" s="100" t="s">
        <v>230</v>
      </c>
      <c r="R18" s="100" t="s">
        <v>270</v>
      </c>
      <c r="S18" s="52" t="s">
        <v>231</v>
      </c>
      <c r="T18" s="52" t="s">
        <v>144</v>
      </c>
      <c r="U18" s="52" t="s">
        <v>271</v>
      </c>
      <c r="V18" s="52" t="s">
        <v>274</v>
      </c>
      <c r="W18" s="52" t="s">
        <v>274</v>
      </c>
      <c r="X18" s="52" t="s">
        <v>274</v>
      </c>
      <c r="Y18" s="100" t="s">
        <v>230</v>
      </c>
      <c r="Z18" s="100" t="s">
        <v>270</v>
      </c>
      <c r="AA18" s="52" t="s">
        <v>231</v>
      </c>
      <c r="AB18" s="52" t="s">
        <v>231</v>
      </c>
      <c r="AC18" s="52" t="s">
        <v>271</v>
      </c>
      <c r="AD18" s="52" t="s">
        <v>274</v>
      </c>
      <c r="AE18" s="52" t="s">
        <v>274</v>
      </c>
      <c r="AF18" s="52" t="s">
        <v>274</v>
      </c>
      <c r="AG18" s="57" t="s">
        <v>230</v>
      </c>
      <c r="AH18" s="57" t="s">
        <v>231</v>
      </c>
      <c r="AI18" s="57" t="s">
        <v>231</v>
      </c>
      <c r="AJ18" s="57" t="s">
        <v>231</v>
      </c>
      <c r="AL18" s="51">
        <f t="shared" si="5"/>
        <v>3</v>
      </c>
      <c r="AM18" s="51">
        <f t="shared" si="6"/>
        <v>5</v>
      </c>
      <c r="AN18" s="51">
        <f t="shared" si="7"/>
        <v>6</v>
      </c>
      <c r="AO18" s="51">
        <f t="shared" si="8"/>
        <v>4</v>
      </c>
      <c r="AP18" s="51">
        <f t="shared" si="9"/>
        <v>12</v>
      </c>
    </row>
    <row r="19" spans="2:42" ht="18.75" x14ac:dyDescent="0.25">
      <c r="B19" s="41" t="s">
        <v>248</v>
      </c>
      <c r="C19" s="148" t="s">
        <v>222</v>
      </c>
      <c r="D19" s="149"/>
      <c r="E19" s="99"/>
      <c r="F19" s="52" t="s">
        <v>274</v>
      </c>
      <c r="G19" s="52" t="s">
        <v>274</v>
      </c>
      <c r="H19" s="57" t="s">
        <v>230</v>
      </c>
      <c r="I19" s="57" t="s">
        <v>270</v>
      </c>
      <c r="J19" s="57" t="s">
        <v>231</v>
      </c>
      <c r="K19" s="57" t="s">
        <v>231</v>
      </c>
      <c r="L19" s="57" t="s">
        <v>271</v>
      </c>
      <c r="M19" s="57" t="s">
        <v>274</v>
      </c>
      <c r="N19" s="57" t="s">
        <v>274</v>
      </c>
      <c r="O19" s="57" t="s">
        <v>274</v>
      </c>
      <c r="P19" s="57" t="s">
        <v>230</v>
      </c>
      <c r="Q19" s="57" t="s">
        <v>230</v>
      </c>
      <c r="R19" s="57" t="s">
        <v>272</v>
      </c>
      <c r="S19" s="57" t="s">
        <v>231</v>
      </c>
      <c r="T19" s="57" t="s">
        <v>271</v>
      </c>
      <c r="U19" s="52" t="s">
        <v>274</v>
      </c>
      <c r="V19" s="52" t="s">
        <v>274</v>
      </c>
      <c r="W19" s="52" t="s">
        <v>274</v>
      </c>
      <c r="X19" s="100" t="s">
        <v>230</v>
      </c>
      <c r="Y19" s="100" t="s">
        <v>270</v>
      </c>
      <c r="Z19" s="52" t="s">
        <v>231</v>
      </c>
      <c r="AA19" s="52" t="s">
        <v>273</v>
      </c>
      <c r="AB19" s="52" t="s">
        <v>271</v>
      </c>
      <c r="AC19" s="52" t="s">
        <v>274</v>
      </c>
      <c r="AD19" s="52" t="s">
        <v>274</v>
      </c>
      <c r="AE19" s="52" t="s">
        <v>274</v>
      </c>
      <c r="AF19" s="57" t="s">
        <v>230</v>
      </c>
      <c r="AG19" s="57" t="s">
        <v>231</v>
      </c>
      <c r="AH19" s="57" t="s">
        <v>144</v>
      </c>
      <c r="AI19" s="57" t="s">
        <v>231</v>
      </c>
      <c r="AJ19" s="57" t="s">
        <v>271</v>
      </c>
      <c r="AL19" s="51">
        <f t="shared" si="5"/>
        <v>4</v>
      </c>
      <c r="AM19" s="51">
        <f t="shared" si="6"/>
        <v>5</v>
      </c>
      <c r="AN19" s="51">
        <f t="shared" si="7"/>
        <v>6</v>
      </c>
      <c r="AO19" s="51">
        <f t="shared" si="8"/>
        <v>4</v>
      </c>
      <c r="AP19" s="51">
        <f t="shared" si="9"/>
        <v>11</v>
      </c>
    </row>
    <row r="20" spans="2:42" ht="18.75" x14ac:dyDescent="0.25">
      <c r="B20" s="41" t="s">
        <v>248</v>
      </c>
      <c r="C20" s="148" t="s">
        <v>145</v>
      </c>
      <c r="D20" s="149"/>
      <c r="E20" s="99"/>
      <c r="F20" s="52" t="s">
        <v>274</v>
      </c>
      <c r="G20" s="57" t="s">
        <v>144</v>
      </c>
      <c r="H20" s="100" t="s">
        <v>270</v>
      </c>
      <c r="I20" s="100" t="s">
        <v>231</v>
      </c>
      <c r="J20" s="52" t="s">
        <v>271</v>
      </c>
      <c r="K20" s="52" t="s">
        <v>271</v>
      </c>
      <c r="L20" s="52" t="s">
        <v>274</v>
      </c>
      <c r="M20" s="52" t="s">
        <v>274</v>
      </c>
      <c r="N20" s="52" t="s">
        <v>274</v>
      </c>
      <c r="O20" s="57" t="s">
        <v>230</v>
      </c>
      <c r="P20" s="100" t="s">
        <v>270</v>
      </c>
      <c r="Q20" s="52" t="s">
        <v>231</v>
      </c>
      <c r="R20" s="52" t="s">
        <v>231</v>
      </c>
      <c r="S20" s="52" t="s">
        <v>271</v>
      </c>
      <c r="T20" s="52" t="s">
        <v>274</v>
      </c>
      <c r="U20" s="52" t="s">
        <v>274</v>
      </c>
      <c r="V20" s="52" t="s">
        <v>274</v>
      </c>
      <c r="W20" s="57" t="s">
        <v>230</v>
      </c>
      <c r="X20" s="52" t="s">
        <v>231</v>
      </c>
      <c r="Y20" s="52" t="s">
        <v>271</v>
      </c>
      <c r="Z20" s="52" t="s">
        <v>271</v>
      </c>
      <c r="AA20" s="52" t="s">
        <v>271</v>
      </c>
      <c r="AB20" s="52" t="s">
        <v>274</v>
      </c>
      <c r="AC20" s="52" t="s">
        <v>274</v>
      </c>
      <c r="AD20" s="52" t="s">
        <v>274</v>
      </c>
      <c r="AE20" s="57" t="s">
        <v>275</v>
      </c>
      <c r="AF20" s="100" t="s">
        <v>275</v>
      </c>
      <c r="AG20" s="100" t="s">
        <v>275</v>
      </c>
      <c r="AH20" s="52" t="s">
        <v>275</v>
      </c>
      <c r="AI20" s="52" t="s">
        <v>275</v>
      </c>
      <c r="AJ20" s="52" t="s">
        <v>274</v>
      </c>
      <c r="AL20" s="51">
        <f t="shared" si="5"/>
        <v>2</v>
      </c>
      <c r="AM20" s="51">
        <f t="shared" si="6"/>
        <v>2</v>
      </c>
      <c r="AN20" s="51">
        <f t="shared" si="7"/>
        <v>4</v>
      </c>
      <c r="AO20" s="51">
        <f t="shared" si="8"/>
        <v>6</v>
      </c>
      <c r="AP20" s="51">
        <f t="shared" si="9"/>
        <v>11</v>
      </c>
    </row>
    <row r="21" spans="2:42" ht="18.75" x14ac:dyDescent="0.25">
      <c r="B21" s="41" t="s">
        <v>248</v>
      </c>
      <c r="C21" s="148" t="s">
        <v>147</v>
      </c>
      <c r="D21" s="149"/>
      <c r="E21" s="99"/>
      <c r="F21" s="100" t="s">
        <v>230</v>
      </c>
      <c r="G21" s="100" t="s">
        <v>230</v>
      </c>
      <c r="H21" s="100" t="s">
        <v>230</v>
      </c>
      <c r="I21" s="52" t="s">
        <v>231</v>
      </c>
      <c r="J21" s="52" t="s">
        <v>271</v>
      </c>
      <c r="K21" s="52" t="s">
        <v>274</v>
      </c>
      <c r="L21" s="52" t="s">
        <v>274</v>
      </c>
      <c r="M21" s="52" t="s">
        <v>274</v>
      </c>
      <c r="N21" s="57" t="s">
        <v>230</v>
      </c>
      <c r="O21" s="100" t="s">
        <v>270</v>
      </c>
      <c r="P21" s="52" t="s">
        <v>231</v>
      </c>
      <c r="Q21" s="52" t="s">
        <v>271</v>
      </c>
      <c r="R21" s="52" t="s">
        <v>271</v>
      </c>
      <c r="S21" s="52" t="s">
        <v>274</v>
      </c>
      <c r="T21" s="52" t="s">
        <v>274</v>
      </c>
      <c r="U21" s="52" t="s">
        <v>274</v>
      </c>
      <c r="V21" s="57" t="s">
        <v>230</v>
      </c>
      <c r="W21" s="100" t="s">
        <v>270</v>
      </c>
      <c r="X21" s="52" t="s">
        <v>275</v>
      </c>
      <c r="Y21" s="52" t="s">
        <v>231</v>
      </c>
      <c r="Z21" s="52" t="s">
        <v>271</v>
      </c>
      <c r="AA21" s="52" t="s">
        <v>274</v>
      </c>
      <c r="AB21" s="52" t="s">
        <v>274</v>
      </c>
      <c r="AC21" s="52" t="s">
        <v>274</v>
      </c>
      <c r="AD21" s="100" t="s">
        <v>275</v>
      </c>
      <c r="AE21" s="100" t="s">
        <v>275</v>
      </c>
      <c r="AF21" s="100" t="s">
        <v>275</v>
      </c>
      <c r="AG21" s="52" t="s">
        <v>275</v>
      </c>
      <c r="AH21" s="52" t="s">
        <v>275</v>
      </c>
      <c r="AI21" s="52" t="s">
        <v>274</v>
      </c>
      <c r="AJ21" s="52" t="s">
        <v>274</v>
      </c>
      <c r="AL21" s="51">
        <f t="shared" si="5"/>
        <v>2</v>
      </c>
      <c r="AM21" s="51">
        <f t="shared" si="6"/>
        <v>5</v>
      </c>
      <c r="AN21" s="51">
        <f t="shared" si="7"/>
        <v>3</v>
      </c>
      <c r="AO21" s="51">
        <f t="shared" si="8"/>
        <v>4</v>
      </c>
      <c r="AP21" s="51">
        <f t="shared" si="9"/>
        <v>11</v>
      </c>
    </row>
    <row r="22" spans="2:42" ht="18.75" x14ac:dyDescent="0.25">
      <c r="B22" s="41" t="s">
        <v>248</v>
      </c>
      <c r="C22" s="148" t="s">
        <v>170</v>
      </c>
      <c r="D22" s="149"/>
      <c r="E22" s="99"/>
      <c r="F22" s="57" t="s">
        <v>230</v>
      </c>
      <c r="G22" s="57" t="s">
        <v>272</v>
      </c>
      <c r="H22" s="57" t="s">
        <v>231</v>
      </c>
      <c r="I22" s="57" t="s">
        <v>271</v>
      </c>
      <c r="J22" s="52" t="s">
        <v>274</v>
      </c>
      <c r="K22" s="52" t="s">
        <v>274</v>
      </c>
      <c r="L22" s="52" t="s">
        <v>274</v>
      </c>
      <c r="M22" s="57" t="s">
        <v>230</v>
      </c>
      <c r="N22" s="100" t="s">
        <v>230</v>
      </c>
      <c r="O22" s="52" t="s">
        <v>231</v>
      </c>
      <c r="P22" s="52" t="s">
        <v>231</v>
      </c>
      <c r="Q22" s="52" t="s">
        <v>271</v>
      </c>
      <c r="R22" s="52" t="s">
        <v>274</v>
      </c>
      <c r="S22" s="52" t="s">
        <v>274</v>
      </c>
      <c r="T22" s="52" t="s">
        <v>274</v>
      </c>
      <c r="U22" s="57" t="s">
        <v>230</v>
      </c>
      <c r="V22" s="100" t="s">
        <v>230</v>
      </c>
      <c r="W22" s="52" t="s">
        <v>231</v>
      </c>
      <c r="X22" s="52" t="s">
        <v>271</v>
      </c>
      <c r="Y22" s="52" t="s">
        <v>271</v>
      </c>
      <c r="Z22" s="52" t="s">
        <v>274</v>
      </c>
      <c r="AA22" s="52" t="s">
        <v>274</v>
      </c>
      <c r="AB22" s="52" t="s">
        <v>274</v>
      </c>
      <c r="AC22" s="57" t="s">
        <v>230</v>
      </c>
      <c r="AD22" s="57" t="s">
        <v>230</v>
      </c>
      <c r="AE22" s="57" t="s">
        <v>231</v>
      </c>
      <c r="AF22" s="57" t="s">
        <v>271</v>
      </c>
      <c r="AG22" s="57" t="s">
        <v>271</v>
      </c>
      <c r="AH22" s="52" t="s">
        <v>274</v>
      </c>
      <c r="AI22" s="52" t="s">
        <v>274</v>
      </c>
      <c r="AJ22" s="52" t="s">
        <v>274</v>
      </c>
      <c r="AL22" s="51">
        <f t="shared" si="5"/>
        <v>1</v>
      </c>
      <c r="AM22" s="51">
        <f t="shared" si="6"/>
        <v>7</v>
      </c>
      <c r="AN22" s="51">
        <f t="shared" si="7"/>
        <v>5</v>
      </c>
      <c r="AO22" s="51">
        <f t="shared" si="8"/>
        <v>6</v>
      </c>
      <c r="AP22" s="51">
        <f t="shared" si="9"/>
        <v>12</v>
      </c>
    </row>
    <row r="23" spans="2:42" ht="18.75" x14ac:dyDescent="0.25">
      <c r="B23" s="41" t="s">
        <v>248</v>
      </c>
      <c r="C23" s="148" t="s">
        <v>223</v>
      </c>
      <c r="D23" s="149"/>
      <c r="E23" s="99"/>
      <c r="F23" s="52" t="s">
        <v>231</v>
      </c>
      <c r="G23" s="52" t="s">
        <v>272</v>
      </c>
      <c r="H23" s="52" t="s">
        <v>271</v>
      </c>
      <c r="I23" s="52" t="s">
        <v>274</v>
      </c>
      <c r="J23" s="52" t="s">
        <v>274</v>
      </c>
      <c r="K23" s="52" t="s">
        <v>274</v>
      </c>
      <c r="L23" s="100" t="s">
        <v>230</v>
      </c>
      <c r="M23" s="100" t="s">
        <v>230</v>
      </c>
      <c r="N23" s="52" t="s">
        <v>272</v>
      </c>
      <c r="O23" s="52" t="s">
        <v>231</v>
      </c>
      <c r="P23" s="52" t="s">
        <v>271</v>
      </c>
      <c r="Q23" s="52" t="s">
        <v>274</v>
      </c>
      <c r="R23" s="52" t="s">
        <v>274</v>
      </c>
      <c r="S23" s="52" t="s">
        <v>274</v>
      </c>
      <c r="T23" s="100" t="s">
        <v>275</v>
      </c>
      <c r="U23" s="100" t="s">
        <v>275</v>
      </c>
      <c r="V23" s="100" t="s">
        <v>275</v>
      </c>
      <c r="W23" s="100" t="s">
        <v>275</v>
      </c>
      <c r="X23" s="100" t="s">
        <v>275</v>
      </c>
      <c r="Y23" s="100" t="s">
        <v>275</v>
      </c>
      <c r="Z23" s="100" t="s">
        <v>275</v>
      </c>
      <c r="AA23" s="100" t="s">
        <v>275</v>
      </c>
      <c r="AB23" s="100" t="s">
        <v>275</v>
      </c>
      <c r="AC23" s="100" t="s">
        <v>275</v>
      </c>
      <c r="AD23" s="100" t="s">
        <v>275</v>
      </c>
      <c r="AE23" s="100" t="s">
        <v>275</v>
      </c>
      <c r="AF23" s="100" t="s">
        <v>275</v>
      </c>
      <c r="AG23" s="100" t="s">
        <v>275</v>
      </c>
      <c r="AH23" s="100" t="s">
        <v>275</v>
      </c>
      <c r="AI23" s="100" t="s">
        <v>275</v>
      </c>
      <c r="AJ23" s="100" t="s">
        <v>275</v>
      </c>
      <c r="AL23" s="51">
        <f t="shared" si="5"/>
        <v>2</v>
      </c>
      <c r="AM23" s="51">
        <f t="shared" si="6"/>
        <v>2</v>
      </c>
      <c r="AN23" s="51">
        <f t="shared" si="7"/>
        <v>2</v>
      </c>
      <c r="AO23" s="51">
        <f t="shared" si="8"/>
        <v>2</v>
      </c>
      <c r="AP23" s="51">
        <f t="shared" si="9"/>
        <v>6</v>
      </c>
    </row>
    <row r="24" spans="2:42" ht="18.75" x14ac:dyDescent="0.25">
      <c r="B24" s="41" t="s">
        <v>248</v>
      </c>
      <c r="C24" s="148" t="s">
        <v>224</v>
      </c>
      <c r="D24" s="149"/>
      <c r="E24" s="99"/>
      <c r="F24" s="52" t="s">
        <v>273</v>
      </c>
      <c r="G24" s="52" t="s">
        <v>271</v>
      </c>
      <c r="H24" s="52" t="s">
        <v>274</v>
      </c>
      <c r="I24" s="52" t="s">
        <v>274</v>
      </c>
      <c r="J24" s="52" t="s">
        <v>274</v>
      </c>
      <c r="K24" s="100" t="s">
        <v>230</v>
      </c>
      <c r="L24" s="100" t="s">
        <v>231</v>
      </c>
      <c r="M24" s="52" t="s">
        <v>231</v>
      </c>
      <c r="N24" s="52" t="s">
        <v>272</v>
      </c>
      <c r="O24" s="52" t="s">
        <v>271</v>
      </c>
      <c r="P24" s="52" t="s">
        <v>274</v>
      </c>
      <c r="Q24" s="52" t="s">
        <v>274</v>
      </c>
      <c r="R24" s="52" t="s">
        <v>274</v>
      </c>
      <c r="S24" s="100" t="s">
        <v>230</v>
      </c>
      <c r="T24" s="100" t="s">
        <v>230</v>
      </c>
      <c r="U24" s="52" t="s">
        <v>230</v>
      </c>
      <c r="V24" s="52" t="s">
        <v>231</v>
      </c>
      <c r="W24" s="52" t="s">
        <v>271</v>
      </c>
      <c r="X24" s="52" t="s">
        <v>274</v>
      </c>
      <c r="Y24" s="52" t="s">
        <v>274</v>
      </c>
      <c r="Z24" s="52" t="s">
        <v>274</v>
      </c>
      <c r="AA24" s="57" t="s">
        <v>230</v>
      </c>
      <c r="AB24" s="100" t="s">
        <v>230</v>
      </c>
      <c r="AC24" s="52" t="s">
        <v>231</v>
      </c>
      <c r="AD24" s="52" t="s">
        <v>231</v>
      </c>
      <c r="AE24" s="52" t="s">
        <v>271</v>
      </c>
      <c r="AF24" s="52" t="s">
        <v>274</v>
      </c>
      <c r="AG24" s="52" t="s">
        <v>274</v>
      </c>
      <c r="AH24" s="52" t="s">
        <v>274</v>
      </c>
      <c r="AI24" s="100" t="s">
        <v>230</v>
      </c>
      <c r="AJ24" s="100" t="s">
        <v>230</v>
      </c>
      <c r="AL24" s="51">
        <f t="shared" si="5"/>
        <v>2</v>
      </c>
      <c r="AM24" s="51">
        <f t="shared" si="6"/>
        <v>8</v>
      </c>
      <c r="AN24" s="51">
        <f t="shared" si="7"/>
        <v>5</v>
      </c>
      <c r="AO24" s="51">
        <f t="shared" si="8"/>
        <v>4</v>
      </c>
      <c r="AP24" s="51">
        <f t="shared" si="9"/>
        <v>12</v>
      </c>
    </row>
    <row r="25" spans="2:42" ht="19.5" thickBot="1" x14ac:dyDescent="0.3">
      <c r="B25" s="41" t="s">
        <v>248</v>
      </c>
      <c r="C25" s="151" t="s">
        <v>225</v>
      </c>
      <c r="D25" s="152"/>
      <c r="E25" s="99"/>
      <c r="F25" s="65" t="s">
        <v>271</v>
      </c>
      <c r="G25" s="65" t="s">
        <v>274</v>
      </c>
      <c r="H25" s="65" t="s">
        <v>274</v>
      </c>
      <c r="I25" s="65" t="s">
        <v>274</v>
      </c>
      <c r="J25" s="65" t="s">
        <v>270</v>
      </c>
      <c r="K25" s="65" t="s">
        <v>231</v>
      </c>
      <c r="L25" s="65" t="s">
        <v>231</v>
      </c>
      <c r="M25" s="65" t="s">
        <v>273</v>
      </c>
      <c r="N25" s="65" t="s">
        <v>271</v>
      </c>
      <c r="O25" s="65" t="s">
        <v>274</v>
      </c>
      <c r="P25" s="65" t="s">
        <v>274</v>
      </c>
      <c r="Q25" s="65" t="s">
        <v>274</v>
      </c>
      <c r="R25" s="110" t="s">
        <v>230</v>
      </c>
      <c r="S25" s="65" t="s">
        <v>144</v>
      </c>
      <c r="T25" s="65" t="s">
        <v>231</v>
      </c>
      <c r="U25" s="65" t="s">
        <v>271</v>
      </c>
      <c r="V25" s="65" t="s">
        <v>271</v>
      </c>
      <c r="W25" s="65" t="s">
        <v>274</v>
      </c>
      <c r="X25" s="65" t="s">
        <v>274</v>
      </c>
      <c r="Y25" s="65" t="s">
        <v>274</v>
      </c>
      <c r="Z25" s="110" t="s">
        <v>230</v>
      </c>
      <c r="AA25" s="110" t="s">
        <v>231</v>
      </c>
      <c r="AB25" s="65" t="s">
        <v>272</v>
      </c>
      <c r="AC25" s="65" t="s">
        <v>271</v>
      </c>
      <c r="AD25" s="65" t="s">
        <v>271</v>
      </c>
      <c r="AE25" s="65" t="s">
        <v>274</v>
      </c>
      <c r="AF25" s="65" t="s">
        <v>274</v>
      </c>
      <c r="AG25" s="65" t="s">
        <v>274</v>
      </c>
      <c r="AH25" s="65" t="s">
        <v>230</v>
      </c>
      <c r="AI25" s="65" t="s">
        <v>272</v>
      </c>
      <c r="AJ25" s="65" t="s">
        <v>231</v>
      </c>
      <c r="AL25" s="51">
        <f t="shared" si="5"/>
        <v>4</v>
      </c>
      <c r="AM25" s="51">
        <f t="shared" si="6"/>
        <v>3</v>
      </c>
      <c r="AN25" s="51">
        <f t="shared" si="7"/>
        <v>5</v>
      </c>
      <c r="AO25" s="51">
        <f t="shared" si="8"/>
        <v>6</v>
      </c>
      <c r="AP25" s="51">
        <f t="shared" si="9"/>
        <v>12</v>
      </c>
    </row>
    <row r="26" spans="2:42" ht="18.75" x14ac:dyDescent="0.25">
      <c r="B26" s="37" t="s">
        <v>249</v>
      </c>
      <c r="C26" s="147" t="s">
        <v>146</v>
      </c>
      <c r="D26" s="147"/>
      <c r="E26" s="70"/>
      <c r="F26" s="44" t="s">
        <v>274</v>
      </c>
      <c r="G26" s="44" t="s">
        <v>275</v>
      </c>
      <c r="H26" s="44" t="s">
        <v>275</v>
      </c>
      <c r="I26" s="44" t="s">
        <v>275</v>
      </c>
      <c r="J26" s="44" t="s">
        <v>275</v>
      </c>
      <c r="K26" s="44" t="s">
        <v>275</v>
      </c>
      <c r="L26" s="44" t="s">
        <v>274</v>
      </c>
      <c r="M26" s="44" t="s">
        <v>274</v>
      </c>
      <c r="N26" s="44" t="s">
        <v>274</v>
      </c>
      <c r="O26" s="44" t="s">
        <v>230</v>
      </c>
      <c r="P26" s="44" t="s">
        <v>230</v>
      </c>
      <c r="Q26" s="44" t="s">
        <v>231</v>
      </c>
      <c r="R26" s="44" t="s">
        <v>231</v>
      </c>
      <c r="S26" s="44" t="s">
        <v>271</v>
      </c>
      <c r="T26" s="44" t="s">
        <v>274</v>
      </c>
      <c r="U26" s="44" t="s">
        <v>274</v>
      </c>
      <c r="V26" s="44" t="s">
        <v>274</v>
      </c>
      <c r="W26" s="44" t="s">
        <v>230</v>
      </c>
      <c r="X26" s="44" t="s">
        <v>231</v>
      </c>
      <c r="Y26" s="44" t="s">
        <v>231</v>
      </c>
      <c r="Z26" s="44" t="s">
        <v>271</v>
      </c>
      <c r="AA26" s="44" t="s">
        <v>271</v>
      </c>
      <c r="AB26" s="44" t="s">
        <v>274</v>
      </c>
      <c r="AC26" s="44" t="s">
        <v>274</v>
      </c>
      <c r="AD26" s="44" t="s">
        <v>274</v>
      </c>
      <c r="AE26" s="44" t="s">
        <v>275</v>
      </c>
      <c r="AF26" s="44" t="s">
        <v>275</v>
      </c>
      <c r="AG26" s="44" t="s">
        <v>275</v>
      </c>
      <c r="AH26" s="44" t="s">
        <v>275</v>
      </c>
      <c r="AI26" s="44" t="s">
        <v>275</v>
      </c>
      <c r="AJ26" s="44" t="s">
        <v>274</v>
      </c>
      <c r="AL26" s="51">
        <f t="shared" ref="AL26:AL61" si="10">COUNTIF($F26:$AJ26,"ST*")</f>
        <v>0</v>
      </c>
      <c r="AM26" s="51">
        <f t="shared" ref="AM26:AM61" si="11">COUNTIF($F26:$AJ26,"M*")</f>
        <v>3</v>
      </c>
      <c r="AN26" s="51">
        <f t="shared" ref="AN26:AN61" si="12">COUNTIF($F26:$AJ26,"A*")</f>
        <v>4</v>
      </c>
      <c r="AO26" s="51">
        <f t="shared" ref="AO26:AO61" si="13">COUNTIF($F26:$AJ26,"N*")</f>
        <v>3</v>
      </c>
      <c r="AP26" s="51">
        <f t="shared" ref="AP26:AP61" si="14">COUNTIF($F26:$AJ26,"O*")</f>
        <v>11</v>
      </c>
    </row>
    <row r="27" spans="2:42" ht="18.75" x14ac:dyDescent="0.25">
      <c r="B27" s="37" t="s">
        <v>249</v>
      </c>
      <c r="C27" s="147" t="s">
        <v>149</v>
      </c>
      <c r="D27" s="147"/>
      <c r="F27" s="52" t="s">
        <v>275</v>
      </c>
      <c r="G27" s="52" t="s">
        <v>275</v>
      </c>
      <c r="H27" s="52" t="s">
        <v>275</v>
      </c>
      <c r="I27" s="52" t="s">
        <v>275</v>
      </c>
      <c r="J27" s="52" t="s">
        <v>275</v>
      </c>
      <c r="K27" s="52" t="s">
        <v>275</v>
      </c>
      <c r="L27" s="52" t="s">
        <v>275</v>
      </c>
      <c r="M27" s="52" t="s">
        <v>275</v>
      </c>
      <c r="N27" s="52" t="s">
        <v>275</v>
      </c>
      <c r="O27" s="52" t="s">
        <v>275</v>
      </c>
      <c r="P27" s="52" t="s">
        <v>275</v>
      </c>
      <c r="Q27" s="52" t="s">
        <v>274</v>
      </c>
      <c r="R27" s="52" t="s">
        <v>274</v>
      </c>
      <c r="S27" s="52" t="s">
        <v>274</v>
      </c>
      <c r="T27" s="52" t="s">
        <v>230</v>
      </c>
      <c r="U27" s="52" t="s">
        <v>230</v>
      </c>
      <c r="V27" s="52" t="s">
        <v>231</v>
      </c>
      <c r="W27" s="52" t="s">
        <v>271</v>
      </c>
      <c r="X27" s="52" t="s">
        <v>271</v>
      </c>
      <c r="Y27" s="52" t="s">
        <v>274</v>
      </c>
      <c r="Z27" s="52" t="s">
        <v>274</v>
      </c>
      <c r="AA27" s="52" t="s">
        <v>274</v>
      </c>
      <c r="AB27" s="52" t="s">
        <v>230</v>
      </c>
      <c r="AC27" s="52" t="s">
        <v>230</v>
      </c>
      <c r="AD27" s="52" t="s">
        <v>231</v>
      </c>
      <c r="AE27" s="52" t="s">
        <v>271</v>
      </c>
      <c r="AF27" s="52" t="s">
        <v>271</v>
      </c>
      <c r="AG27" s="52" t="s">
        <v>274</v>
      </c>
      <c r="AH27" s="52" t="s">
        <v>274</v>
      </c>
      <c r="AI27" s="52" t="s">
        <v>274</v>
      </c>
      <c r="AJ27" s="52" t="s">
        <v>230</v>
      </c>
      <c r="AL27" s="51">
        <f t="shared" si="10"/>
        <v>0</v>
      </c>
      <c r="AM27" s="51">
        <f t="shared" si="11"/>
        <v>5</v>
      </c>
      <c r="AN27" s="51">
        <f t="shared" si="12"/>
        <v>2</v>
      </c>
      <c r="AO27" s="51">
        <f t="shared" si="13"/>
        <v>4</v>
      </c>
      <c r="AP27" s="51">
        <f t="shared" si="14"/>
        <v>9</v>
      </c>
    </row>
    <row r="28" spans="2:42" ht="18.75" x14ac:dyDescent="0.25">
      <c r="B28" s="37" t="s">
        <v>249</v>
      </c>
      <c r="C28" s="147" t="s">
        <v>150</v>
      </c>
      <c r="D28" s="147"/>
      <c r="F28" s="52" t="s">
        <v>231</v>
      </c>
      <c r="G28" s="52" t="s">
        <v>271</v>
      </c>
      <c r="H28" s="52" t="s">
        <v>274</v>
      </c>
      <c r="I28" s="52" t="s">
        <v>274</v>
      </c>
      <c r="J28" s="52" t="s">
        <v>274</v>
      </c>
      <c r="K28" s="52" t="s">
        <v>230</v>
      </c>
      <c r="L28" s="52" t="s">
        <v>231</v>
      </c>
      <c r="M28" s="52" t="s">
        <v>231</v>
      </c>
      <c r="N28" s="52" t="s">
        <v>271</v>
      </c>
      <c r="O28" s="52" t="s">
        <v>271</v>
      </c>
      <c r="P28" s="52" t="s">
        <v>274</v>
      </c>
      <c r="Q28" s="52" t="s">
        <v>274</v>
      </c>
      <c r="R28" s="52" t="s">
        <v>274</v>
      </c>
      <c r="S28" s="52" t="s">
        <v>230</v>
      </c>
      <c r="T28" s="52" t="s">
        <v>231</v>
      </c>
      <c r="U28" s="52" t="s">
        <v>231</v>
      </c>
      <c r="V28" s="52" t="s">
        <v>271</v>
      </c>
      <c r="W28" s="52" t="s">
        <v>271</v>
      </c>
      <c r="X28" s="52" t="s">
        <v>274</v>
      </c>
      <c r="Y28" s="52" t="s">
        <v>274</v>
      </c>
      <c r="Z28" s="52" t="s">
        <v>274</v>
      </c>
      <c r="AA28" s="52" t="s">
        <v>230</v>
      </c>
      <c r="AB28" s="52" t="s">
        <v>230</v>
      </c>
      <c r="AC28" s="52" t="s">
        <v>144</v>
      </c>
      <c r="AD28" s="52" t="s">
        <v>271</v>
      </c>
      <c r="AE28" s="52" t="s">
        <v>271</v>
      </c>
      <c r="AF28" s="52" t="s">
        <v>274</v>
      </c>
      <c r="AG28" s="52" t="s">
        <v>274</v>
      </c>
      <c r="AH28" s="52" t="s">
        <v>274</v>
      </c>
      <c r="AI28" s="52" t="s">
        <v>230</v>
      </c>
      <c r="AJ28" s="52" t="s">
        <v>231</v>
      </c>
      <c r="AL28" s="51">
        <f t="shared" si="10"/>
        <v>0</v>
      </c>
      <c r="AM28" s="51">
        <f t="shared" si="11"/>
        <v>5</v>
      </c>
      <c r="AN28" s="51">
        <f t="shared" si="12"/>
        <v>6</v>
      </c>
      <c r="AO28" s="51">
        <f t="shared" si="13"/>
        <v>7</v>
      </c>
      <c r="AP28" s="51">
        <f t="shared" si="14"/>
        <v>12</v>
      </c>
    </row>
    <row r="29" spans="2:42" ht="18.75" x14ac:dyDescent="0.25">
      <c r="B29" s="37" t="s">
        <v>249</v>
      </c>
      <c r="C29" s="147" t="s">
        <v>151</v>
      </c>
      <c r="D29" s="147"/>
      <c r="F29" s="52" t="s">
        <v>271</v>
      </c>
      <c r="G29" s="52" t="s">
        <v>274</v>
      </c>
      <c r="H29" s="52" t="s">
        <v>274</v>
      </c>
      <c r="I29" s="52" t="s">
        <v>274</v>
      </c>
      <c r="J29" s="52" t="s">
        <v>230</v>
      </c>
      <c r="K29" s="52" t="s">
        <v>230</v>
      </c>
      <c r="L29" s="52" t="s">
        <v>231</v>
      </c>
      <c r="M29" s="52" t="s">
        <v>231</v>
      </c>
      <c r="N29" s="52" t="s">
        <v>271</v>
      </c>
      <c r="O29" s="52" t="s">
        <v>274</v>
      </c>
      <c r="P29" s="52" t="s">
        <v>274</v>
      </c>
      <c r="Q29" s="52" t="s">
        <v>274</v>
      </c>
      <c r="R29" s="57" t="s">
        <v>275</v>
      </c>
      <c r="S29" s="57" t="s">
        <v>275</v>
      </c>
      <c r="T29" s="57" t="s">
        <v>275</v>
      </c>
      <c r="U29" s="57" t="s">
        <v>275</v>
      </c>
      <c r="V29" s="57" t="s">
        <v>275</v>
      </c>
      <c r="W29" s="57" t="s">
        <v>275</v>
      </c>
      <c r="X29" s="57" t="s">
        <v>274</v>
      </c>
      <c r="Y29" s="57" t="s">
        <v>274</v>
      </c>
      <c r="Z29" s="52" t="s">
        <v>230</v>
      </c>
      <c r="AA29" s="52" t="s">
        <v>230</v>
      </c>
      <c r="AB29" s="52" t="s">
        <v>231</v>
      </c>
      <c r="AC29" s="52" t="s">
        <v>271</v>
      </c>
      <c r="AD29" s="52" t="s">
        <v>271</v>
      </c>
      <c r="AE29" s="52" t="s">
        <v>274</v>
      </c>
      <c r="AF29" s="52" t="s">
        <v>274</v>
      </c>
      <c r="AG29" s="52" t="s">
        <v>274</v>
      </c>
      <c r="AH29" s="52" t="s">
        <v>230</v>
      </c>
      <c r="AI29" s="52" t="s">
        <v>230</v>
      </c>
      <c r="AJ29" s="52" t="s">
        <v>231</v>
      </c>
      <c r="AL29" s="51">
        <f t="shared" si="10"/>
        <v>0</v>
      </c>
      <c r="AM29" s="51">
        <f t="shared" si="11"/>
        <v>6</v>
      </c>
      <c r="AN29" s="51">
        <f t="shared" si="12"/>
        <v>4</v>
      </c>
      <c r="AO29" s="51">
        <f t="shared" si="13"/>
        <v>4</v>
      </c>
      <c r="AP29" s="51">
        <f t="shared" si="14"/>
        <v>11</v>
      </c>
    </row>
    <row r="30" spans="2:42" ht="18.75" x14ac:dyDescent="0.25">
      <c r="B30" s="37" t="s">
        <v>249</v>
      </c>
      <c r="C30" s="147" t="s">
        <v>152</v>
      </c>
      <c r="D30" s="147"/>
      <c r="F30" s="52" t="s">
        <v>274</v>
      </c>
      <c r="G30" s="52" t="s">
        <v>274</v>
      </c>
      <c r="H30" s="52" t="s">
        <v>274</v>
      </c>
      <c r="I30" s="52" t="s">
        <v>230</v>
      </c>
      <c r="J30" s="52" t="s">
        <v>231</v>
      </c>
      <c r="K30" s="52" t="s">
        <v>231</v>
      </c>
      <c r="L30" s="52" t="s">
        <v>271</v>
      </c>
      <c r="M30" s="52" t="s">
        <v>271</v>
      </c>
      <c r="N30" s="52" t="s">
        <v>274</v>
      </c>
      <c r="O30" s="52" t="s">
        <v>274</v>
      </c>
      <c r="P30" s="52" t="s">
        <v>274</v>
      </c>
      <c r="Q30" s="52" t="s">
        <v>230</v>
      </c>
      <c r="R30" s="52" t="s">
        <v>230</v>
      </c>
      <c r="S30" s="52" t="s">
        <v>231</v>
      </c>
      <c r="T30" s="52" t="s">
        <v>271</v>
      </c>
      <c r="U30" s="52" t="s">
        <v>271</v>
      </c>
      <c r="V30" s="52" t="s">
        <v>274</v>
      </c>
      <c r="W30" s="52" t="s">
        <v>274</v>
      </c>
      <c r="X30" s="52" t="s">
        <v>274</v>
      </c>
      <c r="Y30" s="52" t="s">
        <v>230</v>
      </c>
      <c r="Z30" s="52" t="s">
        <v>230</v>
      </c>
      <c r="AA30" s="52" t="s">
        <v>231</v>
      </c>
      <c r="AB30" s="52" t="s">
        <v>271</v>
      </c>
      <c r="AC30" s="52" t="s">
        <v>271</v>
      </c>
      <c r="AD30" s="52" t="s">
        <v>274</v>
      </c>
      <c r="AE30" s="52" t="s">
        <v>274</v>
      </c>
      <c r="AF30" s="52" t="s">
        <v>274</v>
      </c>
      <c r="AG30" s="52" t="s">
        <v>230</v>
      </c>
      <c r="AH30" s="52" t="s">
        <v>231</v>
      </c>
      <c r="AI30" s="52" t="s">
        <v>271</v>
      </c>
      <c r="AJ30" s="52" t="s">
        <v>271</v>
      </c>
      <c r="AL30" s="51">
        <f t="shared" si="10"/>
        <v>0</v>
      </c>
      <c r="AM30" s="51">
        <f t="shared" si="11"/>
        <v>6</v>
      </c>
      <c r="AN30" s="51">
        <f t="shared" si="12"/>
        <v>5</v>
      </c>
      <c r="AO30" s="51">
        <f t="shared" si="13"/>
        <v>8</v>
      </c>
      <c r="AP30" s="51">
        <f t="shared" si="14"/>
        <v>12</v>
      </c>
    </row>
    <row r="31" spans="2:42" ht="18.75" x14ac:dyDescent="0.25">
      <c r="B31" s="37" t="s">
        <v>249</v>
      </c>
      <c r="C31" s="147" t="s">
        <v>153</v>
      </c>
      <c r="D31" s="147"/>
      <c r="F31" s="52" t="s">
        <v>274</v>
      </c>
      <c r="G31" s="52" t="s">
        <v>274</v>
      </c>
      <c r="H31" s="52" t="s">
        <v>144</v>
      </c>
      <c r="I31" s="52" t="s">
        <v>144</v>
      </c>
      <c r="J31" s="52" t="s">
        <v>231</v>
      </c>
      <c r="K31" s="52" t="s">
        <v>271</v>
      </c>
      <c r="L31" s="52" t="s">
        <v>271</v>
      </c>
      <c r="M31" s="52" t="s">
        <v>274</v>
      </c>
      <c r="N31" s="52" t="s">
        <v>274</v>
      </c>
      <c r="O31" s="52" t="s">
        <v>274</v>
      </c>
      <c r="P31" s="52" t="s">
        <v>230</v>
      </c>
      <c r="Q31" s="52" t="s">
        <v>231</v>
      </c>
      <c r="R31" s="52" t="s">
        <v>231</v>
      </c>
      <c r="S31" s="52" t="s">
        <v>271</v>
      </c>
      <c r="T31" s="52" t="s">
        <v>271</v>
      </c>
      <c r="U31" s="52" t="s">
        <v>274</v>
      </c>
      <c r="V31" s="52" t="s">
        <v>274</v>
      </c>
      <c r="W31" s="52" t="s">
        <v>274</v>
      </c>
      <c r="X31" s="52" t="s">
        <v>230</v>
      </c>
      <c r="Y31" s="52" t="s">
        <v>231</v>
      </c>
      <c r="Z31" s="52" t="s">
        <v>231</v>
      </c>
      <c r="AA31" s="52" t="s">
        <v>271</v>
      </c>
      <c r="AB31" s="52" t="s">
        <v>271</v>
      </c>
      <c r="AC31" s="52" t="s">
        <v>274</v>
      </c>
      <c r="AD31" s="52" t="s">
        <v>274</v>
      </c>
      <c r="AE31" s="52" t="s">
        <v>274</v>
      </c>
      <c r="AF31" s="52" t="s">
        <v>275</v>
      </c>
      <c r="AG31" s="52" t="s">
        <v>275</v>
      </c>
      <c r="AH31" s="52" t="s">
        <v>275</v>
      </c>
      <c r="AI31" s="52" t="s">
        <v>275</v>
      </c>
      <c r="AJ31" s="52" t="s">
        <v>275</v>
      </c>
      <c r="AL31" s="51">
        <f t="shared" si="10"/>
        <v>0</v>
      </c>
      <c r="AM31" s="51">
        <f t="shared" si="11"/>
        <v>2</v>
      </c>
      <c r="AN31" s="51">
        <f t="shared" si="12"/>
        <v>5</v>
      </c>
      <c r="AO31" s="51">
        <f t="shared" si="13"/>
        <v>6</v>
      </c>
      <c r="AP31" s="51">
        <f t="shared" si="14"/>
        <v>11</v>
      </c>
    </row>
    <row r="32" spans="2:42" ht="18.75" x14ac:dyDescent="0.25">
      <c r="B32" s="37" t="s">
        <v>249</v>
      </c>
      <c r="C32" s="147" t="s">
        <v>154</v>
      </c>
      <c r="D32" s="147"/>
      <c r="F32" s="52" t="s">
        <v>274</v>
      </c>
      <c r="G32" s="52" t="s">
        <v>230</v>
      </c>
      <c r="H32" s="52" t="s">
        <v>231</v>
      </c>
      <c r="I32" s="52" t="s">
        <v>231</v>
      </c>
      <c r="J32" s="52" t="s">
        <v>271</v>
      </c>
      <c r="K32" s="52" t="s">
        <v>271</v>
      </c>
      <c r="L32" s="52" t="s">
        <v>274</v>
      </c>
      <c r="M32" s="52" t="s">
        <v>274</v>
      </c>
      <c r="N32" s="52" t="s">
        <v>274</v>
      </c>
      <c r="O32" s="52" t="s">
        <v>230</v>
      </c>
      <c r="P32" s="52" t="s">
        <v>270</v>
      </c>
      <c r="Q32" s="52" t="s">
        <v>231</v>
      </c>
      <c r="R32" s="52" t="s">
        <v>231</v>
      </c>
      <c r="S32" s="52" t="s">
        <v>271</v>
      </c>
      <c r="T32" s="52" t="s">
        <v>274</v>
      </c>
      <c r="U32" s="52" t="s">
        <v>274</v>
      </c>
      <c r="V32" s="52" t="s">
        <v>274</v>
      </c>
      <c r="W32" s="130" t="s">
        <v>275</v>
      </c>
      <c r="X32" s="130" t="s">
        <v>275</v>
      </c>
      <c r="Y32" s="130" t="s">
        <v>275</v>
      </c>
      <c r="Z32" s="130" t="s">
        <v>275</v>
      </c>
      <c r="AA32" s="130" t="s">
        <v>275</v>
      </c>
      <c r="AB32" s="130" t="s">
        <v>275</v>
      </c>
      <c r="AC32" s="130" t="s">
        <v>275</v>
      </c>
      <c r="AD32" s="130" t="s">
        <v>275</v>
      </c>
      <c r="AE32" s="130" t="s">
        <v>275</v>
      </c>
      <c r="AF32" s="130" t="s">
        <v>275</v>
      </c>
      <c r="AG32" s="130" t="s">
        <v>275</v>
      </c>
      <c r="AH32" s="130" t="s">
        <v>275</v>
      </c>
      <c r="AI32" s="130" t="s">
        <v>275</v>
      </c>
      <c r="AJ32" s="52" t="s">
        <v>274</v>
      </c>
      <c r="AL32" s="51">
        <f t="shared" si="10"/>
        <v>1</v>
      </c>
      <c r="AM32" s="51">
        <f t="shared" si="11"/>
        <v>2</v>
      </c>
      <c r="AN32" s="51">
        <f t="shared" si="12"/>
        <v>4</v>
      </c>
      <c r="AO32" s="51">
        <f t="shared" si="13"/>
        <v>3</v>
      </c>
      <c r="AP32" s="51">
        <f t="shared" si="14"/>
        <v>8</v>
      </c>
    </row>
    <row r="33" spans="2:42" ht="18.75" x14ac:dyDescent="0.25">
      <c r="B33" s="37" t="s">
        <v>249</v>
      </c>
      <c r="C33" s="147" t="s">
        <v>155</v>
      </c>
      <c r="D33" s="147"/>
      <c r="F33" s="52" t="s">
        <v>230</v>
      </c>
      <c r="G33" s="52" t="s">
        <v>231</v>
      </c>
      <c r="H33" s="52" t="s">
        <v>231</v>
      </c>
      <c r="I33" s="52" t="s">
        <v>271</v>
      </c>
      <c r="J33" s="52" t="s">
        <v>271</v>
      </c>
      <c r="K33" s="52" t="s">
        <v>274</v>
      </c>
      <c r="L33" s="52" t="s">
        <v>274</v>
      </c>
      <c r="M33" s="52" t="s">
        <v>274</v>
      </c>
      <c r="N33" s="52" t="s">
        <v>230</v>
      </c>
      <c r="O33" s="52" t="s">
        <v>231</v>
      </c>
      <c r="P33" s="52" t="s">
        <v>231</v>
      </c>
      <c r="Q33" s="52" t="s">
        <v>271</v>
      </c>
      <c r="R33" s="52" t="s">
        <v>271</v>
      </c>
      <c r="S33" s="52" t="s">
        <v>274</v>
      </c>
      <c r="T33" s="52" t="s">
        <v>274</v>
      </c>
      <c r="U33" s="52" t="s">
        <v>274</v>
      </c>
      <c r="V33" s="105" t="s">
        <v>230</v>
      </c>
      <c r="W33" s="106" t="s">
        <v>230</v>
      </c>
      <c r="X33" s="106" t="s">
        <v>231</v>
      </c>
      <c r="Y33" s="106" t="s">
        <v>271</v>
      </c>
      <c r="Z33" s="106" t="s">
        <v>271</v>
      </c>
      <c r="AA33" s="57" t="s">
        <v>274</v>
      </c>
      <c r="AB33" s="57" t="s">
        <v>274</v>
      </c>
      <c r="AC33" s="58" t="s">
        <v>274</v>
      </c>
      <c r="AD33" s="52" t="s">
        <v>230</v>
      </c>
      <c r="AE33" s="52" t="s">
        <v>230</v>
      </c>
      <c r="AF33" s="52" t="s">
        <v>231</v>
      </c>
      <c r="AG33" s="52" t="s">
        <v>231</v>
      </c>
      <c r="AH33" s="52" t="s">
        <v>271</v>
      </c>
      <c r="AI33" s="52" t="s">
        <v>274</v>
      </c>
      <c r="AJ33" s="52" t="s">
        <v>274</v>
      </c>
      <c r="AL33" s="51">
        <f t="shared" si="10"/>
        <v>0</v>
      </c>
      <c r="AM33" s="51">
        <f t="shared" si="11"/>
        <v>6</v>
      </c>
      <c r="AN33" s="51">
        <f t="shared" si="12"/>
        <v>7</v>
      </c>
      <c r="AO33" s="51">
        <f t="shared" si="13"/>
        <v>7</v>
      </c>
      <c r="AP33" s="51">
        <f t="shared" si="14"/>
        <v>11</v>
      </c>
    </row>
    <row r="34" spans="2:42" ht="18.75" x14ac:dyDescent="0.25">
      <c r="B34" s="37" t="s">
        <v>249</v>
      </c>
      <c r="C34" s="147" t="s">
        <v>156</v>
      </c>
      <c r="D34" s="147"/>
      <c r="F34" s="52" t="s">
        <v>230</v>
      </c>
      <c r="G34" s="52" t="s">
        <v>231</v>
      </c>
      <c r="H34" s="52" t="s">
        <v>271</v>
      </c>
      <c r="I34" s="52" t="s">
        <v>271</v>
      </c>
      <c r="J34" s="52" t="s">
        <v>274</v>
      </c>
      <c r="K34" s="52" t="s">
        <v>274</v>
      </c>
      <c r="L34" s="52" t="s">
        <v>274</v>
      </c>
      <c r="M34" s="52" t="s">
        <v>230</v>
      </c>
      <c r="N34" s="52" t="s">
        <v>231</v>
      </c>
      <c r="O34" s="52" t="s">
        <v>231</v>
      </c>
      <c r="P34" s="52" t="s">
        <v>271</v>
      </c>
      <c r="Q34" s="52" t="s">
        <v>271</v>
      </c>
      <c r="R34" s="52" t="s">
        <v>274</v>
      </c>
      <c r="S34" s="52" t="s">
        <v>274</v>
      </c>
      <c r="T34" s="52" t="s">
        <v>274</v>
      </c>
      <c r="U34" s="105" t="s">
        <v>230</v>
      </c>
      <c r="V34" s="106" t="s">
        <v>144</v>
      </c>
      <c r="W34" s="106" t="s">
        <v>231</v>
      </c>
      <c r="X34" s="106" t="s">
        <v>271</v>
      </c>
      <c r="Y34" s="106" t="s">
        <v>271</v>
      </c>
      <c r="Z34" s="57" t="s">
        <v>274</v>
      </c>
      <c r="AA34" s="57" t="s">
        <v>274</v>
      </c>
      <c r="AB34" s="57" t="s">
        <v>274</v>
      </c>
      <c r="AC34" s="52" t="s">
        <v>230</v>
      </c>
      <c r="AD34" s="52" t="s">
        <v>231</v>
      </c>
      <c r="AE34" s="52" t="s">
        <v>231</v>
      </c>
      <c r="AF34" s="52" t="s">
        <v>231</v>
      </c>
      <c r="AG34" s="52" t="s">
        <v>271</v>
      </c>
      <c r="AH34" s="52" t="s">
        <v>274</v>
      </c>
      <c r="AI34" s="52" t="s">
        <v>274</v>
      </c>
      <c r="AJ34" s="52" t="s">
        <v>274</v>
      </c>
      <c r="AL34" s="51">
        <f t="shared" si="10"/>
        <v>0</v>
      </c>
      <c r="AM34" s="51">
        <f t="shared" si="11"/>
        <v>4</v>
      </c>
      <c r="AN34" s="51">
        <f t="shared" si="12"/>
        <v>7</v>
      </c>
      <c r="AO34" s="51">
        <f t="shared" si="13"/>
        <v>7</v>
      </c>
      <c r="AP34" s="51">
        <f t="shared" si="14"/>
        <v>12</v>
      </c>
    </row>
    <row r="35" spans="2:42" ht="18.75" x14ac:dyDescent="0.25">
      <c r="B35" s="37" t="s">
        <v>249</v>
      </c>
      <c r="C35" s="147" t="s">
        <v>157</v>
      </c>
      <c r="D35" s="147"/>
      <c r="F35" s="52" t="s">
        <v>231</v>
      </c>
      <c r="G35" s="52" t="s">
        <v>271</v>
      </c>
      <c r="H35" s="52" t="s">
        <v>271</v>
      </c>
      <c r="I35" s="52" t="s">
        <v>274</v>
      </c>
      <c r="J35" s="52" t="s">
        <v>274</v>
      </c>
      <c r="K35" s="52" t="s">
        <v>274</v>
      </c>
      <c r="L35" s="52" t="s">
        <v>230</v>
      </c>
      <c r="M35" s="52" t="s">
        <v>230</v>
      </c>
      <c r="N35" s="52" t="s">
        <v>231</v>
      </c>
      <c r="O35" s="52" t="s">
        <v>271</v>
      </c>
      <c r="P35" s="52" t="s">
        <v>271</v>
      </c>
      <c r="Q35" s="52" t="s">
        <v>274</v>
      </c>
      <c r="R35" s="52" t="s">
        <v>274</v>
      </c>
      <c r="S35" s="52" t="s">
        <v>274</v>
      </c>
      <c r="T35" s="105" t="s">
        <v>275</v>
      </c>
      <c r="U35" s="106" t="s">
        <v>275</v>
      </c>
      <c r="V35" s="106" t="s">
        <v>275</v>
      </c>
      <c r="W35" s="106" t="s">
        <v>275</v>
      </c>
      <c r="X35" s="106" t="s">
        <v>275</v>
      </c>
      <c r="Y35" s="52" t="s">
        <v>275</v>
      </c>
      <c r="Z35" s="52" t="s">
        <v>275</v>
      </c>
      <c r="AA35" s="52" t="s">
        <v>275</v>
      </c>
      <c r="AB35" s="52" t="s">
        <v>275</v>
      </c>
      <c r="AC35" s="52" t="s">
        <v>275</v>
      </c>
      <c r="AD35" s="52" t="s">
        <v>275</v>
      </c>
      <c r="AE35" s="52" t="s">
        <v>275</v>
      </c>
      <c r="AF35" s="52" t="s">
        <v>275</v>
      </c>
      <c r="AG35" s="52" t="s">
        <v>275</v>
      </c>
      <c r="AH35" s="52" t="s">
        <v>274</v>
      </c>
      <c r="AI35" s="52" t="s">
        <v>274</v>
      </c>
      <c r="AJ35" s="52" t="s">
        <v>230</v>
      </c>
      <c r="AL35" s="51">
        <f t="shared" si="10"/>
        <v>0</v>
      </c>
      <c r="AM35" s="51">
        <f t="shared" si="11"/>
        <v>3</v>
      </c>
      <c r="AN35" s="51">
        <f t="shared" si="12"/>
        <v>2</v>
      </c>
      <c r="AO35" s="51">
        <f t="shared" si="13"/>
        <v>4</v>
      </c>
      <c r="AP35" s="51">
        <f t="shared" si="14"/>
        <v>8</v>
      </c>
    </row>
    <row r="36" spans="2:42" ht="18.75" x14ac:dyDescent="0.25">
      <c r="B36" s="37" t="s">
        <v>249</v>
      </c>
      <c r="C36" s="147" t="s">
        <v>158</v>
      </c>
      <c r="D36" s="147"/>
      <c r="F36" s="52" t="s">
        <v>231</v>
      </c>
      <c r="G36" s="52" t="s">
        <v>271</v>
      </c>
      <c r="H36" s="52" t="s">
        <v>274</v>
      </c>
      <c r="I36" s="52" t="s">
        <v>274</v>
      </c>
      <c r="J36" s="52" t="s">
        <v>274</v>
      </c>
      <c r="K36" s="52" t="s">
        <v>230</v>
      </c>
      <c r="L36" s="52" t="s">
        <v>231</v>
      </c>
      <c r="M36" s="52" t="s">
        <v>231</v>
      </c>
      <c r="N36" s="52" t="s">
        <v>144</v>
      </c>
      <c r="O36" s="52" t="s">
        <v>271</v>
      </c>
      <c r="P36" s="52" t="s">
        <v>274</v>
      </c>
      <c r="Q36" s="52" t="s">
        <v>274</v>
      </c>
      <c r="R36" s="52" t="s">
        <v>274</v>
      </c>
      <c r="S36" s="52" t="s">
        <v>230</v>
      </c>
      <c r="T36" s="52" t="s">
        <v>231</v>
      </c>
      <c r="U36" s="52" t="s">
        <v>231</v>
      </c>
      <c r="V36" s="52" t="s">
        <v>231</v>
      </c>
      <c r="W36" s="52" t="s">
        <v>271</v>
      </c>
      <c r="X36" s="52" t="s">
        <v>274</v>
      </c>
      <c r="Y36" s="52" t="s">
        <v>274</v>
      </c>
      <c r="Z36" s="52" t="s">
        <v>274</v>
      </c>
      <c r="AA36" s="52" t="s">
        <v>144</v>
      </c>
      <c r="AB36" s="52" t="s">
        <v>231</v>
      </c>
      <c r="AC36" s="131" t="s">
        <v>231</v>
      </c>
      <c r="AD36" s="52" t="s">
        <v>231</v>
      </c>
      <c r="AE36" s="52" t="s">
        <v>271</v>
      </c>
      <c r="AF36" s="52" t="s">
        <v>274</v>
      </c>
      <c r="AG36" s="52" t="s">
        <v>274</v>
      </c>
      <c r="AH36" s="52" t="s">
        <v>274</v>
      </c>
      <c r="AI36" s="52" t="s">
        <v>230</v>
      </c>
      <c r="AJ36" s="52" t="s">
        <v>231</v>
      </c>
      <c r="AL36" s="51">
        <f t="shared" si="10"/>
        <v>0</v>
      </c>
      <c r="AM36" s="51">
        <f t="shared" si="11"/>
        <v>3</v>
      </c>
      <c r="AN36" s="51">
        <f t="shared" si="12"/>
        <v>10</v>
      </c>
      <c r="AO36" s="51">
        <f t="shared" si="13"/>
        <v>4</v>
      </c>
      <c r="AP36" s="51">
        <f t="shared" si="14"/>
        <v>12</v>
      </c>
    </row>
    <row r="37" spans="2:42" ht="18.75" x14ac:dyDescent="0.25">
      <c r="B37" s="37" t="s">
        <v>249</v>
      </c>
      <c r="C37" s="147" t="s">
        <v>166</v>
      </c>
      <c r="D37" s="147"/>
      <c r="F37" s="52" t="s">
        <v>271</v>
      </c>
      <c r="G37" s="52" t="s">
        <v>274</v>
      </c>
      <c r="H37" s="52" t="s">
        <v>274</v>
      </c>
      <c r="I37" s="52" t="s">
        <v>274</v>
      </c>
      <c r="J37" s="52" t="s">
        <v>230</v>
      </c>
      <c r="K37" s="52" t="s">
        <v>231</v>
      </c>
      <c r="L37" s="52" t="s">
        <v>231</v>
      </c>
      <c r="M37" s="52" t="s">
        <v>271</v>
      </c>
      <c r="N37" s="52" t="s">
        <v>271</v>
      </c>
      <c r="O37" s="52" t="s">
        <v>274</v>
      </c>
      <c r="P37" s="52" t="s">
        <v>274</v>
      </c>
      <c r="Q37" s="52" t="s">
        <v>274</v>
      </c>
      <c r="R37" s="52" t="s">
        <v>230</v>
      </c>
      <c r="S37" s="52" t="s">
        <v>231</v>
      </c>
      <c r="T37" s="52" t="s">
        <v>231</v>
      </c>
      <c r="U37" s="52" t="s">
        <v>271</v>
      </c>
      <c r="V37" s="52" t="s">
        <v>271</v>
      </c>
      <c r="W37" s="52" t="s">
        <v>274</v>
      </c>
      <c r="X37" s="52" t="s">
        <v>274</v>
      </c>
      <c r="Y37" s="52" t="s">
        <v>274</v>
      </c>
      <c r="Z37" s="52" t="s">
        <v>230</v>
      </c>
      <c r="AA37" s="52" t="s">
        <v>231</v>
      </c>
      <c r="AB37" s="52" t="s">
        <v>231</v>
      </c>
      <c r="AC37" s="52" t="s">
        <v>271</v>
      </c>
      <c r="AD37" s="52" t="s">
        <v>271</v>
      </c>
      <c r="AE37" s="52" t="s">
        <v>274</v>
      </c>
      <c r="AF37" s="52" t="s">
        <v>274</v>
      </c>
      <c r="AG37" s="52" t="s">
        <v>274</v>
      </c>
      <c r="AH37" s="52" t="s">
        <v>230</v>
      </c>
      <c r="AI37" s="52" t="s">
        <v>231</v>
      </c>
      <c r="AJ37" s="52" t="s">
        <v>231</v>
      </c>
      <c r="AL37" s="51">
        <f t="shared" si="10"/>
        <v>0</v>
      </c>
      <c r="AM37" s="51">
        <f t="shared" si="11"/>
        <v>4</v>
      </c>
      <c r="AN37" s="51">
        <f t="shared" si="12"/>
        <v>8</v>
      </c>
      <c r="AO37" s="51">
        <f t="shared" si="13"/>
        <v>7</v>
      </c>
      <c r="AP37" s="51">
        <f t="shared" si="14"/>
        <v>12</v>
      </c>
    </row>
    <row r="38" spans="2:42" ht="18.75" x14ac:dyDescent="0.25">
      <c r="B38" s="37" t="s">
        <v>249</v>
      </c>
      <c r="C38" s="147" t="s">
        <v>159</v>
      </c>
      <c r="D38" s="147"/>
      <c r="F38" s="52" t="s">
        <v>274</v>
      </c>
      <c r="G38" s="52" t="s">
        <v>274</v>
      </c>
      <c r="H38" s="52" t="s">
        <v>274</v>
      </c>
      <c r="I38" s="52" t="s">
        <v>230</v>
      </c>
      <c r="J38" s="52" t="s">
        <v>230</v>
      </c>
      <c r="K38" s="52" t="s">
        <v>231</v>
      </c>
      <c r="L38" s="52" t="s">
        <v>271</v>
      </c>
      <c r="M38" s="52" t="s">
        <v>271</v>
      </c>
      <c r="N38" s="52" t="s">
        <v>274</v>
      </c>
      <c r="O38" s="52" t="s">
        <v>274</v>
      </c>
      <c r="P38" s="52" t="s">
        <v>274</v>
      </c>
      <c r="Q38" s="52" t="s">
        <v>230</v>
      </c>
      <c r="R38" s="52" t="s">
        <v>230</v>
      </c>
      <c r="S38" s="52" t="s">
        <v>231</v>
      </c>
      <c r="T38" s="52" t="s">
        <v>231</v>
      </c>
      <c r="U38" s="52" t="s">
        <v>271</v>
      </c>
      <c r="V38" s="52" t="s">
        <v>274</v>
      </c>
      <c r="W38" s="52" t="s">
        <v>274</v>
      </c>
      <c r="X38" s="52" t="s">
        <v>274</v>
      </c>
      <c r="Y38" s="52" t="s">
        <v>230</v>
      </c>
      <c r="Z38" s="52" t="s">
        <v>230</v>
      </c>
      <c r="AA38" s="52" t="s">
        <v>230</v>
      </c>
      <c r="AB38" s="52" t="s">
        <v>271</v>
      </c>
      <c r="AC38" s="52" t="s">
        <v>271</v>
      </c>
      <c r="AD38" s="52" t="s">
        <v>274</v>
      </c>
      <c r="AE38" s="52" t="s">
        <v>274</v>
      </c>
      <c r="AF38" s="52" t="s">
        <v>274</v>
      </c>
      <c r="AG38" s="52" t="s">
        <v>230</v>
      </c>
      <c r="AH38" s="52" t="s">
        <v>230</v>
      </c>
      <c r="AI38" s="52" t="s">
        <v>231</v>
      </c>
      <c r="AJ38" s="52" t="s">
        <v>271</v>
      </c>
      <c r="AL38" s="51">
        <f t="shared" si="10"/>
        <v>0</v>
      </c>
      <c r="AM38" s="51">
        <f t="shared" si="11"/>
        <v>9</v>
      </c>
      <c r="AN38" s="51">
        <f t="shared" si="12"/>
        <v>4</v>
      </c>
      <c r="AO38" s="51">
        <f t="shared" si="13"/>
        <v>6</v>
      </c>
      <c r="AP38" s="51">
        <f t="shared" si="14"/>
        <v>12</v>
      </c>
    </row>
    <row r="39" spans="2:42" ht="18.75" x14ac:dyDescent="0.25">
      <c r="B39" s="37" t="s">
        <v>249</v>
      </c>
      <c r="C39" s="147" t="s">
        <v>160</v>
      </c>
      <c r="D39" s="147"/>
      <c r="F39" s="52" t="s">
        <v>274</v>
      </c>
      <c r="G39" s="52" t="s">
        <v>274</v>
      </c>
      <c r="H39" s="52" t="s">
        <v>230</v>
      </c>
      <c r="I39" s="52" t="s">
        <v>231</v>
      </c>
      <c r="J39" s="52" t="s">
        <v>231</v>
      </c>
      <c r="K39" s="52" t="s">
        <v>271</v>
      </c>
      <c r="L39" s="52" t="s">
        <v>271</v>
      </c>
      <c r="M39" s="52" t="s">
        <v>274</v>
      </c>
      <c r="N39" s="52" t="s">
        <v>274</v>
      </c>
      <c r="O39" s="52" t="s">
        <v>274</v>
      </c>
      <c r="P39" s="52" t="s">
        <v>230</v>
      </c>
      <c r="Q39" s="52" t="s">
        <v>230</v>
      </c>
      <c r="R39" s="52" t="s">
        <v>231</v>
      </c>
      <c r="S39" s="52" t="s">
        <v>231</v>
      </c>
      <c r="T39" s="52" t="s">
        <v>271</v>
      </c>
      <c r="U39" s="52" t="s">
        <v>274</v>
      </c>
      <c r="V39" s="52" t="s">
        <v>274</v>
      </c>
      <c r="W39" s="52" t="s">
        <v>274</v>
      </c>
      <c r="X39" s="52" t="s">
        <v>230</v>
      </c>
      <c r="Y39" s="52" t="s">
        <v>230</v>
      </c>
      <c r="Z39" s="52" t="s">
        <v>231</v>
      </c>
      <c r="AA39" s="52" t="s">
        <v>231</v>
      </c>
      <c r="AB39" s="52" t="s">
        <v>271</v>
      </c>
      <c r="AC39" s="52" t="s">
        <v>274</v>
      </c>
      <c r="AD39" s="52" t="s">
        <v>274</v>
      </c>
      <c r="AE39" s="52" t="s">
        <v>274</v>
      </c>
      <c r="AF39" s="52" t="s">
        <v>230</v>
      </c>
      <c r="AG39" s="52" t="s">
        <v>230</v>
      </c>
      <c r="AH39" s="52" t="s">
        <v>231</v>
      </c>
      <c r="AI39" s="52" t="s">
        <v>231</v>
      </c>
      <c r="AJ39" s="52" t="s">
        <v>144</v>
      </c>
      <c r="AL39" s="51">
        <f t="shared" si="10"/>
        <v>0</v>
      </c>
      <c r="AM39" s="51">
        <f t="shared" si="11"/>
        <v>7</v>
      </c>
      <c r="AN39" s="51">
        <f t="shared" si="12"/>
        <v>8</v>
      </c>
      <c r="AO39" s="51">
        <f t="shared" si="13"/>
        <v>4</v>
      </c>
      <c r="AP39" s="51">
        <f t="shared" si="14"/>
        <v>11</v>
      </c>
    </row>
    <row r="40" spans="2:42" ht="18.75" x14ac:dyDescent="0.25">
      <c r="B40" s="37" t="s">
        <v>249</v>
      </c>
      <c r="C40" s="147" t="s">
        <v>161</v>
      </c>
      <c r="D40" s="147"/>
      <c r="F40" s="52" t="s">
        <v>274</v>
      </c>
      <c r="G40" s="52" t="s">
        <v>230</v>
      </c>
      <c r="H40" s="52" t="s">
        <v>230</v>
      </c>
      <c r="I40" s="52" t="s">
        <v>231</v>
      </c>
      <c r="J40" s="52" t="s">
        <v>231</v>
      </c>
      <c r="K40" s="52" t="s">
        <v>271</v>
      </c>
      <c r="L40" s="52" t="s">
        <v>274</v>
      </c>
      <c r="M40" s="52" t="s">
        <v>274</v>
      </c>
      <c r="N40" s="52" t="s">
        <v>274</v>
      </c>
      <c r="O40" s="52" t="s">
        <v>275</v>
      </c>
      <c r="P40" s="52" t="s">
        <v>275</v>
      </c>
      <c r="Q40" s="52" t="s">
        <v>275</v>
      </c>
      <c r="R40" s="52" t="s">
        <v>275</v>
      </c>
      <c r="S40" s="52" t="s">
        <v>275</v>
      </c>
      <c r="T40" s="52" t="s">
        <v>275</v>
      </c>
      <c r="U40" s="52" t="s">
        <v>274</v>
      </c>
      <c r="V40" s="52" t="s">
        <v>274</v>
      </c>
      <c r="W40" s="52" t="s">
        <v>230</v>
      </c>
      <c r="X40" s="52" t="s">
        <v>230</v>
      </c>
      <c r="Y40" s="52" t="s">
        <v>231</v>
      </c>
      <c r="Z40" s="52" t="s">
        <v>231</v>
      </c>
      <c r="AA40" s="52" t="s">
        <v>271</v>
      </c>
      <c r="AB40" s="52" t="s">
        <v>274</v>
      </c>
      <c r="AC40" s="52" t="s">
        <v>274</v>
      </c>
      <c r="AD40" s="52" t="s">
        <v>274</v>
      </c>
      <c r="AE40" s="52" t="s">
        <v>230</v>
      </c>
      <c r="AF40" s="52" t="s">
        <v>230</v>
      </c>
      <c r="AG40" s="52" t="s">
        <v>231</v>
      </c>
      <c r="AH40" s="52" t="s">
        <v>271</v>
      </c>
      <c r="AI40" s="52" t="s">
        <v>271</v>
      </c>
      <c r="AJ40" s="52" t="s">
        <v>274</v>
      </c>
      <c r="AL40" s="51">
        <f t="shared" si="10"/>
        <v>0</v>
      </c>
      <c r="AM40" s="51">
        <f t="shared" si="11"/>
        <v>6</v>
      </c>
      <c r="AN40" s="51">
        <f t="shared" si="12"/>
        <v>5</v>
      </c>
      <c r="AO40" s="51">
        <f t="shared" si="13"/>
        <v>4</v>
      </c>
      <c r="AP40" s="51">
        <f t="shared" si="14"/>
        <v>10</v>
      </c>
    </row>
    <row r="41" spans="2:42" ht="18.75" x14ac:dyDescent="0.25">
      <c r="B41" s="37" t="s">
        <v>249</v>
      </c>
      <c r="C41" s="147" t="s">
        <v>162</v>
      </c>
      <c r="D41" s="147"/>
      <c r="F41" s="105" t="s">
        <v>230</v>
      </c>
      <c r="G41" s="106" t="s">
        <v>275</v>
      </c>
      <c r="H41" s="106" t="s">
        <v>275</v>
      </c>
      <c r="I41" s="106" t="s">
        <v>271</v>
      </c>
      <c r="J41" s="106" t="s">
        <v>271</v>
      </c>
      <c r="K41" s="105" t="s">
        <v>274</v>
      </c>
      <c r="L41" s="106" t="s">
        <v>274</v>
      </c>
      <c r="M41" s="106" t="s">
        <v>274</v>
      </c>
      <c r="N41" s="52" t="s">
        <v>230</v>
      </c>
      <c r="O41" s="52" t="s">
        <v>230</v>
      </c>
      <c r="P41" s="52" t="s">
        <v>231</v>
      </c>
      <c r="Q41" s="52" t="s">
        <v>271</v>
      </c>
      <c r="R41" s="52" t="s">
        <v>271</v>
      </c>
      <c r="S41" s="52" t="s">
        <v>274</v>
      </c>
      <c r="T41" s="52" t="s">
        <v>274</v>
      </c>
      <c r="U41" s="52" t="s">
        <v>274</v>
      </c>
      <c r="V41" s="52" t="s">
        <v>230</v>
      </c>
      <c r="W41" s="52" t="s">
        <v>231</v>
      </c>
      <c r="X41" s="52" t="s">
        <v>231</v>
      </c>
      <c r="Y41" s="52" t="s">
        <v>271</v>
      </c>
      <c r="Z41" s="52" t="s">
        <v>271</v>
      </c>
      <c r="AA41" s="52" t="s">
        <v>274</v>
      </c>
      <c r="AB41" s="52" t="s">
        <v>274</v>
      </c>
      <c r="AC41" s="52" t="s">
        <v>274</v>
      </c>
      <c r="AD41" s="105" t="s">
        <v>230</v>
      </c>
      <c r="AE41" s="106" t="s">
        <v>231</v>
      </c>
      <c r="AF41" s="106" t="s">
        <v>231</v>
      </c>
      <c r="AG41" s="106" t="s">
        <v>271</v>
      </c>
      <c r="AH41" s="106" t="s">
        <v>271</v>
      </c>
      <c r="AI41" s="105" t="s">
        <v>274</v>
      </c>
      <c r="AJ41" s="106" t="s">
        <v>274</v>
      </c>
      <c r="AL41" s="51">
        <f t="shared" si="10"/>
        <v>0</v>
      </c>
      <c r="AM41" s="51">
        <f t="shared" si="11"/>
        <v>5</v>
      </c>
      <c r="AN41" s="51">
        <f t="shared" si="12"/>
        <v>5</v>
      </c>
      <c r="AO41" s="51">
        <f t="shared" si="13"/>
        <v>8</v>
      </c>
      <c r="AP41" s="51">
        <f t="shared" si="14"/>
        <v>11</v>
      </c>
    </row>
    <row r="42" spans="2:42" ht="18.75" x14ac:dyDescent="0.25">
      <c r="B42" s="37" t="s">
        <v>249</v>
      </c>
      <c r="C42" s="147" t="s">
        <v>163</v>
      </c>
      <c r="D42" s="147"/>
      <c r="F42" s="52" t="s">
        <v>275</v>
      </c>
      <c r="G42" s="52" t="s">
        <v>275</v>
      </c>
      <c r="H42" s="52" t="s">
        <v>275</v>
      </c>
      <c r="I42" s="52" t="s">
        <v>275</v>
      </c>
      <c r="J42" s="52" t="s">
        <v>275</v>
      </c>
      <c r="K42" s="52" t="s">
        <v>275</v>
      </c>
      <c r="L42" s="52" t="s">
        <v>275</v>
      </c>
      <c r="M42" s="52" t="s">
        <v>275</v>
      </c>
      <c r="N42" s="52" t="s">
        <v>275</v>
      </c>
      <c r="O42" s="52" t="s">
        <v>275</v>
      </c>
      <c r="P42" s="52" t="s">
        <v>275</v>
      </c>
      <c r="Q42" s="52" t="s">
        <v>275</v>
      </c>
      <c r="R42" s="52" t="s">
        <v>275</v>
      </c>
      <c r="S42" s="52" t="s">
        <v>274</v>
      </c>
      <c r="T42" s="52" t="s">
        <v>274</v>
      </c>
      <c r="U42" s="52" t="s">
        <v>230</v>
      </c>
      <c r="V42" s="52" t="s">
        <v>231</v>
      </c>
      <c r="W42" s="52" t="s">
        <v>231</v>
      </c>
      <c r="X42" s="52" t="s">
        <v>271</v>
      </c>
      <c r="Y42" s="52" t="s">
        <v>271</v>
      </c>
      <c r="Z42" s="52" t="s">
        <v>274</v>
      </c>
      <c r="AA42" s="52" t="s">
        <v>274</v>
      </c>
      <c r="AB42" s="52" t="s">
        <v>274</v>
      </c>
      <c r="AC42" s="58" t="s">
        <v>144</v>
      </c>
      <c r="AD42" s="52" t="s">
        <v>231</v>
      </c>
      <c r="AE42" s="52" t="s">
        <v>231</v>
      </c>
      <c r="AF42" s="52" t="s">
        <v>271</v>
      </c>
      <c r="AG42" s="52" t="s">
        <v>271</v>
      </c>
      <c r="AH42" s="52" t="s">
        <v>274</v>
      </c>
      <c r="AI42" s="52" t="s">
        <v>274</v>
      </c>
      <c r="AJ42" s="52" t="s">
        <v>274</v>
      </c>
      <c r="AL42" s="51">
        <f t="shared" si="10"/>
        <v>0</v>
      </c>
      <c r="AM42" s="51">
        <f t="shared" si="11"/>
        <v>1</v>
      </c>
      <c r="AN42" s="51">
        <f t="shared" si="12"/>
        <v>4</v>
      </c>
      <c r="AO42" s="51">
        <f t="shared" si="13"/>
        <v>4</v>
      </c>
      <c r="AP42" s="51">
        <f t="shared" si="14"/>
        <v>8</v>
      </c>
    </row>
    <row r="43" spans="2:42" ht="18.75" x14ac:dyDescent="0.25">
      <c r="B43" s="37" t="s">
        <v>249</v>
      </c>
      <c r="C43" s="147" t="s">
        <v>164</v>
      </c>
      <c r="D43" s="147"/>
      <c r="F43" s="52" t="s">
        <v>271</v>
      </c>
      <c r="G43" s="52" t="s">
        <v>271</v>
      </c>
      <c r="H43" s="52" t="s">
        <v>274</v>
      </c>
      <c r="I43" s="52" t="s">
        <v>274</v>
      </c>
      <c r="J43" s="52" t="s">
        <v>274</v>
      </c>
      <c r="K43" s="52" t="s">
        <v>230</v>
      </c>
      <c r="L43" s="52" t="s">
        <v>230</v>
      </c>
      <c r="M43" s="52" t="s">
        <v>231</v>
      </c>
      <c r="N43" s="52" t="s">
        <v>231</v>
      </c>
      <c r="O43" s="52" t="s">
        <v>271</v>
      </c>
      <c r="P43" s="52" t="s">
        <v>274</v>
      </c>
      <c r="Q43" s="52" t="s">
        <v>274</v>
      </c>
      <c r="R43" s="52" t="s">
        <v>274</v>
      </c>
      <c r="S43" s="52" t="s">
        <v>230</v>
      </c>
      <c r="T43" s="52" t="s">
        <v>231</v>
      </c>
      <c r="U43" s="52" t="s">
        <v>271</v>
      </c>
      <c r="V43" s="52" t="s">
        <v>271</v>
      </c>
      <c r="W43" s="52" t="s">
        <v>271</v>
      </c>
      <c r="X43" s="52" t="s">
        <v>274</v>
      </c>
      <c r="Y43" s="52" t="s">
        <v>274</v>
      </c>
      <c r="Z43" s="52" t="s">
        <v>274</v>
      </c>
      <c r="AA43" s="52" t="s">
        <v>230</v>
      </c>
      <c r="AB43" s="52" t="s">
        <v>231</v>
      </c>
      <c r="AC43" s="52" t="s">
        <v>231</v>
      </c>
      <c r="AD43" s="52" t="s">
        <v>271</v>
      </c>
      <c r="AE43" s="52" t="s">
        <v>271</v>
      </c>
      <c r="AF43" s="52" t="s">
        <v>274</v>
      </c>
      <c r="AG43" s="52" t="s">
        <v>274</v>
      </c>
      <c r="AH43" s="52" t="s">
        <v>274</v>
      </c>
      <c r="AI43" s="52" t="s">
        <v>275</v>
      </c>
      <c r="AJ43" s="52" t="s">
        <v>275</v>
      </c>
      <c r="AL43" s="51">
        <f t="shared" si="10"/>
        <v>0</v>
      </c>
      <c r="AM43" s="51">
        <f t="shared" si="11"/>
        <v>4</v>
      </c>
      <c r="AN43" s="51">
        <f t="shared" si="12"/>
        <v>5</v>
      </c>
      <c r="AO43" s="51">
        <f t="shared" si="13"/>
        <v>8</v>
      </c>
      <c r="AP43" s="51">
        <f t="shared" si="14"/>
        <v>12</v>
      </c>
    </row>
    <row r="44" spans="2:42" ht="18.75" x14ac:dyDescent="0.25">
      <c r="B44" s="37" t="s">
        <v>249</v>
      </c>
      <c r="C44" s="147" t="s">
        <v>165</v>
      </c>
      <c r="D44" s="147"/>
      <c r="F44" s="52" t="s">
        <v>271</v>
      </c>
      <c r="G44" s="52" t="s">
        <v>274</v>
      </c>
      <c r="H44" s="52" t="s">
        <v>274</v>
      </c>
      <c r="I44" s="52" t="s">
        <v>274</v>
      </c>
      <c r="J44" s="52" t="s">
        <v>230</v>
      </c>
      <c r="K44" s="52" t="s">
        <v>231</v>
      </c>
      <c r="L44" s="52" t="s">
        <v>231</v>
      </c>
      <c r="M44" s="52" t="s">
        <v>271</v>
      </c>
      <c r="N44" s="52" t="s">
        <v>271</v>
      </c>
      <c r="O44" s="52" t="s">
        <v>274</v>
      </c>
      <c r="P44" s="52" t="s">
        <v>274</v>
      </c>
      <c r="Q44" s="52" t="s">
        <v>274</v>
      </c>
      <c r="R44" s="52" t="s">
        <v>275</v>
      </c>
      <c r="S44" s="52" t="s">
        <v>275</v>
      </c>
      <c r="T44" s="52" t="s">
        <v>275</v>
      </c>
      <c r="U44" s="52" t="s">
        <v>275</v>
      </c>
      <c r="V44" s="52" t="s">
        <v>275</v>
      </c>
      <c r="W44" s="52" t="s">
        <v>275</v>
      </c>
      <c r="X44" s="52" t="s">
        <v>275</v>
      </c>
      <c r="Y44" s="52" t="s">
        <v>275</v>
      </c>
      <c r="Z44" s="52" t="s">
        <v>275</v>
      </c>
      <c r="AA44" s="52" t="s">
        <v>275</v>
      </c>
      <c r="AB44" s="52" t="s">
        <v>275</v>
      </c>
      <c r="AC44" s="52" t="s">
        <v>275</v>
      </c>
      <c r="AD44" s="52" t="s">
        <v>275</v>
      </c>
      <c r="AE44" s="52" t="s">
        <v>275</v>
      </c>
      <c r="AF44" s="52" t="s">
        <v>275</v>
      </c>
      <c r="AG44" s="52" t="s">
        <v>275</v>
      </c>
      <c r="AH44" s="52" t="s">
        <v>275</v>
      </c>
      <c r="AI44" s="52" t="s">
        <v>275</v>
      </c>
      <c r="AJ44" s="52" t="s">
        <v>275</v>
      </c>
      <c r="AL44" s="51">
        <f t="shared" si="10"/>
        <v>0</v>
      </c>
      <c r="AM44" s="51">
        <f t="shared" si="11"/>
        <v>1</v>
      </c>
      <c r="AN44" s="51">
        <f t="shared" si="12"/>
        <v>2</v>
      </c>
      <c r="AO44" s="51">
        <f t="shared" si="13"/>
        <v>3</v>
      </c>
      <c r="AP44" s="51">
        <f t="shared" si="14"/>
        <v>6</v>
      </c>
    </row>
    <row r="45" spans="2:42" ht="18.75" x14ac:dyDescent="0.25">
      <c r="B45" s="37" t="s">
        <v>249</v>
      </c>
      <c r="C45" s="147" t="s">
        <v>167</v>
      </c>
      <c r="D45" s="147"/>
      <c r="F45" s="106" t="s">
        <v>274</v>
      </c>
      <c r="G45" s="106" t="s">
        <v>274</v>
      </c>
      <c r="H45" s="106" t="s">
        <v>230</v>
      </c>
      <c r="I45" s="106" t="s">
        <v>230</v>
      </c>
      <c r="J45" s="105" t="s">
        <v>231</v>
      </c>
      <c r="K45" s="106" t="s">
        <v>271</v>
      </c>
      <c r="L45" s="106" t="s">
        <v>271</v>
      </c>
      <c r="M45" s="106" t="s">
        <v>274</v>
      </c>
      <c r="N45" s="106" t="s">
        <v>274</v>
      </c>
      <c r="O45" s="105" t="s">
        <v>274</v>
      </c>
      <c r="P45" s="106" t="s">
        <v>230</v>
      </c>
      <c r="Q45" s="106" t="s">
        <v>231</v>
      </c>
      <c r="R45" s="106" t="s">
        <v>231</v>
      </c>
      <c r="S45" s="106" t="s">
        <v>271</v>
      </c>
      <c r="T45" s="105" t="s">
        <v>271</v>
      </c>
      <c r="U45" s="106" t="s">
        <v>274</v>
      </c>
      <c r="V45" s="106" t="s">
        <v>274</v>
      </c>
      <c r="W45" s="106" t="s">
        <v>274</v>
      </c>
      <c r="X45" s="106" t="s">
        <v>230</v>
      </c>
      <c r="Y45" s="105" t="s">
        <v>231</v>
      </c>
      <c r="Z45" s="106" t="s">
        <v>231</v>
      </c>
      <c r="AA45" s="106" t="s">
        <v>271</v>
      </c>
      <c r="AB45" s="106" t="s">
        <v>271</v>
      </c>
      <c r="AC45" s="106" t="s">
        <v>274</v>
      </c>
      <c r="AD45" s="106" t="s">
        <v>274</v>
      </c>
      <c r="AE45" s="106" t="s">
        <v>274</v>
      </c>
      <c r="AF45" s="106" t="s">
        <v>230</v>
      </c>
      <c r="AG45" s="106" t="s">
        <v>231</v>
      </c>
      <c r="AH45" s="105" t="s">
        <v>231</v>
      </c>
      <c r="AI45" s="106" t="s">
        <v>271</v>
      </c>
      <c r="AJ45" s="106" t="s">
        <v>271</v>
      </c>
      <c r="AL45" s="51">
        <f t="shared" si="10"/>
        <v>0</v>
      </c>
      <c r="AM45" s="51">
        <f t="shared" si="11"/>
        <v>5</v>
      </c>
      <c r="AN45" s="51">
        <f t="shared" si="12"/>
        <v>7</v>
      </c>
      <c r="AO45" s="51">
        <f t="shared" si="13"/>
        <v>8</v>
      </c>
      <c r="AP45" s="51">
        <f t="shared" si="14"/>
        <v>11</v>
      </c>
    </row>
    <row r="46" spans="2:42" ht="18.75" x14ac:dyDescent="0.25">
      <c r="B46" s="37" t="s">
        <v>249</v>
      </c>
      <c r="C46" s="147" t="s">
        <v>168</v>
      </c>
      <c r="D46" s="147"/>
      <c r="F46" s="52" t="s">
        <v>274</v>
      </c>
      <c r="G46" s="105" t="s">
        <v>230</v>
      </c>
      <c r="H46" s="106" t="s">
        <v>231</v>
      </c>
      <c r="I46" s="106" t="s">
        <v>231</v>
      </c>
      <c r="J46" s="106" t="s">
        <v>271</v>
      </c>
      <c r="K46" s="106" t="s">
        <v>271</v>
      </c>
      <c r="L46" s="105" t="s">
        <v>274</v>
      </c>
      <c r="M46" s="106" t="s">
        <v>274</v>
      </c>
      <c r="N46" s="106" t="s">
        <v>274</v>
      </c>
      <c r="O46" s="106" t="s">
        <v>230</v>
      </c>
      <c r="P46" s="106" t="s">
        <v>231</v>
      </c>
      <c r="Q46" s="57" t="s">
        <v>231</v>
      </c>
      <c r="R46" s="57" t="s">
        <v>271</v>
      </c>
      <c r="S46" s="57" t="s">
        <v>271</v>
      </c>
      <c r="T46" s="57" t="s">
        <v>274</v>
      </c>
      <c r="U46" s="52" t="s">
        <v>274</v>
      </c>
      <c r="V46" s="52" t="s">
        <v>274</v>
      </c>
      <c r="W46" s="52" t="s">
        <v>270</v>
      </c>
      <c r="X46" s="52" t="s">
        <v>231</v>
      </c>
      <c r="Y46" s="52" t="s">
        <v>231</v>
      </c>
      <c r="Z46" s="52" t="s">
        <v>271</v>
      </c>
      <c r="AA46" s="52" t="s">
        <v>271</v>
      </c>
      <c r="AB46" s="52" t="s">
        <v>274</v>
      </c>
      <c r="AC46" s="52" t="s">
        <v>274</v>
      </c>
      <c r="AD46" s="52" t="s">
        <v>274</v>
      </c>
      <c r="AE46" s="105" t="s">
        <v>230</v>
      </c>
      <c r="AF46" s="106" t="s">
        <v>231</v>
      </c>
      <c r="AG46" s="106" t="s">
        <v>231</v>
      </c>
      <c r="AH46" s="106" t="s">
        <v>271</v>
      </c>
      <c r="AI46" s="106" t="s">
        <v>271</v>
      </c>
      <c r="AJ46" s="105" t="s">
        <v>274</v>
      </c>
      <c r="AL46" s="51">
        <f t="shared" si="10"/>
        <v>1</v>
      </c>
      <c r="AM46" s="51">
        <f t="shared" si="11"/>
        <v>3</v>
      </c>
      <c r="AN46" s="51">
        <f t="shared" si="12"/>
        <v>8</v>
      </c>
      <c r="AO46" s="51">
        <f t="shared" si="13"/>
        <v>8</v>
      </c>
      <c r="AP46" s="51">
        <f t="shared" si="14"/>
        <v>11</v>
      </c>
    </row>
    <row r="47" spans="2:42" ht="18.75" x14ac:dyDescent="0.25">
      <c r="B47" s="37" t="s">
        <v>249</v>
      </c>
      <c r="C47" s="147" t="s">
        <v>169</v>
      </c>
      <c r="D47" s="147"/>
      <c r="F47" s="52" t="s">
        <v>230</v>
      </c>
      <c r="G47" s="52" t="s">
        <v>231</v>
      </c>
      <c r="H47" s="52" t="s">
        <v>231</v>
      </c>
      <c r="I47" s="52" t="s">
        <v>271</v>
      </c>
      <c r="J47" s="52" t="s">
        <v>271</v>
      </c>
      <c r="K47" s="52" t="s">
        <v>274</v>
      </c>
      <c r="L47" s="52" t="s">
        <v>274</v>
      </c>
      <c r="M47" s="52" t="s">
        <v>274</v>
      </c>
      <c r="N47" s="52" t="s">
        <v>230</v>
      </c>
      <c r="O47" s="52" t="s">
        <v>231</v>
      </c>
      <c r="P47" s="52" t="s">
        <v>231</v>
      </c>
      <c r="Q47" s="52" t="s">
        <v>271</v>
      </c>
      <c r="R47" s="52" t="s">
        <v>271</v>
      </c>
      <c r="S47" s="52" t="s">
        <v>274</v>
      </c>
      <c r="T47" s="52" t="s">
        <v>274</v>
      </c>
      <c r="U47" s="52" t="s">
        <v>274</v>
      </c>
      <c r="V47" s="52" t="s">
        <v>230</v>
      </c>
      <c r="W47" s="52" t="s">
        <v>230</v>
      </c>
      <c r="X47" s="52" t="s">
        <v>231</v>
      </c>
      <c r="Y47" s="52" t="s">
        <v>273</v>
      </c>
      <c r="Z47" s="52" t="s">
        <v>271</v>
      </c>
      <c r="AA47" s="52" t="s">
        <v>274</v>
      </c>
      <c r="AB47" s="52" t="s">
        <v>274</v>
      </c>
      <c r="AC47" s="52" t="s">
        <v>274</v>
      </c>
      <c r="AD47" s="52" t="s">
        <v>230</v>
      </c>
      <c r="AE47" s="52" t="s">
        <v>231</v>
      </c>
      <c r="AF47" s="52" t="s">
        <v>231</v>
      </c>
      <c r="AG47" s="52" t="s">
        <v>271</v>
      </c>
      <c r="AH47" s="52" t="s">
        <v>271</v>
      </c>
      <c r="AI47" s="52" t="s">
        <v>274</v>
      </c>
      <c r="AJ47" s="52" t="s">
        <v>274</v>
      </c>
      <c r="AL47" s="51">
        <f t="shared" si="10"/>
        <v>1</v>
      </c>
      <c r="AM47" s="51">
        <f t="shared" si="11"/>
        <v>5</v>
      </c>
      <c r="AN47" s="51">
        <f t="shared" si="12"/>
        <v>7</v>
      </c>
      <c r="AO47" s="51">
        <f t="shared" si="13"/>
        <v>7</v>
      </c>
      <c r="AP47" s="51">
        <f t="shared" si="14"/>
        <v>11</v>
      </c>
    </row>
    <row r="48" spans="2:42" ht="18.75" x14ac:dyDescent="0.25">
      <c r="B48" s="37" t="s">
        <v>249</v>
      </c>
      <c r="C48" s="147" t="s">
        <v>148</v>
      </c>
      <c r="D48" s="147"/>
      <c r="F48" s="106" t="s">
        <v>231</v>
      </c>
      <c r="G48" s="106" t="s">
        <v>231</v>
      </c>
      <c r="H48" s="106" t="s">
        <v>271</v>
      </c>
      <c r="I48" s="106" t="s">
        <v>271</v>
      </c>
      <c r="J48" s="52" t="s">
        <v>274</v>
      </c>
      <c r="K48" s="52" t="s">
        <v>274</v>
      </c>
      <c r="L48" s="52" t="s">
        <v>274</v>
      </c>
      <c r="M48" s="52" t="s">
        <v>230</v>
      </c>
      <c r="N48" s="52" t="s">
        <v>231</v>
      </c>
      <c r="O48" s="52" t="s">
        <v>231</v>
      </c>
      <c r="P48" s="52" t="s">
        <v>271</v>
      </c>
      <c r="Q48" s="52" t="s">
        <v>271</v>
      </c>
      <c r="R48" s="52" t="s">
        <v>274</v>
      </c>
      <c r="S48" s="52" t="s">
        <v>274</v>
      </c>
      <c r="T48" s="52" t="s">
        <v>274</v>
      </c>
      <c r="U48" s="52" t="s">
        <v>230</v>
      </c>
      <c r="V48" s="52" t="s">
        <v>231</v>
      </c>
      <c r="W48" s="52" t="s">
        <v>231</v>
      </c>
      <c r="X48" s="52" t="s">
        <v>271</v>
      </c>
      <c r="Y48" s="52" t="s">
        <v>271</v>
      </c>
      <c r="Z48" s="52" t="s">
        <v>274</v>
      </c>
      <c r="AA48" s="52" t="s">
        <v>274</v>
      </c>
      <c r="AB48" s="52" t="s">
        <v>274</v>
      </c>
      <c r="AC48" s="52" t="s">
        <v>230</v>
      </c>
      <c r="AD48" s="106" t="s">
        <v>231</v>
      </c>
      <c r="AE48" s="106" t="s">
        <v>231</v>
      </c>
      <c r="AF48" s="106" t="s">
        <v>271</v>
      </c>
      <c r="AG48" s="106" t="s">
        <v>271</v>
      </c>
      <c r="AH48" s="52" t="s">
        <v>274</v>
      </c>
      <c r="AI48" s="52" t="s">
        <v>274</v>
      </c>
      <c r="AJ48" s="52" t="s">
        <v>274</v>
      </c>
      <c r="AL48" s="51">
        <f t="shared" si="10"/>
        <v>0</v>
      </c>
      <c r="AM48" s="51">
        <f t="shared" si="11"/>
        <v>3</v>
      </c>
      <c r="AN48" s="51">
        <f t="shared" si="12"/>
        <v>8</v>
      </c>
      <c r="AO48" s="51">
        <f t="shared" si="13"/>
        <v>8</v>
      </c>
      <c r="AP48" s="51">
        <f t="shared" si="14"/>
        <v>12</v>
      </c>
    </row>
    <row r="49" spans="2:42" ht="18.75" x14ac:dyDescent="0.25">
      <c r="B49" s="37" t="s">
        <v>249</v>
      </c>
      <c r="C49" s="147" t="s">
        <v>171</v>
      </c>
      <c r="D49" s="147"/>
      <c r="F49" s="52" t="s">
        <v>231</v>
      </c>
      <c r="G49" s="52" t="s">
        <v>271</v>
      </c>
      <c r="H49" s="52" t="s">
        <v>271</v>
      </c>
      <c r="I49" s="52" t="s">
        <v>274</v>
      </c>
      <c r="J49" s="52" t="s">
        <v>274</v>
      </c>
      <c r="K49" s="52" t="s">
        <v>274</v>
      </c>
      <c r="L49" s="52" t="s">
        <v>230</v>
      </c>
      <c r="M49" s="52" t="s">
        <v>231</v>
      </c>
      <c r="N49" s="52" t="s">
        <v>231</v>
      </c>
      <c r="O49" s="52" t="s">
        <v>144</v>
      </c>
      <c r="P49" s="52" t="s">
        <v>271</v>
      </c>
      <c r="Q49" s="52" t="s">
        <v>274</v>
      </c>
      <c r="R49" s="52" t="s">
        <v>274</v>
      </c>
      <c r="S49" s="52" t="s">
        <v>274</v>
      </c>
      <c r="T49" s="52" t="s">
        <v>275</v>
      </c>
      <c r="U49" s="52" t="s">
        <v>275</v>
      </c>
      <c r="V49" s="52" t="s">
        <v>275</v>
      </c>
      <c r="W49" s="52" t="s">
        <v>275</v>
      </c>
      <c r="X49" s="52" t="s">
        <v>275</v>
      </c>
      <c r="Y49" s="52" t="s">
        <v>274</v>
      </c>
      <c r="Z49" s="52" t="s">
        <v>274</v>
      </c>
      <c r="AA49" s="52" t="s">
        <v>274</v>
      </c>
      <c r="AB49" s="52" t="s">
        <v>230</v>
      </c>
      <c r="AC49" s="52" t="s">
        <v>231</v>
      </c>
      <c r="AD49" s="52" t="s">
        <v>231</v>
      </c>
      <c r="AE49" s="52" t="s">
        <v>231</v>
      </c>
      <c r="AF49" s="52" t="s">
        <v>271</v>
      </c>
      <c r="AG49" s="52" t="s">
        <v>274</v>
      </c>
      <c r="AH49" s="52" t="s">
        <v>274</v>
      </c>
      <c r="AI49" s="52" t="s">
        <v>274</v>
      </c>
      <c r="AJ49" s="52" t="s">
        <v>230</v>
      </c>
      <c r="AL49" s="51">
        <f t="shared" si="10"/>
        <v>0</v>
      </c>
      <c r="AM49" s="51">
        <f t="shared" si="11"/>
        <v>3</v>
      </c>
      <c r="AN49" s="51">
        <f t="shared" si="12"/>
        <v>6</v>
      </c>
      <c r="AO49" s="51">
        <f t="shared" si="13"/>
        <v>4</v>
      </c>
      <c r="AP49" s="51">
        <f t="shared" si="14"/>
        <v>12</v>
      </c>
    </row>
    <row r="50" spans="2:42" ht="18.75" x14ac:dyDescent="0.25">
      <c r="B50" s="37" t="s">
        <v>249</v>
      </c>
      <c r="C50" s="147" t="s">
        <v>172</v>
      </c>
      <c r="D50" s="147"/>
      <c r="F50" s="52" t="s">
        <v>271</v>
      </c>
      <c r="G50" s="52" t="s">
        <v>271</v>
      </c>
      <c r="H50" s="52" t="s">
        <v>274</v>
      </c>
      <c r="I50" s="52" t="s">
        <v>274</v>
      </c>
      <c r="J50" s="52" t="s">
        <v>274</v>
      </c>
      <c r="K50" s="52" t="s">
        <v>275</v>
      </c>
      <c r="L50" s="52" t="s">
        <v>275</v>
      </c>
      <c r="M50" s="52" t="s">
        <v>275</v>
      </c>
      <c r="N50" s="52" t="s">
        <v>275</v>
      </c>
      <c r="O50" s="52" t="s">
        <v>275</v>
      </c>
      <c r="P50" s="52" t="s">
        <v>274</v>
      </c>
      <c r="Q50" s="52" t="s">
        <v>274</v>
      </c>
      <c r="R50" s="52" t="s">
        <v>274</v>
      </c>
      <c r="S50" s="52" t="s">
        <v>230</v>
      </c>
      <c r="T50" s="52" t="s">
        <v>230</v>
      </c>
      <c r="U50" s="52" t="s">
        <v>231</v>
      </c>
      <c r="V50" s="52" t="s">
        <v>271</v>
      </c>
      <c r="W50" s="52" t="s">
        <v>271</v>
      </c>
      <c r="X50" s="52" t="s">
        <v>274</v>
      </c>
      <c r="Y50" s="52" t="s">
        <v>274</v>
      </c>
      <c r="Z50" s="52" t="s">
        <v>274</v>
      </c>
      <c r="AA50" s="52" t="s">
        <v>230</v>
      </c>
      <c r="AB50" s="52" t="s">
        <v>230</v>
      </c>
      <c r="AC50" s="52" t="s">
        <v>231</v>
      </c>
      <c r="AD50" s="52" t="s">
        <v>271</v>
      </c>
      <c r="AE50" s="52" t="s">
        <v>271</v>
      </c>
      <c r="AF50" s="52" t="s">
        <v>274</v>
      </c>
      <c r="AG50" s="52" t="s">
        <v>274</v>
      </c>
      <c r="AH50" s="52" t="s">
        <v>274</v>
      </c>
      <c r="AI50" s="52" t="s">
        <v>230</v>
      </c>
      <c r="AJ50" s="52" t="s">
        <v>231</v>
      </c>
      <c r="AL50" s="51">
        <f t="shared" si="10"/>
        <v>0</v>
      </c>
      <c r="AM50" s="51">
        <f t="shared" si="11"/>
        <v>5</v>
      </c>
      <c r="AN50" s="51">
        <f t="shared" si="12"/>
        <v>3</v>
      </c>
      <c r="AO50" s="51">
        <f t="shared" si="13"/>
        <v>6</v>
      </c>
      <c r="AP50" s="51">
        <f t="shared" si="14"/>
        <v>12</v>
      </c>
    </row>
    <row r="51" spans="2:42" ht="18.75" x14ac:dyDescent="0.25">
      <c r="B51" s="37" t="s">
        <v>249</v>
      </c>
      <c r="C51" s="148" t="s">
        <v>173</v>
      </c>
      <c r="D51" s="153"/>
      <c r="F51" s="52" t="s">
        <v>271</v>
      </c>
      <c r="G51" s="52" t="s">
        <v>274</v>
      </c>
      <c r="H51" s="52" t="s">
        <v>274</v>
      </c>
      <c r="I51" s="52" t="s">
        <v>274</v>
      </c>
      <c r="J51" s="52" t="s">
        <v>230</v>
      </c>
      <c r="K51" s="52" t="s">
        <v>231</v>
      </c>
      <c r="L51" s="52" t="s">
        <v>231</v>
      </c>
      <c r="M51" s="52" t="s">
        <v>271</v>
      </c>
      <c r="N51" s="52" t="s">
        <v>271</v>
      </c>
      <c r="O51" s="52" t="s">
        <v>274</v>
      </c>
      <c r="P51" s="52" t="s">
        <v>274</v>
      </c>
      <c r="Q51" s="52" t="s">
        <v>274</v>
      </c>
      <c r="R51" s="52" t="s">
        <v>230</v>
      </c>
      <c r="S51" s="52" t="s">
        <v>231</v>
      </c>
      <c r="T51" s="52" t="s">
        <v>231</v>
      </c>
      <c r="U51" s="52" t="s">
        <v>271</v>
      </c>
      <c r="V51" s="52" t="s">
        <v>271</v>
      </c>
      <c r="W51" s="52" t="s">
        <v>274</v>
      </c>
      <c r="X51" s="52" t="s">
        <v>274</v>
      </c>
      <c r="Y51" s="52" t="s">
        <v>274</v>
      </c>
      <c r="Z51" s="52" t="s">
        <v>230</v>
      </c>
      <c r="AA51" s="52" t="s">
        <v>231</v>
      </c>
      <c r="AB51" s="52" t="s">
        <v>231</v>
      </c>
      <c r="AC51" s="52" t="s">
        <v>271</v>
      </c>
      <c r="AD51" s="52" t="s">
        <v>271</v>
      </c>
      <c r="AE51" s="52" t="s">
        <v>274</v>
      </c>
      <c r="AF51" s="52" t="s">
        <v>274</v>
      </c>
      <c r="AG51" s="52" t="s">
        <v>274</v>
      </c>
      <c r="AH51" s="52" t="s">
        <v>230</v>
      </c>
      <c r="AI51" s="52" t="s">
        <v>231</v>
      </c>
      <c r="AJ51" s="52" t="s">
        <v>271</v>
      </c>
      <c r="AL51" s="51">
        <f t="shared" si="10"/>
        <v>0</v>
      </c>
      <c r="AM51" s="51">
        <f t="shared" si="11"/>
        <v>4</v>
      </c>
      <c r="AN51" s="51">
        <f t="shared" si="12"/>
        <v>7</v>
      </c>
      <c r="AO51" s="51">
        <f t="shared" si="13"/>
        <v>8</v>
      </c>
      <c r="AP51" s="51">
        <f t="shared" si="14"/>
        <v>12</v>
      </c>
    </row>
    <row r="52" spans="2:42" ht="18.75" x14ac:dyDescent="0.25">
      <c r="B52" s="37" t="s">
        <v>249</v>
      </c>
      <c r="C52" s="148" t="s">
        <v>212</v>
      </c>
      <c r="D52" s="153"/>
      <c r="F52" s="52" t="s">
        <v>274</v>
      </c>
      <c r="G52" s="52" t="s">
        <v>274</v>
      </c>
      <c r="H52" s="52" t="s">
        <v>274</v>
      </c>
      <c r="I52" s="52" t="s">
        <v>230</v>
      </c>
      <c r="J52" s="52" t="s">
        <v>270</v>
      </c>
      <c r="K52" s="52" t="s">
        <v>231</v>
      </c>
      <c r="L52" s="52" t="s">
        <v>271</v>
      </c>
      <c r="M52" s="52" t="s">
        <v>271</v>
      </c>
      <c r="N52" s="52" t="s">
        <v>274</v>
      </c>
      <c r="O52" s="52" t="s">
        <v>274</v>
      </c>
      <c r="P52" s="52" t="s">
        <v>274</v>
      </c>
      <c r="Q52" s="52" t="s">
        <v>230</v>
      </c>
      <c r="R52" s="52" t="s">
        <v>230</v>
      </c>
      <c r="S52" s="52" t="s">
        <v>144</v>
      </c>
      <c r="T52" s="52" t="s">
        <v>271</v>
      </c>
      <c r="U52" s="52" t="s">
        <v>271</v>
      </c>
      <c r="V52" s="52" t="s">
        <v>274</v>
      </c>
      <c r="W52" s="52" t="s">
        <v>274</v>
      </c>
      <c r="X52" s="52" t="s">
        <v>274</v>
      </c>
      <c r="Y52" s="52" t="s">
        <v>230</v>
      </c>
      <c r="Z52" s="52" t="s">
        <v>231</v>
      </c>
      <c r="AA52" s="52" t="s">
        <v>231</v>
      </c>
      <c r="AB52" s="52" t="s">
        <v>271</v>
      </c>
      <c r="AC52" s="52" t="s">
        <v>271</v>
      </c>
      <c r="AD52" s="52" t="s">
        <v>274</v>
      </c>
      <c r="AE52" s="52" t="s">
        <v>274</v>
      </c>
      <c r="AF52" s="52" t="s">
        <v>274</v>
      </c>
      <c r="AG52" s="52" t="s">
        <v>230</v>
      </c>
      <c r="AH52" s="52" t="s">
        <v>231</v>
      </c>
      <c r="AI52" s="52" t="s">
        <v>231</v>
      </c>
      <c r="AJ52" s="52" t="s">
        <v>271</v>
      </c>
      <c r="AL52" s="51">
        <f t="shared" si="10"/>
        <v>1</v>
      </c>
      <c r="AM52" s="51">
        <f t="shared" si="11"/>
        <v>5</v>
      </c>
      <c r="AN52" s="51">
        <f t="shared" si="12"/>
        <v>5</v>
      </c>
      <c r="AO52" s="51">
        <f t="shared" si="13"/>
        <v>7</v>
      </c>
      <c r="AP52" s="51">
        <f t="shared" si="14"/>
        <v>12</v>
      </c>
    </row>
    <row r="53" spans="2:42" ht="18.75" x14ac:dyDescent="0.25">
      <c r="B53" s="37" t="s">
        <v>249</v>
      </c>
      <c r="C53" s="148" t="s">
        <v>214</v>
      </c>
      <c r="D53" s="153"/>
      <c r="F53" s="52" t="s">
        <v>274</v>
      </c>
      <c r="G53" s="52" t="s">
        <v>274</v>
      </c>
      <c r="H53" s="52" t="s">
        <v>230</v>
      </c>
      <c r="I53" s="52" t="s">
        <v>230</v>
      </c>
      <c r="J53" s="52" t="s">
        <v>231</v>
      </c>
      <c r="K53" s="52" t="s">
        <v>273</v>
      </c>
      <c r="L53" s="52" t="s">
        <v>271</v>
      </c>
      <c r="M53" s="52" t="s">
        <v>274</v>
      </c>
      <c r="N53" s="52" t="s">
        <v>274</v>
      </c>
      <c r="O53" s="52" t="s">
        <v>274</v>
      </c>
      <c r="P53" s="52" t="s">
        <v>230</v>
      </c>
      <c r="Q53" s="52" t="s">
        <v>230</v>
      </c>
      <c r="R53" s="52" t="s">
        <v>231</v>
      </c>
      <c r="S53" s="52" t="s">
        <v>231</v>
      </c>
      <c r="T53" s="52" t="s">
        <v>271</v>
      </c>
      <c r="U53" s="52" t="s">
        <v>274</v>
      </c>
      <c r="V53" s="52" t="s">
        <v>274</v>
      </c>
      <c r="W53" s="52" t="s">
        <v>274</v>
      </c>
      <c r="X53" s="52" t="s">
        <v>230</v>
      </c>
      <c r="Y53" s="52" t="s">
        <v>230</v>
      </c>
      <c r="Z53" s="52" t="s">
        <v>231</v>
      </c>
      <c r="AA53" s="52" t="s">
        <v>231</v>
      </c>
      <c r="AB53" s="52" t="s">
        <v>271</v>
      </c>
      <c r="AC53" s="52" t="s">
        <v>274</v>
      </c>
      <c r="AD53" s="52" t="s">
        <v>274</v>
      </c>
      <c r="AE53" s="52" t="s">
        <v>274</v>
      </c>
      <c r="AF53" s="52" t="s">
        <v>230</v>
      </c>
      <c r="AG53" s="52" t="s">
        <v>230</v>
      </c>
      <c r="AH53" s="52" t="s">
        <v>231</v>
      </c>
      <c r="AI53" s="52" t="s">
        <v>271</v>
      </c>
      <c r="AJ53" s="52" t="s">
        <v>271</v>
      </c>
      <c r="AL53" s="51">
        <f t="shared" si="10"/>
        <v>1</v>
      </c>
      <c r="AM53" s="51">
        <f t="shared" si="11"/>
        <v>8</v>
      </c>
      <c r="AN53" s="51">
        <f t="shared" si="12"/>
        <v>6</v>
      </c>
      <c r="AO53" s="51">
        <f t="shared" si="13"/>
        <v>5</v>
      </c>
      <c r="AP53" s="51">
        <f t="shared" si="14"/>
        <v>11</v>
      </c>
    </row>
    <row r="54" spans="2:42" ht="18.75" x14ac:dyDescent="0.25">
      <c r="B54" s="37" t="s">
        <v>249</v>
      </c>
      <c r="C54" s="148" t="s">
        <v>213</v>
      </c>
      <c r="D54" s="153"/>
      <c r="F54" s="52" t="s">
        <v>274</v>
      </c>
      <c r="G54" s="52" t="s">
        <v>230</v>
      </c>
      <c r="H54" s="52" t="s">
        <v>230</v>
      </c>
      <c r="I54" s="52" t="s">
        <v>231</v>
      </c>
      <c r="J54" s="52" t="s">
        <v>271</v>
      </c>
      <c r="K54" s="52" t="s">
        <v>271</v>
      </c>
      <c r="L54" s="52" t="s">
        <v>274</v>
      </c>
      <c r="M54" s="52" t="s">
        <v>274</v>
      </c>
      <c r="N54" s="52" t="s">
        <v>274</v>
      </c>
      <c r="O54" s="52" t="s">
        <v>230</v>
      </c>
      <c r="P54" s="52" t="s">
        <v>231</v>
      </c>
      <c r="Q54" s="52" t="s">
        <v>231</v>
      </c>
      <c r="R54" s="52" t="s">
        <v>271</v>
      </c>
      <c r="S54" s="52" t="s">
        <v>271</v>
      </c>
      <c r="T54" s="52" t="s">
        <v>274</v>
      </c>
      <c r="U54" s="52" t="s">
        <v>274</v>
      </c>
      <c r="V54" s="52" t="s">
        <v>274</v>
      </c>
      <c r="W54" s="52" t="s">
        <v>230</v>
      </c>
      <c r="X54" s="52" t="s">
        <v>272</v>
      </c>
      <c r="Y54" s="52" t="s">
        <v>231</v>
      </c>
      <c r="Z54" s="52" t="s">
        <v>271</v>
      </c>
      <c r="AA54" s="52" t="s">
        <v>271</v>
      </c>
      <c r="AB54" s="52" t="s">
        <v>274</v>
      </c>
      <c r="AC54" s="52" t="s">
        <v>274</v>
      </c>
      <c r="AD54" s="52" t="s">
        <v>274</v>
      </c>
      <c r="AE54" s="52" t="s">
        <v>230</v>
      </c>
      <c r="AF54" s="52" t="s">
        <v>230</v>
      </c>
      <c r="AG54" s="52" t="s">
        <v>231</v>
      </c>
      <c r="AH54" s="52" t="s">
        <v>231</v>
      </c>
      <c r="AI54" s="52" t="s">
        <v>271</v>
      </c>
      <c r="AJ54" s="52" t="s">
        <v>274</v>
      </c>
      <c r="AL54" s="51">
        <f t="shared" si="10"/>
        <v>1</v>
      </c>
      <c r="AM54" s="51">
        <f t="shared" si="11"/>
        <v>6</v>
      </c>
      <c r="AN54" s="51">
        <f t="shared" si="12"/>
        <v>6</v>
      </c>
      <c r="AO54" s="51">
        <f t="shared" si="13"/>
        <v>7</v>
      </c>
      <c r="AP54" s="51">
        <f t="shared" si="14"/>
        <v>11</v>
      </c>
    </row>
    <row r="55" spans="2:42" ht="18.75" x14ac:dyDescent="0.25">
      <c r="B55" s="37" t="s">
        <v>249</v>
      </c>
      <c r="C55" s="147" t="s">
        <v>174</v>
      </c>
      <c r="D55" s="147"/>
      <c r="F55" s="52" t="s">
        <v>230</v>
      </c>
      <c r="G55" s="52" t="s">
        <v>230</v>
      </c>
      <c r="H55" s="52" t="s">
        <v>231</v>
      </c>
      <c r="I55" s="52" t="s">
        <v>231</v>
      </c>
      <c r="J55" s="52" t="s">
        <v>271</v>
      </c>
      <c r="K55" s="52" t="s">
        <v>274</v>
      </c>
      <c r="L55" s="52" t="s">
        <v>274</v>
      </c>
      <c r="M55" s="52" t="s">
        <v>274</v>
      </c>
      <c r="N55" s="52" t="s">
        <v>230</v>
      </c>
      <c r="O55" s="52" t="s">
        <v>231</v>
      </c>
      <c r="P55" s="52" t="s">
        <v>231</v>
      </c>
      <c r="Q55" s="52" t="s">
        <v>271</v>
      </c>
      <c r="R55" s="52" t="s">
        <v>271</v>
      </c>
      <c r="S55" s="52" t="s">
        <v>274</v>
      </c>
      <c r="T55" s="52" t="s">
        <v>274</v>
      </c>
      <c r="U55" s="52" t="s">
        <v>274</v>
      </c>
      <c r="V55" s="105" t="s">
        <v>230</v>
      </c>
      <c r="W55" s="106" t="s">
        <v>231</v>
      </c>
      <c r="X55" s="106" t="s">
        <v>231</v>
      </c>
      <c r="Y55" s="106" t="s">
        <v>271</v>
      </c>
      <c r="Z55" s="106" t="s">
        <v>271</v>
      </c>
      <c r="AA55" s="52" t="s">
        <v>274</v>
      </c>
      <c r="AB55" s="52" t="s">
        <v>274</v>
      </c>
      <c r="AC55" s="52" t="s">
        <v>274</v>
      </c>
      <c r="AD55" s="52" t="s">
        <v>230</v>
      </c>
      <c r="AE55" s="52" t="s">
        <v>230</v>
      </c>
      <c r="AF55" s="52" t="s">
        <v>231</v>
      </c>
      <c r="AG55" s="52" t="s">
        <v>231</v>
      </c>
      <c r="AH55" s="52" t="s">
        <v>271</v>
      </c>
      <c r="AI55" s="52" t="s">
        <v>274</v>
      </c>
      <c r="AJ55" s="52" t="s">
        <v>274</v>
      </c>
      <c r="AL55" s="51">
        <f t="shared" si="10"/>
        <v>0</v>
      </c>
      <c r="AM55" s="51">
        <f t="shared" si="11"/>
        <v>6</v>
      </c>
      <c r="AN55" s="51">
        <f t="shared" si="12"/>
        <v>8</v>
      </c>
      <c r="AO55" s="51">
        <f t="shared" si="13"/>
        <v>6</v>
      </c>
      <c r="AP55" s="51">
        <f t="shared" si="14"/>
        <v>11</v>
      </c>
    </row>
    <row r="56" spans="2:42" ht="18.75" x14ac:dyDescent="0.25">
      <c r="B56" s="37" t="s">
        <v>249</v>
      </c>
      <c r="C56" s="147" t="s">
        <v>175</v>
      </c>
      <c r="D56" s="147"/>
      <c r="F56" s="52" t="s">
        <v>270</v>
      </c>
      <c r="G56" s="52" t="s">
        <v>231</v>
      </c>
      <c r="H56" s="52" t="s">
        <v>271</v>
      </c>
      <c r="I56" s="52" t="s">
        <v>271</v>
      </c>
      <c r="J56" s="52" t="s">
        <v>274</v>
      </c>
      <c r="K56" s="52" t="s">
        <v>274</v>
      </c>
      <c r="L56" s="52" t="s">
        <v>274</v>
      </c>
      <c r="M56" s="52" t="s">
        <v>230</v>
      </c>
      <c r="N56" s="52" t="s">
        <v>230</v>
      </c>
      <c r="O56" s="52" t="s">
        <v>231</v>
      </c>
      <c r="P56" s="52" t="s">
        <v>271</v>
      </c>
      <c r="Q56" s="52" t="s">
        <v>271</v>
      </c>
      <c r="R56" s="52" t="s">
        <v>274</v>
      </c>
      <c r="S56" s="52" t="s">
        <v>274</v>
      </c>
      <c r="T56" s="52" t="s">
        <v>274</v>
      </c>
      <c r="U56" s="52" t="s">
        <v>230</v>
      </c>
      <c r="V56" s="52" t="s">
        <v>230</v>
      </c>
      <c r="W56" s="52" t="s">
        <v>231</v>
      </c>
      <c r="X56" s="52" t="s">
        <v>271</v>
      </c>
      <c r="Y56" s="52" t="s">
        <v>271</v>
      </c>
      <c r="Z56" s="52" t="s">
        <v>274</v>
      </c>
      <c r="AA56" s="52" t="s">
        <v>274</v>
      </c>
      <c r="AB56" s="52" t="s">
        <v>274</v>
      </c>
      <c r="AC56" s="52" t="s">
        <v>230</v>
      </c>
      <c r="AD56" s="52" t="s">
        <v>230</v>
      </c>
      <c r="AE56" s="52" t="s">
        <v>231</v>
      </c>
      <c r="AF56" s="52" t="s">
        <v>271</v>
      </c>
      <c r="AG56" s="52" t="s">
        <v>271</v>
      </c>
      <c r="AH56" s="52" t="s">
        <v>274</v>
      </c>
      <c r="AI56" s="52" t="s">
        <v>274</v>
      </c>
      <c r="AJ56" s="52" t="s">
        <v>274</v>
      </c>
      <c r="AL56" s="51">
        <f t="shared" si="10"/>
        <v>1</v>
      </c>
      <c r="AM56" s="51">
        <f t="shared" si="11"/>
        <v>6</v>
      </c>
      <c r="AN56" s="51">
        <f t="shared" si="12"/>
        <v>4</v>
      </c>
      <c r="AO56" s="51">
        <f t="shared" si="13"/>
        <v>8</v>
      </c>
      <c r="AP56" s="51">
        <f t="shared" si="14"/>
        <v>12</v>
      </c>
    </row>
    <row r="57" spans="2:42" ht="18.75" x14ac:dyDescent="0.25">
      <c r="B57" s="37" t="s">
        <v>249</v>
      </c>
      <c r="C57" s="148" t="s">
        <v>176</v>
      </c>
      <c r="D57" s="153"/>
      <c r="F57" s="52" t="s">
        <v>231</v>
      </c>
      <c r="G57" s="52" t="s">
        <v>231</v>
      </c>
      <c r="H57" s="52" t="s">
        <v>271</v>
      </c>
      <c r="I57" s="52" t="s">
        <v>274</v>
      </c>
      <c r="J57" s="52" t="s">
        <v>274</v>
      </c>
      <c r="K57" s="52" t="s">
        <v>274</v>
      </c>
      <c r="L57" s="52" t="s">
        <v>230</v>
      </c>
      <c r="M57" s="52" t="s">
        <v>231</v>
      </c>
      <c r="N57" s="52" t="s">
        <v>231</v>
      </c>
      <c r="O57" s="52" t="s">
        <v>271</v>
      </c>
      <c r="P57" s="52" t="s">
        <v>271</v>
      </c>
      <c r="Q57" s="52" t="s">
        <v>274</v>
      </c>
      <c r="R57" s="52" t="s">
        <v>274</v>
      </c>
      <c r="S57" s="52" t="s">
        <v>274</v>
      </c>
      <c r="T57" s="52" t="s">
        <v>230</v>
      </c>
      <c r="U57" s="52" t="s">
        <v>231</v>
      </c>
      <c r="V57" s="52" t="s">
        <v>231</v>
      </c>
      <c r="W57" s="52" t="s">
        <v>271</v>
      </c>
      <c r="X57" s="52" t="s">
        <v>271</v>
      </c>
      <c r="Y57" s="52" t="s">
        <v>274</v>
      </c>
      <c r="Z57" s="52" t="s">
        <v>274</v>
      </c>
      <c r="AA57" s="52" t="s">
        <v>274</v>
      </c>
      <c r="AB57" s="52" t="s">
        <v>230</v>
      </c>
      <c r="AC57" s="52" t="s">
        <v>230</v>
      </c>
      <c r="AD57" s="52" t="s">
        <v>231</v>
      </c>
      <c r="AE57" s="52" t="s">
        <v>271</v>
      </c>
      <c r="AF57" s="52" t="s">
        <v>271</v>
      </c>
      <c r="AG57" s="52" t="s">
        <v>274</v>
      </c>
      <c r="AH57" s="52" t="s">
        <v>274</v>
      </c>
      <c r="AI57" s="52" t="s">
        <v>274</v>
      </c>
      <c r="AJ57" s="52" t="s">
        <v>230</v>
      </c>
      <c r="AL57" s="51">
        <f t="shared" si="10"/>
        <v>0</v>
      </c>
      <c r="AM57" s="51">
        <f t="shared" si="11"/>
        <v>5</v>
      </c>
      <c r="AN57" s="51">
        <f t="shared" si="12"/>
        <v>7</v>
      </c>
      <c r="AO57" s="51">
        <f t="shared" si="13"/>
        <v>7</v>
      </c>
      <c r="AP57" s="51">
        <f t="shared" si="14"/>
        <v>12</v>
      </c>
    </row>
    <row r="58" spans="2:42" ht="18.75" x14ac:dyDescent="0.25">
      <c r="B58" s="37" t="s">
        <v>249</v>
      </c>
      <c r="C58" s="147" t="s">
        <v>177</v>
      </c>
      <c r="D58" s="147"/>
      <c r="F58" s="52" t="s">
        <v>271</v>
      </c>
      <c r="G58" s="52" t="s">
        <v>271</v>
      </c>
      <c r="H58" s="52" t="s">
        <v>274</v>
      </c>
      <c r="I58" s="52" t="s">
        <v>274</v>
      </c>
      <c r="J58" s="52" t="s">
        <v>274</v>
      </c>
      <c r="K58" s="52" t="s">
        <v>230</v>
      </c>
      <c r="L58" s="52" t="s">
        <v>230</v>
      </c>
      <c r="M58" s="52" t="s">
        <v>144</v>
      </c>
      <c r="N58" s="52" t="s">
        <v>271</v>
      </c>
      <c r="O58" s="52" t="s">
        <v>271</v>
      </c>
      <c r="P58" s="52" t="s">
        <v>274</v>
      </c>
      <c r="Q58" s="52" t="s">
        <v>274</v>
      </c>
      <c r="R58" s="52" t="s">
        <v>274</v>
      </c>
      <c r="S58" s="52" t="s">
        <v>230</v>
      </c>
      <c r="T58" s="52" t="s">
        <v>230</v>
      </c>
      <c r="U58" s="52" t="s">
        <v>231</v>
      </c>
      <c r="V58" s="52" t="s">
        <v>271</v>
      </c>
      <c r="W58" s="52" t="s">
        <v>271</v>
      </c>
      <c r="X58" s="52" t="s">
        <v>274</v>
      </c>
      <c r="Y58" s="52" t="s">
        <v>274</v>
      </c>
      <c r="Z58" s="52" t="s">
        <v>274</v>
      </c>
      <c r="AA58" s="52" t="s">
        <v>144</v>
      </c>
      <c r="AB58" s="52" t="s">
        <v>231</v>
      </c>
      <c r="AC58" s="131" t="s">
        <v>231</v>
      </c>
      <c r="AD58" s="52" t="s">
        <v>271</v>
      </c>
      <c r="AE58" s="52" t="s">
        <v>271</v>
      </c>
      <c r="AF58" s="52" t="s">
        <v>274</v>
      </c>
      <c r="AG58" s="52" t="s">
        <v>274</v>
      </c>
      <c r="AH58" s="52" t="s">
        <v>274</v>
      </c>
      <c r="AI58" s="52" t="s">
        <v>230</v>
      </c>
      <c r="AJ58" s="52" t="s">
        <v>230</v>
      </c>
      <c r="AL58" s="51">
        <f t="shared" si="10"/>
        <v>0</v>
      </c>
      <c r="AM58" s="51">
        <f t="shared" si="11"/>
        <v>6</v>
      </c>
      <c r="AN58" s="51">
        <f t="shared" si="12"/>
        <v>3</v>
      </c>
      <c r="AO58" s="51">
        <f t="shared" si="13"/>
        <v>8</v>
      </c>
      <c r="AP58" s="51">
        <f t="shared" si="14"/>
        <v>12</v>
      </c>
    </row>
    <row r="59" spans="2:42" ht="18.75" x14ac:dyDescent="0.25">
      <c r="B59" s="37" t="s">
        <v>249</v>
      </c>
      <c r="C59" s="148" t="s">
        <v>184</v>
      </c>
      <c r="D59" s="153"/>
      <c r="F59" s="52" t="s">
        <v>230</v>
      </c>
      <c r="G59" s="52" t="s">
        <v>230</v>
      </c>
      <c r="H59" s="52" t="s">
        <v>231</v>
      </c>
      <c r="I59" s="52" t="s">
        <v>231</v>
      </c>
      <c r="J59" s="52" t="s">
        <v>274</v>
      </c>
      <c r="K59" s="52" t="s">
        <v>274</v>
      </c>
      <c r="L59" s="52" t="s">
        <v>230</v>
      </c>
      <c r="M59" s="52" t="s">
        <v>230</v>
      </c>
      <c r="N59" s="52" t="s">
        <v>230</v>
      </c>
      <c r="O59" s="52" t="s">
        <v>231</v>
      </c>
      <c r="P59" s="52" t="s">
        <v>231</v>
      </c>
      <c r="Q59" s="52" t="s">
        <v>274</v>
      </c>
      <c r="R59" s="52" t="s">
        <v>274</v>
      </c>
      <c r="S59" s="52" t="s">
        <v>230</v>
      </c>
      <c r="T59" s="52" t="s">
        <v>230</v>
      </c>
      <c r="U59" s="52" t="s">
        <v>230</v>
      </c>
      <c r="V59" s="52" t="s">
        <v>231</v>
      </c>
      <c r="W59" s="52" t="s">
        <v>231</v>
      </c>
      <c r="X59" s="52" t="s">
        <v>274</v>
      </c>
      <c r="Y59" s="52" t="s">
        <v>274</v>
      </c>
      <c r="Z59" s="52" t="s">
        <v>230</v>
      </c>
      <c r="AA59" s="52" t="s">
        <v>230</v>
      </c>
      <c r="AB59" s="52" t="s">
        <v>230</v>
      </c>
      <c r="AC59" s="52" t="s">
        <v>231</v>
      </c>
      <c r="AD59" s="52" t="s">
        <v>231</v>
      </c>
      <c r="AE59" s="52" t="s">
        <v>274</v>
      </c>
      <c r="AF59" s="52" t="s">
        <v>274</v>
      </c>
      <c r="AG59" s="52" t="s">
        <v>230</v>
      </c>
      <c r="AH59" s="52" t="s">
        <v>144</v>
      </c>
      <c r="AI59" s="52" t="s">
        <v>230</v>
      </c>
      <c r="AJ59" s="52" t="s">
        <v>231</v>
      </c>
      <c r="AL59" s="51">
        <f t="shared" si="10"/>
        <v>0</v>
      </c>
      <c r="AM59" s="51">
        <f t="shared" si="11"/>
        <v>13</v>
      </c>
      <c r="AN59" s="51">
        <f t="shared" si="12"/>
        <v>9</v>
      </c>
      <c r="AO59" s="51">
        <f t="shared" si="13"/>
        <v>0</v>
      </c>
      <c r="AP59" s="51">
        <f t="shared" si="14"/>
        <v>8</v>
      </c>
    </row>
    <row r="60" spans="2:42" ht="18.75" x14ac:dyDescent="0.25">
      <c r="B60" s="37" t="s">
        <v>249</v>
      </c>
      <c r="C60" s="148" t="s">
        <v>185</v>
      </c>
      <c r="D60" s="153"/>
      <c r="F60" s="52" t="s">
        <v>231</v>
      </c>
      <c r="G60" s="52" t="s">
        <v>231</v>
      </c>
      <c r="H60" s="52" t="s">
        <v>230</v>
      </c>
      <c r="I60" s="52" t="s">
        <v>230</v>
      </c>
      <c r="J60" s="52" t="s">
        <v>274</v>
      </c>
      <c r="K60" s="52" t="s">
        <v>274</v>
      </c>
      <c r="L60" s="52" t="s">
        <v>231</v>
      </c>
      <c r="M60" s="52" t="s">
        <v>231</v>
      </c>
      <c r="N60" s="52" t="s">
        <v>231</v>
      </c>
      <c r="O60" s="52" t="s">
        <v>230</v>
      </c>
      <c r="P60" s="52" t="s">
        <v>230</v>
      </c>
      <c r="Q60" s="52" t="s">
        <v>274</v>
      </c>
      <c r="R60" s="52" t="s">
        <v>274</v>
      </c>
      <c r="S60" s="52" t="s">
        <v>231</v>
      </c>
      <c r="T60" s="52" t="s">
        <v>231</v>
      </c>
      <c r="U60" s="52" t="s">
        <v>231</v>
      </c>
      <c r="V60" s="52" t="s">
        <v>230</v>
      </c>
      <c r="W60" s="52" t="s">
        <v>230</v>
      </c>
      <c r="X60" s="52" t="s">
        <v>274</v>
      </c>
      <c r="Y60" s="52" t="s">
        <v>274</v>
      </c>
      <c r="Z60" s="52" t="s">
        <v>231</v>
      </c>
      <c r="AA60" s="52" t="s">
        <v>231</v>
      </c>
      <c r="AB60" s="52" t="s">
        <v>231</v>
      </c>
      <c r="AC60" s="52" t="s">
        <v>230</v>
      </c>
      <c r="AD60" s="52" t="s">
        <v>230</v>
      </c>
      <c r="AE60" s="52" t="s">
        <v>274</v>
      </c>
      <c r="AF60" s="52" t="s">
        <v>274</v>
      </c>
      <c r="AG60" s="52" t="s">
        <v>231</v>
      </c>
      <c r="AH60" s="52" t="s">
        <v>231</v>
      </c>
      <c r="AI60" s="52" t="s">
        <v>231</v>
      </c>
      <c r="AJ60" s="52" t="s">
        <v>230</v>
      </c>
      <c r="AL60" s="51">
        <f t="shared" si="10"/>
        <v>0</v>
      </c>
      <c r="AM60" s="51">
        <f t="shared" si="11"/>
        <v>9</v>
      </c>
      <c r="AN60" s="51">
        <f t="shared" si="12"/>
        <v>14</v>
      </c>
      <c r="AO60" s="51">
        <f t="shared" si="13"/>
        <v>0</v>
      </c>
      <c r="AP60" s="51">
        <f t="shared" si="14"/>
        <v>8</v>
      </c>
    </row>
    <row r="61" spans="2:42" ht="19.5" thickBot="1" x14ac:dyDescent="0.3">
      <c r="B61" s="37" t="s">
        <v>249</v>
      </c>
      <c r="C61" s="147" t="s">
        <v>186</v>
      </c>
      <c r="D61" s="147"/>
      <c r="F61" s="65" t="s">
        <v>240</v>
      </c>
      <c r="G61" s="65" t="s">
        <v>230</v>
      </c>
      <c r="H61" s="65" t="s">
        <v>230</v>
      </c>
      <c r="I61" s="65" t="s">
        <v>274</v>
      </c>
      <c r="J61" s="65" t="s">
        <v>274</v>
      </c>
      <c r="K61" s="65" t="s">
        <v>240</v>
      </c>
      <c r="L61" s="65" t="s">
        <v>240</v>
      </c>
      <c r="M61" s="65" t="s">
        <v>240</v>
      </c>
      <c r="N61" s="65" t="s">
        <v>230</v>
      </c>
      <c r="O61" s="65" t="s">
        <v>230</v>
      </c>
      <c r="P61" s="65" t="s">
        <v>274</v>
      </c>
      <c r="Q61" s="65" t="s">
        <v>274</v>
      </c>
      <c r="R61" s="65" t="s">
        <v>240</v>
      </c>
      <c r="S61" s="65" t="s">
        <v>240</v>
      </c>
      <c r="T61" s="65" t="s">
        <v>240</v>
      </c>
      <c r="U61" s="65" t="s">
        <v>230</v>
      </c>
      <c r="V61" s="65" t="s">
        <v>230</v>
      </c>
      <c r="W61" s="65" t="s">
        <v>274</v>
      </c>
      <c r="X61" s="65" t="s">
        <v>274</v>
      </c>
      <c r="Y61" s="65" t="s">
        <v>240</v>
      </c>
      <c r="Z61" s="65" t="s">
        <v>240</v>
      </c>
      <c r="AA61" s="65" t="s">
        <v>240</v>
      </c>
      <c r="AB61" s="65" t="s">
        <v>230</v>
      </c>
      <c r="AC61" s="65" t="s">
        <v>230</v>
      </c>
      <c r="AD61" s="65" t="s">
        <v>274</v>
      </c>
      <c r="AE61" s="65" t="s">
        <v>274</v>
      </c>
      <c r="AF61" s="65" t="s">
        <v>240</v>
      </c>
      <c r="AG61" s="65" t="s">
        <v>240</v>
      </c>
      <c r="AH61" s="65" t="s">
        <v>240</v>
      </c>
      <c r="AI61" s="65" t="s">
        <v>230</v>
      </c>
      <c r="AJ61" s="65" t="s">
        <v>230</v>
      </c>
      <c r="AL61" s="51">
        <f t="shared" si="10"/>
        <v>0</v>
      </c>
      <c r="AM61" s="51">
        <f t="shared" si="11"/>
        <v>23</v>
      </c>
      <c r="AN61" s="51">
        <f t="shared" si="12"/>
        <v>0</v>
      </c>
      <c r="AO61" s="51">
        <f t="shared" si="13"/>
        <v>0</v>
      </c>
      <c r="AP61" s="51">
        <f t="shared" si="14"/>
        <v>8</v>
      </c>
    </row>
    <row r="62" spans="2:42" ht="18.75" x14ac:dyDescent="0.25">
      <c r="B62" s="37" t="s">
        <v>252</v>
      </c>
      <c r="C62" s="148" t="s">
        <v>210</v>
      </c>
      <c r="D62" s="153"/>
      <c r="F62" s="61"/>
      <c r="G62" s="44"/>
      <c r="H62" s="44"/>
      <c r="I62" s="44"/>
      <c r="J62" s="44"/>
      <c r="K62" s="44"/>
      <c r="L62" s="44"/>
      <c r="M62" s="44"/>
      <c r="N62" s="107"/>
      <c r="O62" s="44"/>
      <c r="P62" s="44"/>
      <c r="Q62" s="44"/>
      <c r="R62" s="44"/>
      <c r="S62" s="44"/>
      <c r="T62" s="44"/>
      <c r="U62" s="44"/>
      <c r="V62" s="107"/>
      <c r="W62" s="44"/>
      <c r="X62" s="44"/>
      <c r="Y62" s="44"/>
      <c r="Z62" s="44"/>
      <c r="AA62" s="44"/>
      <c r="AB62" s="44"/>
      <c r="AC62" s="44"/>
      <c r="AD62" s="107"/>
      <c r="AE62" s="44"/>
      <c r="AF62" s="44"/>
      <c r="AG62" s="44"/>
      <c r="AH62" s="44"/>
      <c r="AI62" s="44"/>
      <c r="AJ62" s="26"/>
      <c r="AL62" s="51">
        <f>COUNTIF($F62:$AJ62,"ST*")</f>
        <v>0</v>
      </c>
      <c r="AM62" s="51">
        <f>COUNTIF($F62:$AJ62,"M*")</f>
        <v>0</v>
      </c>
      <c r="AN62" s="51">
        <f>COUNTIF($F62:$AJ62,"A*")</f>
        <v>0</v>
      </c>
      <c r="AO62" s="51">
        <f>COUNTIF($F62:$AJ62,"N*")</f>
        <v>0</v>
      </c>
      <c r="AP62" s="51">
        <f>COUNTIF($F62:$AJ62,"O*")</f>
        <v>0</v>
      </c>
    </row>
    <row r="63" spans="2:42" ht="18.75" x14ac:dyDescent="0.25">
      <c r="B63" s="37" t="s">
        <v>252</v>
      </c>
      <c r="C63" s="148" t="s">
        <v>254</v>
      </c>
      <c r="D63" s="153"/>
      <c r="F63" s="63"/>
      <c r="G63" s="52"/>
      <c r="H63" s="52"/>
      <c r="I63" s="52"/>
      <c r="J63" s="52"/>
      <c r="K63" s="52"/>
      <c r="L63" s="52"/>
      <c r="M63" s="27"/>
      <c r="N63" s="52"/>
      <c r="O63" s="52"/>
      <c r="P63" s="52"/>
      <c r="Q63" s="52"/>
      <c r="R63" s="52"/>
      <c r="S63" s="52"/>
      <c r="T63" s="52"/>
      <c r="U63" s="27"/>
      <c r="V63" s="52"/>
      <c r="W63" s="52"/>
      <c r="X63" s="52"/>
      <c r="Y63" s="52"/>
      <c r="Z63" s="52"/>
      <c r="AA63" s="52"/>
      <c r="AB63" s="52"/>
      <c r="AC63" s="27"/>
      <c r="AD63" s="52"/>
      <c r="AE63" s="52"/>
      <c r="AF63" s="52"/>
      <c r="AG63" s="52"/>
      <c r="AH63" s="52"/>
      <c r="AI63" s="52"/>
      <c r="AJ63" s="19"/>
      <c r="AL63" s="51">
        <f t="shared" ref="AL63:AL75" si="15">COUNTIF($F63:$AJ63,"ST*")</f>
        <v>0</v>
      </c>
      <c r="AM63" s="51">
        <f t="shared" ref="AM63:AM75" si="16">COUNTIF($F63:$AJ63,"M*")</f>
        <v>0</v>
      </c>
      <c r="AN63" s="51">
        <f t="shared" ref="AN63:AN75" si="17">COUNTIF($F63:$AJ63,"A*")</f>
        <v>0</v>
      </c>
      <c r="AO63" s="51">
        <f t="shared" ref="AO63:AO75" si="18">COUNTIF($F63:$AJ63,"N*")</f>
        <v>0</v>
      </c>
      <c r="AP63" s="51">
        <f t="shared" ref="AP63:AP75" si="19">COUNTIF($F63:$AJ63,"O*")</f>
        <v>0</v>
      </c>
    </row>
    <row r="64" spans="2:42" ht="18.75" x14ac:dyDescent="0.25">
      <c r="B64" s="37" t="s">
        <v>252</v>
      </c>
      <c r="C64" s="148" t="s">
        <v>255</v>
      </c>
      <c r="D64" s="153"/>
      <c r="F64" s="63"/>
      <c r="G64" s="52"/>
      <c r="H64" s="52"/>
      <c r="I64" s="52"/>
      <c r="J64" s="52"/>
      <c r="K64" s="52"/>
      <c r="L64" s="27"/>
      <c r="M64" s="23"/>
      <c r="N64" s="52"/>
      <c r="O64" s="52"/>
      <c r="P64" s="52"/>
      <c r="Q64" s="52"/>
      <c r="R64" s="52"/>
      <c r="S64" s="52"/>
      <c r="T64" s="27"/>
      <c r="U64" s="23"/>
      <c r="V64" s="52"/>
      <c r="W64" s="52"/>
      <c r="X64" s="52"/>
      <c r="Y64" s="52"/>
      <c r="Z64" s="52"/>
      <c r="AA64" s="52"/>
      <c r="AB64" s="27"/>
      <c r="AC64" s="23"/>
      <c r="AD64" s="52"/>
      <c r="AE64" s="52"/>
      <c r="AF64" s="52"/>
      <c r="AG64" s="52"/>
      <c r="AH64" s="52"/>
      <c r="AI64" s="52"/>
      <c r="AJ64" s="19"/>
      <c r="AL64" s="51">
        <f t="shared" si="15"/>
        <v>0</v>
      </c>
      <c r="AM64" s="51">
        <f t="shared" si="16"/>
        <v>0</v>
      </c>
      <c r="AN64" s="51">
        <f t="shared" si="17"/>
        <v>0</v>
      </c>
      <c r="AO64" s="51">
        <f t="shared" si="18"/>
        <v>0</v>
      </c>
      <c r="AP64" s="51">
        <f t="shared" si="19"/>
        <v>0</v>
      </c>
    </row>
    <row r="65" spans="2:42" ht="18.75" x14ac:dyDescent="0.25">
      <c r="B65" s="37" t="s">
        <v>252</v>
      </c>
      <c r="C65" s="148" t="s">
        <v>256</v>
      </c>
      <c r="D65" s="153"/>
      <c r="F65" s="63"/>
      <c r="G65" s="52"/>
      <c r="H65" s="52"/>
      <c r="I65" s="52"/>
      <c r="J65" s="52"/>
      <c r="K65" s="27"/>
      <c r="L65" s="23"/>
      <c r="M65" s="52"/>
      <c r="N65" s="52"/>
      <c r="O65" s="52"/>
      <c r="P65" s="52"/>
      <c r="Q65" s="52"/>
      <c r="R65" s="52"/>
      <c r="S65" s="27"/>
      <c r="T65" s="23"/>
      <c r="U65" s="52"/>
      <c r="V65" s="52"/>
      <c r="W65" s="52"/>
      <c r="X65" s="52"/>
      <c r="Y65" s="52"/>
      <c r="Z65" s="52"/>
      <c r="AA65" s="27"/>
      <c r="AB65" s="23"/>
      <c r="AC65" s="52"/>
      <c r="AD65" s="52"/>
      <c r="AE65" s="52"/>
      <c r="AF65" s="52"/>
      <c r="AG65" s="52"/>
      <c r="AH65" s="52"/>
      <c r="AI65" s="27"/>
      <c r="AJ65" s="19"/>
      <c r="AL65" s="51">
        <f t="shared" si="15"/>
        <v>0</v>
      </c>
      <c r="AM65" s="51">
        <f t="shared" si="16"/>
        <v>0</v>
      </c>
      <c r="AN65" s="51">
        <f t="shared" si="17"/>
        <v>0</v>
      </c>
      <c r="AO65" s="51">
        <f t="shared" si="18"/>
        <v>0</v>
      </c>
      <c r="AP65" s="51">
        <f t="shared" si="19"/>
        <v>0</v>
      </c>
    </row>
    <row r="66" spans="2:42" ht="18.75" x14ac:dyDescent="0.25">
      <c r="B66" s="37" t="s">
        <v>252</v>
      </c>
      <c r="C66" s="148" t="s">
        <v>257</v>
      </c>
      <c r="D66" s="153"/>
      <c r="F66" s="63"/>
      <c r="G66" s="52"/>
      <c r="H66" s="52"/>
      <c r="I66" s="52"/>
      <c r="J66" s="27"/>
      <c r="K66" s="23"/>
      <c r="L66" s="52"/>
      <c r="M66" s="52"/>
      <c r="N66" s="52"/>
      <c r="O66" s="52"/>
      <c r="P66" s="52"/>
      <c r="Q66" s="52"/>
      <c r="R66" s="27"/>
      <c r="S66" s="23"/>
      <c r="T66" s="52"/>
      <c r="U66" s="52"/>
      <c r="V66" s="52"/>
      <c r="W66" s="52"/>
      <c r="X66" s="52"/>
      <c r="Y66" s="52"/>
      <c r="Z66" s="27"/>
      <c r="AA66" s="23"/>
      <c r="AB66" s="52"/>
      <c r="AC66" s="52"/>
      <c r="AD66" s="52"/>
      <c r="AE66" s="52"/>
      <c r="AF66" s="52"/>
      <c r="AG66" s="52"/>
      <c r="AH66" s="27"/>
      <c r="AI66" s="23"/>
      <c r="AJ66" s="19"/>
      <c r="AL66" s="51">
        <f t="shared" si="15"/>
        <v>0</v>
      </c>
      <c r="AM66" s="51">
        <f t="shared" si="16"/>
        <v>0</v>
      </c>
      <c r="AN66" s="51">
        <f t="shared" si="17"/>
        <v>0</v>
      </c>
      <c r="AO66" s="51">
        <f t="shared" si="18"/>
        <v>0</v>
      </c>
      <c r="AP66" s="51">
        <f t="shared" si="19"/>
        <v>0</v>
      </c>
    </row>
    <row r="67" spans="2:42" ht="18.75" x14ac:dyDescent="0.25">
      <c r="B67" s="37" t="s">
        <v>252</v>
      </c>
      <c r="C67" s="148" t="s">
        <v>258</v>
      </c>
      <c r="D67" s="153"/>
      <c r="F67" s="63"/>
      <c r="G67" s="52"/>
      <c r="H67" s="52"/>
      <c r="I67" s="27"/>
      <c r="J67" s="23"/>
      <c r="K67" s="52"/>
      <c r="L67" s="52"/>
      <c r="M67" s="52"/>
      <c r="N67" s="52"/>
      <c r="O67" s="52"/>
      <c r="P67" s="52"/>
      <c r="Q67" s="27"/>
      <c r="R67" s="23"/>
      <c r="S67" s="52"/>
      <c r="T67" s="52"/>
      <c r="U67" s="52"/>
      <c r="V67" s="52"/>
      <c r="W67" s="52"/>
      <c r="X67" s="52"/>
      <c r="Y67" s="27"/>
      <c r="Z67" s="23"/>
      <c r="AA67" s="52"/>
      <c r="AB67" s="52"/>
      <c r="AC67" s="52"/>
      <c r="AD67" s="52"/>
      <c r="AE67" s="52"/>
      <c r="AF67" s="52"/>
      <c r="AG67" s="27"/>
      <c r="AH67" s="23"/>
      <c r="AI67" s="52"/>
      <c r="AJ67" s="19"/>
      <c r="AL67" s="51">
        <f t="shared" si="15"/>
        <v>0</v>
      </c>
      <c r="AM67" s="51">
        <f t="shared" si="16"/>
        <v>0</v>
      </c>
      <c r="AN67" s="51">
        <f t="shared" si="17"/>
        <v>0</v>
      </c>
      <c r="AO67" s="51">
        <f t="shared" si="18"/>
        <v>0</v>
      </c>
      <c r="AP67" s="51">
        <f t="shared" si="19"/>
        <v>0</v>
      </c>
    </row>
    <row r="68" spans="2:42" ht="18.75" x14ac:dyDescent="0.25">
      <c r="B68" s="37" t="s">
        <v>252</v>
      </c>
      <c r="C68" s="148" t="s">
        <v>259</v>
      </c>
      <c r="D68" s="153"/>
      <c r="F68" s="63"/>
      <c r="G68" s="52"/>
      <c r="H68" s="27"/>
      <c r="I68" s="23"/>
      <c r="J68" s="52"/>
      <c r="K68" s="52"/>
      <c r="L68" s="52"/>
      <c r="M68" s="52"/>
      <c r="N68" s="52"/>
      <c r="O68" s="52"/>
      <c r="P68" s="27"/>
      <c r="Q68" s="52"/>
      <c r="R68" s="52"/>
      <c r="S68" s="52"/>
      <c r="T68" s="52"/>
      <c r="U68" s="52"/>
      <c r="V68" s="52"/>
      <c r="W68" s="52"/>
      <c r="X68" s="27"/>
      <c r="Y68" s="23"/>
      <c r="Z68" s="52"/>
      <c r="AA68" s="52"/>
      <c r="AB68" s="52"/>
      <c r="AC68" s="52"/>
      <c r="AD68" s="52"/>
      <c r="AE68" s="52"/>
      <c r="AF68" s="27"/>
      <c r="AG68" s="23"/>
      <c r="AH68" s="52"/>
      <c r="AI68" s="52"/>
      <c r="AJ68" s="19"/>
      <c r="AL68" s="51">
        <f t="shared" si="15"/>
        <v>0</v>
      </c>
      <c r="AM68" s="51">
        <f t="shared" si="16"/>
        <v>0</v>
      </c>
      <c r="AN68" s="51">
        <f t="shared" si="17"/>
        <v>0</v>
      </c>
      <c r="AO68" s="51">
        <f t="shared" si="18"/>
        <v>0</v>
      </c>
      <c r="AP68" s="51">
        <f t="shared" si="19"/>
        <v>0</v>
      </c>
    </row>
    <row r="69" spans="2:42" ht="18.75" x14ac:dyDescent="0.25">
      <c r="B69" s="37" t="s">
        <v>252</v>
      </c>
      <c r="C69" s="148" t="s">
        <v>260</v>
      </c>
      <c r="D69" s="153"/>
      <c r="F69" s="63"/>
      <c r="G69" s="52"/>
      <c r="H69" s="27"/>
      <c r="I69" s="52"/>
      <c r="J69" s="52"/>
      <c r="K69" s="52"/>
      <c r="L69" s="52"/>
      <c r="M69" s="52"/>
      <c r="N69" s="52"/>
      <c r="O69" s="52"/>
      <c r="P69" s="27"/>
      <c r="Q69" s="23"/>
      <c r="R69" s="52"/>
      <c r="S69" s="52"/>
      <c r="T69" s="52"/>
      <c r="U69" s="52"/>
      <c r="V69" s="52"/>
      <c r="W69" s="27"/>
      <c r="X69" s="23"/>
      <c r="Y69" s="52"/>
      <c r="Z69" s="52"/>
      <c r="AA69" s="52"/>
      <c r="AB69" s="52"/>
      <c r="AC69" s="52"/>
      <c r="AD69" s="52"/>
      <c r="AE69" s="52"/>
      <c r="AF69" s="27"/>
      <c r="AG69" s="52"/>
      <c r="AH69" s="52"/>
      <c r="AI69" s="52"/>
      <c r="AJ69" s="19"/>
      <c r="AL69" s="51">
        <f t="shared" si="15"/>
        <v>0</v>
      </c>
      <c r="AM69" s="51">
        <f t="shared" si="16"/>
        <v>0</v>
      </c>
      <c r="AN69" s="51">
        <f t="shared" si="17"/>
        <v>0</v>
      </c>
      <c r="AO69" s="51">
        <f t="shared" si="18"/>
        <v>0</v>
      </c>
      <c r="AP69" s="51">
        <f t="shared" si="19"/>
        <v>0</v>
      </c>
    </row>
    <row r="70" spans="2:42" ht="18.75" x14ac:dyDescent="0.25">
      <c r="B70" s="37" t="s">
        <v>252</v>
      </c>
      <c r="C70" s="148" t="s">
        <v>261</v>
      </c>
      <c r="D70" s="153"/>
      <c r="F70" s="111"/>
      <c r="G70" s="27"/>
      <c r="H70" s="52"/>
      <c r="I70" s="52"/>
      <c r="J70" s="52"/>
      <c r="K70" s="52"/>
      <c r="L70" s="52"/>
      <c r="M70" s="52"/>
      <c r="N70" s="27"/>
      <c r="O70" s="23"/>
      <c r="P70" s="52"/>
      <c r="Q70" s="52"/>
      <c r="R70" s="52"/>
      <c r="S70" s="52"/>
      <c r="T70" s="52"/>
      <c r="U70" s="52"/>
      <c r="V70" s="27"/>
      <c r="W70" s="23"/>
      <c r="X70" s="52"/>
      <c r="Y70" s="52"/>
      <c r="Z70" s="52"/>
      <c r="AA70" s="52"/>
      <c r="AB70" s="52"/>
      <c r="AC70" s="52"/>
      <c r="AD70" s="27"/>
      <c r="AE70" s="23"/>
      <c r="AF70" s="52"/>
      <c r="AG70" s="52"/>
      <c r="AH70" s="52"/>
      <c r="AI70" s="52"/>
      <c r="AJ70" s="19"/>
      <c r="AL70" s="51">
        <f t="shared" si="15"/>
        <v>0</v>
      </c>
      <c r="AM70" s="51">
        <f t="shared" si="16"/>
        <v>0</v>
      </c>
      <c r="AN70" s="51">
        <f t="shared" si="17"/>
        <v>0</v>
      </c>
      <c r="AO70" s="51">
        <f t="shared" si="18"/>
        <v>0</v>
      </c>
      <c r="AP70" s="51">
        <f t="shared" si="19"/>
        <v>0</v>
      </c>
    </row>
    <row r="71" spans="2:42" ht="18.75" x14ac:dyDescent="0.25">
      <c r="B71" s="37" t="s">
        <v>252</v>
      </c>
      <c r="C71" s="148" t="s">
        <v>262</v>
      </c>
      <c r="D71" s="153"/>
      <c r="F71" s="63"/>
      <c r="G71" s="52"/>
      <c r="H71" s="52"/>
      <c r="I71" s="52"/>
      <c r="J71" s="52"/>
      <c r="K71" s="52"/>
      <c r="L71" s="52"/>
      <c r="M71" s="27"/>
      <c r="N71" s="23"/>
      <c r="O71" s="52"/>
      <c r="P71" s="52"/>
      <c r="Q71" s="52"/>
      <c r="R71" s="52"/>
      <c r="S71" s="52"/>
      <c r="T71" s="52"/>
      <c r="U71" s="27"/>
      <c r="V71" s="23"/>
      <c r="W71" s="52"/>
      <c r="X71" s="52"/>
      <c r="Y71" s="52"/>
      <c r="Z71" s="52"/>
      <c r="AA71" s="52"/>
      <c r="AB71" s="52"/>
      <c r="AC71" s="27"/>
      <c r="AD71" s="23"/>
      <c r="AE71" s="52"/>
      <c r="AF71" s="52"/>
      <c r="AG71" s="52"/>
      <c r="AH71" s="52"/>
      <c r="AI71" s="52"/>
      <c r="AJ71" s="19"/>
      <c r="AL71" s="51">
        <f t="shared" si="15"/>
        <v>0</v>
      </c>
      <c r="AM71" s="51">
        <f t="shared" si="16"/>
        <v>0</v>
      </c>
      <c r="AN71" s="51">
        <f t="shared" si="17"/>
        <v>0</v>
      </c>
      <c r="AO71" s="51">
        <f t="shared" si="18"/>
        <v>0</v>
      </c>
      <c r="AP71" s="51">
        <f t="shared" si="19"/>
        <v>0</v>
      </c>
    </row>
    <row r="72" spans="2:42" ht="18.75" x14ac:dyDescent="0.25">
      <c r="B72" s="37" t="s">
        <v>252</v>
      </c>
      <c r="C72" s="148" t="s">
        <v>263</v>
      </c>
      <c r="D72" s="153"/>
      <c r="F72" s="63"/>
      <c r="G72" s="52"/>
      <c r="H72" s="52"/>
      <c r="I72" s="52"/>
      <c r="J72" s="52"/>
      <c r="K72" s="52"/>
      <c r="L72" s="27"/>
      <c r="M72" s="23"/>
      <c r="N72" s="52"/>
      <c r="O72" s="52"/>
      <c r="P72" s="52"/>
      <c r="Q72" s="52"/>
      <c r="R72" s="52"/>
      <c r="S72" s="52"/>
      <c r="T72" s="27"/>
      <c r="U72" s="23"/>
      <c r="V72" s="52"/>
      <c r="W72" s="52"/>
      <c r="X72" s="52"/>
      <c r="Y72" s="52"/>
      <c r="Z72" s="52"/>
      <c r="AA72" s="52"/>
      <c r="AB72" s="27"/>
      <c r="AC72" s="23"/>
      <c r="AD72" s="52"/>
      <c r="AE72" s="52"/>
      <c r="AF72" s="52"/>
      <c r="AG72" s="52"/>
      <c r="AH72" s="52"/>
      <c r="AI72" s="52"/>
      <c r="AJ72" s="19"/>
      <c r="AL72" s="51">
        <f t="shared" si="15"/>
        <v>0</v>
      </c>
      <c r="AM72" s="51">
        <f t="shared" si="16"/>
        <v>0</v>
      </c>
      <c r="AN72" s="51">
        <f t="shared" si="17"/>
        <v>0</v>
      </c>
      <c r="AO72" s="51">
        <f t="shared" si="18"/>
        <v>0</v>
      </c>
      <c r="AP72" s="51">
        <f t="shared" si="19"/>
        <v>0</v>
      </c>
    </row>
    <row r="73" spans="2:42" ht="18.75" x14ac:dyDescent="0.25">
      <c r="B73" s="37" t="s">
        <v>252</v>
      </c>
      <c r="C73" s="148" t="s">
        <v>264</v>
      </c>
      <c r="D73" s="153"/>
      <c r="F73" s="63"/>
      <c r="G73" s="52"/>
      <c r="H73" s="52"/>
      <c r="I73" s="52"/>
      <c r="J73" s="52"/>
      <c r="K73" s="27"/>
      <c r="L73" s="23"/>
      <c r="M73" s="52"/>
      <c r="N73" s="52"/>
      <c r="O73" s="52"/>
      <c r="P73" s="52"/>
      <c r="Q73" s="52"/>
      <c r="R73" s="52"/>
      <c r="S73" s="27"/>
      <c r="T73" s="23"/>
      <c r="U73" s="52"/>
      <c r="V73" s="52"/>
      <c r="W73" s="52"/>
      <c r="X73" s="52"/>
      <c r="Y73" s="52"/>
      <c r="Z73" s="52"/>
      <c r="AA73" s="27"/>
      <c r="AB73" s="23"/>
      <c r="AC73" s="52"/>
      <c r="AD73" s="52"/>
      <c r="AE73" s="52"/>
      <c r="AF73" s="52"/>
      <c r="AG73" s="52"/>
      <c r="AH73" s="52"/>
      <c r="AI73" s="27"/>
      <c r="AJ73" s="19"/>
      <c r="AL73" s="51">
        <f t="shared" si="15"/>
        <v>0</v>
      </c>
      <c r="AM73" s="51">
        <f t="shared" si="16"/>
        <v>0</v>
      </c>
      <c r="AN73" s="51">
        <f t="shared" si="17"/>
        <v>0</v>
      </c>
      <c r="AO73" s="51">
        <f t="shared" si="18"/>
        <v>0</v>
      </c>
      <c r="AP73" s="51">
        <f t="shared" si="19"/>
        <v>0</v>
      </c>
    </row>
    <row r="74" spans="2:42" ht="18.75" x14ac:dyDescent="0.25">
      <c r="B74" s="37" t="s">
        <v>252</v>
      </c>
      <c r="C74" s="148" t="s">
        <v>265</v>
      </c>
      <c r="D74" s="153"/>
      <c r="F74" s="63"/>
      <c r="G74" s="52"/>
      <c r="H74" s="52"/>
      <c r="I74" s="52"/>
      <c r="J74" s="27"/>
      <c r="K74" s="23"/>
      <c r="L74" s="52"/>
      <c r="M74" s="52"/>
      <c r="N74" s="52"/>
      <c r="O74" s="52"/>
      <c r="P74" s="52"/>
      <c r="Q74" s="52"/>
      <c r="R74" s="27"/>
      <c r="S74" s="23"/>
      <c r="T74" s="52"/>
      <c r="U74" s="52"/>
      <c r="V74" s="52"/>
      <c r="W74" s="52"/>
      <c r="X74" s="52"/>
      <c r="Y74" s="52"/>
      <c r="Z74" s="27"/>
      <c r="AA74" s="23"/>
      <c r="AB74" s="52"/>
      <c r="AC74" s="52"/>
      <c r="AD74" s="52"/>
      <c r="AE74" s="52"/>
      <c r="AF74" s="52"/>
      <c r="AG74" s="52"/>
      <c r="AH74" s="27"/>
      <c r="AI74" s="23"/>
      <c r="AJ74" s="19"/>
      <c r="AL74" s="51">
        <f t="shared" si="15"/>
        <v>0</v>
      </c>
      <c r="AM74" s="51">
        <f t="shared" si="16"/>
        <v>0</v>
      </c>
      <c r="AN74" s="51">
        <f t="shared" si="17"/>
        <v>0</v>
      </c>
      <c r="AO74" s="51">
        <f t="shared" si="18"/>
        <v>0</v>
      </c>
      <c r="AP74" s="51">
        <f t="shared" si="19"/>
        <v>0</v>
      </c>
    </row>
    <row r="75" spans="2:42" ht="18.75" x14ac:dyDescent="0.25">
      <c r="B75" s="37" t="s">
        <v>252</v>
      </c>
      <c r="C75" s="148" t="s">
        <v>266</v>
      </c>
      <c r="D75" s="153"/>
      <c r="F75" s="63"/>
      <c r="G75" s="52"/>
      <c r="H75" s="52"/>
      <c r="I75" s="27"/>
      <c r="J75" s="23"/>
      <c r="K75" s="52"/>
      <c r="L75" s="52"/>
      <c r="M75" s="52"/>
      <c r="N75" s="52"/>
      <c r="O75" s="52"/>
      <c r="P75" s="52"/>
      <c r="Q75" s="27"/>
      <c r="R75" s="23"/>
      <c r="S75" s="52"/>
      <c r="T75" s="52"/>
      <c r="U75" s="52"/>
      <c r="V75" s="52"/>
      <c r="W75" s="52"/>
      <c r="X75" s="52"/>
      <c r="Y75" s="27"/>
      <c r="Z75" s="23"/>
      <c r="AA75" s="52"/>
      <c r="AB75" s="52"/>
      <c r="AC75" s="52"/>
      <c r="AD75" s="52"/>
      <c r="AE75" s="52"/>
      <c r="AF75" s="52"/>
      <c r="AG75" s="27"/>
      <c r="AH75" s="23"/>
      <c r="AI75" s="52"/>
      <c r="AJ75" s="19"/>
      <c r="AL75" s="51">
        <f t="shared" si="15"/>
        <v>0</v>
      </c>
      <c r="AM75" s="51">
        <f t="shared" si="16"/>
        <v>0</v>
      </c>
      <c r="AN75" s="51">
        <f t="shared" si="17"/>
        <v>0</v>
      </c>
      <c r="AO75" s="51">
        <f t="shared" si="18"/>
        <v>0</v>
      </c>
      <c r="AP75" s="51">
        <f t="shared" si="19"/>
        <v>0</v>
      </c>
    </row>
    <row r="76" spans="2:42" ht="18.75" x14ac:dyDescent="0.25">
      <c r="B76" s="37" t="s">
        <v>252</v>
      </c>
      <c r="C76" s="148" t="s">
        <v>267</v>
      </c>
      <c r="D76" s="153"/>
      <c r="F76" s="63"/>
      <c r="G76" s="52"/>
      <c r="H76" s="27"/>
      <c r="I76" s="23"/>
      <c r="J76" s="52"/>
      <c r="K76" s="52"/>
      <c r="L76" s="52"/>
      <c r="M76" s="52"/>
      <c r="N76" s="52"/>
      <c r="O76" s="52"/>
      <c r="P76" s="27"/>
      <c r="Q76" s="23"/>
      <c r="R76" s="52"/>
      <c r="S76" s="52"/>
      <c r="T76" s="52"/>
      <c r="U76" s="52"/>
      <c r="V76" s="52"/>
      <c r="W76" s="52"/>
      <c r="X76" s="27"/>
      <c r="Y76" s="23"/>
      <c r="Z76" s="52"/>
      <c r="AA76" s="52"/>
      <c r="AB76" s="52"/>
      <c r="AC76" s="52"/>
      <c r="AD76" s="52"/>
      <c r="AE76" s="52"/>
      <c r="AF76" s="27"/>
      <c r="AG76" s="23"/>
      <c r="AH76" s="52"/>
      <c r="AI76" s="104"/>
      <c r="AJ76" s="19"/>
      <c r="AL76" s="51"/>
      <c r="AM76" s="51"/>
      <c r="AN76" s="51"/>
      <c r="AO76" s="51"/>
      <c r="AP76" s="51"/>
    </row>
    <row r="77" spans="2:42" ht="18.75" x14ac:dyDescent="0.25">
      <c r="B77" s="37" t="s">
        <v>252</v>
      </c>
      <c r="C77" s="148" t="s">
        <v>268</v>
      </c>
      <c r="D77" s="153"/>
      <c r="F77" s="63"/>
      <c r="G77" s="27"/>
      <c r="H77" s="23"/>
      <c r="I77" s="52"/>
      <c r="J77" s="52"/>
      <c r="K77" s="52"/>
      <c r="L77" s="52"/>
      <c r="M77" s="52"/>
      <c r="N77" s="52"/>
      <c r="O77" s="27"/>
      <c r="P77" s="23"/>
      <c r="Q77" s="52"/>
      <c r="R77" s="52"/>
      <c r="S77" s="52"/>
      <c r="T77" s="52"/>
      <c r="U77" s="52"/>
      <c r="V77" s="52"/>
      <c r="W77" s="27"/>
      <c r="X77" s="23"/>
      <c r="Y77" s="52"/>
      <c r="Z77" s="52"/>
      <c r="AA77" s="52"/>
      <c r="AB77" s="52"/>
      <c r="AC77" s="52"/>
      <c r="AD77" s="52"/>
      <c r="AE77" s="27"/>
      <c r="AF77" s="23"/>
      <c r="AG77" s="52"/>
      <c r="AH77" s="52"/>
      <c r="AI77" s="52"/>
      <c r="AJ77" s="19"/>
      <c r="AL77" s="51"/>
      <c r="AM77" s="51"/>
      <c r="AN77" s="51"/>
      <c r="AO77" s="51"/>
      <c r="AP77" s="51"/>
    </row>
    <row r="78" spans="2:42" ht="19.5" thickBot="1" x14ac:dyDescent="0.3">
      <c r="B78" s="37" t="s">
        <v>252</v>
      </c>
      <c r="C78" s="148" t="s">
        <v>269</v>
      </c>
      <c r="D78" s="153"/>
      <c r="F78" s="118"/>
      <c r="G78" s="113"/>
      <c r="H78" s="65"/>
      <c r="I78" s="65"/>
      <c r="J78" s="65"/>
      <c r="K78" s="65"/>
      <c r="L78" s="65"/>
      <c r="M78" s="65"/>
      <c r="N78" s="112"/>
      <c r="O78" s="113"/>
      <c r="P78" s="65"/>
      <c r="Q78" s="65"/>
      <c r="R78" s="65"/>
      <c r="S78" s="65"/>
      <c r="T78" s="65"/>
      <c r="U78" s="65"/>
      <c r="V78" s="112"/>
      <c r="W78" s="113"/>
      <c r="X78" s="65"/>
      <c r="Y78" s="65"/>
      <c r="Z78" s="65"/>
      <c r="AA78" s="65"/>
      <c r="AB78" s="65"/>
      <c r="AC78" s="65"/>
      <c r="AD78" s="112"/>
      <c r="AE78" s="113"/>
      <c r="AF78" s="65"/>
      <c r="AG78" s="65"/>
      <c r="AH78" s="65"/>
      <c r="AI78" s="65"/>
      <c r="AJ78" s="88"/>
      <c r="AL78" s="51"/>
      <c r="AM78" s="51"/>
      <c r="AN78" s="51"/>
      <c r="AO78" s="51"/>
      <c r="AP78" s="51"/>
    </row>
    <row r="79" spans="2:42" ht="18.75" x14ac:dyDescent="0.25">
      <c r="B79" s="37" t="s">
        <v>250</v>
      </c>
      <c r="C79" s="184" t="s">
        <v>193</v>
      </c>
      <c r="D79" s="185"/>
      <c r="F79" s="44" t="s">
        <v>274</v>
      </c>
      <c r="G79" s="44" t="s">
        <v>274</v>
      </c>
      <c r="H79" s="107" t="s">
        <v>230</v>
      </c>
      <c r="I79" s="44" t="s">
        <v>231</v>
      </c>
      <c r="J79" s="44" t="s">
        <v>231</v>
      </c>
      <c r="K79" s="44" t="s">
        <v>271</v>
      </c>
      <c r="L79" s="44" t="s">
        <v>271</v>
      </c>
      <c r="M79" s="44" t="s">
        <v>274</v>
      </c>
      <c r="N79" s="44" t="s">
        <v>274</v>
      </c>
      <c r="O79" s="44" t="s">
        <v>274</v>
      </c>
      <c r="P79" s="107" t="s">
        <v>230</v>
      </c>
      <c r="Q79" s="107" t="s">
        <v>230</v>
      </c>
      <c r="R79" s="44" t="s">
        <v>231</v>
      </c>
      <c r="S79" s="44" t="s">
        <v>231</v>
      </c>
      <c r="T79" s="44" t="s">
        <v>271</v>
      </c>
      <c r="U79" s="44" t="s">
        <v>274</v>
      </c>
      <c r="V79" s="44" t="s">
        <v>274</v>
      </c>
      <c r="W79" s="44" t="s">
        <v>274</v>
      </c>
      <c r="X79" s="107" t="s">
        <v>230</v>
      </c>
      <c r="Y79" s="44" t="s">
        <v>231</v>
      </c>
      <c r="Z79" s="44" t="s">
        <v>231</v>
      </c>
      <c r="AA79" s="44" t="s">
        <v>271</v>
      </c>
      <c r="AB79" s="44" t="s">
        <v>271</v>
      </c>
      <c r="AC79" s="44" t="s">
        <v>274</v>
      </c>
      <c r="AD79" s="44" t="s">
        <v>274</v>
      </c>
      <c r="AE79" s="44" t="s">
        <v>274</v>
      </c>
      <c r="AF79" s="107" t="s">
        <v>230</v>
      </c>
      <c r="AG79" s="44" t="s">
        <v>231</v>
      </c>
      <c r="AH79" s="44" t="s">
        <v>271</v>
      </c>
      <c r="AI79" s="44" t="s">
        <v>271</v>
      </c>
      <c r="AJ79" s="44" t="s">
        <v>271</v>
      </c>
      <c r="AL79" s="51">
        <f>COUNTIF($F79:$AJ79,"ST*")</f>
        <v>0</v>
      </c>
      <c r="AM79" s="51">
        <f>COUNTIF($F79:$AJ79,"M*")</f>
        <v>5</v>
      </c>
      <c r="AN79" s="51">
        <f>COUNTIF($F79:$AJ79,"A*")</f>
        <v>7</v>
      </c>
      <c r="AO79" s="51">
        <f>COUNTIF($F79:$AJ79,"N*")</f>
        <v>8</v>
      </c>
      <c r="AP79" s="51">
        <f>COUNTIF($F79:$AJ79,"O*")</f>
        <v>11</v>
      </c>
    </row>
    <row r="80" spans="2:42" ht="18.75" x14ac:dyDescent="0.25">
      <c r="B80" s="37" t="s">
        <v>250</v>
      </c>
      <c r="C80" s="148" t="s">
        <v>194</v>
      </c>
      <c r="D80" s="153"/>
      <c r="F80" s="23" t="s">
        <v>274</v>
      </c>
      <c r="G80" s="57" t="s">
        <v>230</v>
      </c>
      <c r="H80" s="57" t="s">
        <v>230</v>
      </c>
      <c r="I80" s="57" t="s">
        <v>272</v>
      </c>
      <c r="J80" s="57" t="s">
        <v>271</v>
      </c>
      <c r="K80" s="57" t="s">
        <v>271</v>
      </c>
      <c r="L80" s="23" t="s">
        <v>274</v>
      </c>
      <c r="M80" s="23" t="s">
        <v>274</v>
      </c>
      <c r="N80" s="23" t="s">
        <v>274</v>
      </c>
      <c r="O80" s="27" t="s">
        <v>275</v>
      </c>
      <c r="P80" s="52" t="s">
        <v>275</v>
      </c>
      <c r="Q80" s="52" t="s">
        <v>275</v>
      </c>
      <c r="R80" s="23" t="s">
        <v>275</v>
      </c>
      <c r="S80" s="23" t="s">
        <v>275</v>
      </c>
      <c r="T80" s="23" t="s">
        <v>275</v>
      </c>
      <c r="U80" s="23" t="s">
        <v>274</v>
      </c>
      <c r="V80" s="23" t="s">
        <v>274</v>
      </c>
      <c r="W80" s="27" t="s">
        <v>230</v>
      </c>
      <c r="X80" s="52" t="s">
        <v>231</v>
      </c>
      <c r="Y80" s="52" t="s">
        <v>231</v>
      </c>
      <c r="Z80" s="23" t="s">
        <v>271</v>
      </c>
      <c r="AA80" s="23" t="s">
        <v>271</v>
      </c>
      <c r="AB80" s="23" t="s">
        <v>274</v>
      </c>
      <c r="AC80" s="23" t="s">
        <v>274</v>
      </c>
      <c r="AD80" s="23" t="s">
        <v>274</v>
      </c>
      <c r="AE80" s="57" t="s">
        <v>230</v>
      </c>
      <c r="AF80" s="57" t="s">
        <v>230</v>
      </c>
      <c r="AG80" s="57" t="s">
        <v>275</v>
      </c>
      <c r="AH80" s="57" t="s">
        <v>275</v>
      </c>
      <c r="AI80" s="57" t="s">
        <v>271</v>
      </c>
      <c r="AJ80" s="23" t="s">
        <v>274</v>
      </c>
      <c r="AL80" s="51">
        <f t="shared" ref="AL80:AL97" si="20">COUNTIF($F80:$AJ80,"ST*")</f>
        <v>1</v>
      </c>
      <c r="AM80" s="51">
        <f t="shared" ref="AM80:AM97" si="21">COUNTIF($F80:$AJ80,"M*")</f>
        <v>5</v>
      </c>
      <c r="AN80" s="51">
        <f t="shared" ref="AN80:AN97" si="22">COUNTIF($F80:$AJ80,"A*")</f>
        <v>2</v>
      </c>
      <c r="AO80" s="51">
        <f t="shared" ref="AO80:AO97" si="23">COUNTIF($F80:$AJ80,"N*")</f>
        <v>5</v>
      </c>
      <c r="AP80" s="51">
        <f t="shared" ref="AP80:AP97" si="24">COUNTIF($F80:$AJ80,"O*")</f>
        <v>10</v>
      </c>
    </row>
    <row r="81" spans="2:42" ht="18.75" x14ac:dyDescent="0.25">
      <c r="B81" s="37" t="s">
        <v>250</v>
      </c>
      <c r="C81" s="148" t="s">
        <v>195</v>
      </c>
      <c r="D81" s="153"/>
      <c r="F81" s="57" t="s">
        <v>270</v>
      </c>
      <c r="G81" s="57" t="s">
        <v>230</v>
      </c>
      <c r="H81" s="57" t="s">
        <v>231</v>
      </c>
      <c r="I81" s="57" t="s">
        <v>231</v>
      </c>
      <c r="J81" s="57" t="s">
        <v>271</v>
      </c>
      <c r="K81" s="23" t="s">
        <v>274</v>
      </c>
      <c r="L81" s="23" t="s">
        <v>274</v>
      </c>
      <c r="M81" s="23" t="s">
        <v>274</v>
      </c>
      <c r="N81" s="27" t="s">
        <v>230</v>
      </c>
      <c r="O81" s="27" t="s">
        <v>230</v>
      </c>
      <c r="P81" s="52" t="s">
        <v>231</v>
      </c>
      <c r="Q81" s="23" t="s">
        <v>271</v>
      </c>
      <c r="R81" s="23" t="s">
        <v>271</v>
      </c>
      <c r="S81" s="23" t="s">
        <v>274</v>
      </c>
      <c r="T81" s="23" t="s">
        <v>274</v>
      </c>
      <c r="U81" s="23" t="s">
        <v>274</v>
      </c>
      <c r="V81" s="27" t="s">
        <v>230</v>
      </c>
      <c r="W81" s="52" t="s">
        <v>231</v>
      </c>
      <c r="X81" s="52" t="s">
        <v>231</v>
      </c>
      <c r="Y81" s="52" t="s">
        <v>271</v>
      </c>
      <c r="Z81" s="23" t="s">
        <v>271</v>
      </c>
      <c r="AA81" s="23" t="s">
        <v>274</v>
      </c>
      <c r="AB81" s="23" t="s">
        <v>274</v>
      </c>
      <c r="AC81" s="23" t="s">
        <v>274</v>
      </c>
      <c r="AD81" s="57" t="s">
        <v>230</v>
      </c>
      <c r="AE81" s="57" t="s">
        <v>230</v>
      </c>
      <c r="AF81" s="57" t="s">
        <v>231</v>
      </c>
      <c r="AG81" s="57" t="s">
        <v>231</v>
      </c>
      <c r="AH81" s="57" t="s">
        <v>271</v>
      </c>
      <c r="AI81" s="23" t="s">
        <v>274</v>
      </c>
      <c r="AJ81" s="23" t="s">
        <v>274</v>
      </c>
      <c r="AL81" s="51">
        <f t="shared" si="20"/>
        <v>1</v>
      </c>
      <c r="AM81" s="51">
        <f t="shared" si="21"/>
        <v>6</v>
      </c>
      <c r="AN81" s="51">
        <f t="shared" si="22"/>
        <v>7</v>
      </c>
      <c r="AO81" s="51">
        <f t="shared" si="23"/>
        <v>6</v>
      </c>
      <c r="AP81" s="51">
        <f t="shared" si="24"/>
        <v>11</v>
      </c>
    </row>
    <row r="82" spans="2:42" ht="18.75" x14ac:dyDescent="0.25">
      <c r="B82" s="37" t="s">
        <v>250</v>
      </c>
      <c r="C82" s="148" t="s">
        <v>196</v>
      </c>
      <c r="D82" s="153"/>
      <c r="F82" s="27" t="s">
        <v>230</v>
      </c>
      <c r="G82" s="52" t="s">
        <v>231</v>
      </c>
      <c r="H82" s="23" t="s">
        <v>271</v>
      </c>
      <c r="I82" s="23" t="s">
        <v>271</v>
      </c>
      <c r="J82" s="23" t="s">
        <v>274</v>
      </c>
      <c r="K82" s="23" t="s">
        <v>274</v>
      </c>
      <c r="L82" s="23" t="s">
        <v>274</v>
      </c>
      <c r="M82" s="27" t="s">
        <v>230</v>
      </c>
      <c r="N82" s="27" t="s">
        <v>144</v>
      </c>
      <c r="O82" s="52" t="s">
        <v>231</v>
      </c>
      <c r="P82" s="52" t="s">
        <v>231</v>
      </c>
      <c r="Q82" s="23" t="s">
        <v>271</v>
      </c>
      <c r="R82" s="23" t="s">
        <v>274</v>
      </c>
      <c r="S82" s="23" t="s">
        <v>274</v>
      </c>
      <c r="T82" s="23" t="s">
        <v>274</v>
      </c>
      <c r="U82" s="27" t="s">
        <v>275</v>
      </c>
      <c r="V82" s="27" t="s">
        <v>275</v>
      </c>
      <c r="W82" s="27" t="s">
        <v>275</v>
      </c>
      <c r="X82" s="27" t="s">
        <v>275</v>
      </c>
      <c r="Y82" s="27" t="s">
        <v>275</v>
      </c>
      <c r="Z82" s="27" t="s">
        <v>275</v>
      </c>
      <c r="AA82" s="27" t="s">
        <v>275</v>
      </c>
      <c r="AB82" s="27" t="s">
        <v>275</v>
      </c>
      <c r="AC82" s="27" t="s">
        <v>275</v>
      </c>
      <c r="AD82" s="27" t="s">
        <v>275</v>
      </c>
      <c r="AE82" s="27" t="s">
        <v>275</v>
      </c>
      <c r="AF82" s="27" t="s">
        <v>275</v>
      </c>
      <c r="AG82" s="27" t="s">
        <v>275</v>
      </c>
      <c r="AH82" s="27" t="s">
        <v>275</v>
      </c>
      <c r="AI82" s="27" t="s">
        <v>275</v>
      </c>
      <c r="AJ82" s="27" t="s">
        <v>275</v>
      </c>
      <c r="AL82" s="51">
        <f t="shared" si="20"/>
        <v>0</v>
      </c>
      <c r="AM82" s="51">
        <f t="shared" si="21"/>
        <v>2</v>
      </c>
      <c r="AN82" s="51">
        <f t="shared" si="22"/>
        <v>3</v>
      </c>
      <c r="AO82" s="51">
        <f t="shared" si="23"/>
        <v>3</v>
      </c>
      <c r="AP82" s="51">
        <f t="shared" si="24"/>
        <v>6</v>
      </c>
    </row>
    <row r="83" spans="2:42" ht="18.75" x14ac:dyDescent="0.25">
      <c r="B83" s="37" t="s">
        <v>250</v>
      </c>
      <c r="C83" s="148" t="s">
        <v>197</v>
      </c>
      <c r="D83" s="153"/>
      <c r="F83" s="52" t="s">
        <v>231</v>
      </c>
      <c r="G83" s="23" t="s">
        <v>271</v>
      </c>
      <c r="H83" s="23" t="s">
        <v>271</v>
      </c>
      <c r="I83" s="23" t="s">
        <v>274</v>
      </c>
      <c r="J83" s="23" t="s">
        <v>274</v>
      </c>
      <c r="K83" s="23" t="s">
        <v>274</v>
      </c>
      <c r="L83" s="27" t="s">
        <v>230</v>
      </c>
      <c r="M83" s="27" t="s">
        <v>230</v>
      </c>
      <c r="N83" s="52" t="s">
        <v>231</v>
      </c>
      <c r="O83" s="52" t="s">
        <v>231</v>
      </c>
      <c r="P83" s="23" t="s">
        <v>271</v>
      </c>
      <c r="Q83" s="23" t="s">
        <v>274</v>
      </c>
      <c r="R83" s="23" t="s">
        <v>274</v>
      </c>
      <c r="S83" s="23" t="s">
        <v>274</v>
      </c>
      <c r="T83" s="27" t="s">
        <v>144</v>
      </c>
      <c r="U83" s="27" t="s">
        <v>230</v>
      </c>
      <c r="V83" s="52" t="s">
        <v>231</v>
      </c>
      <c r="W83" s="52" t="s">
        <v>231</v>
      </c>
      <c r="X83" s="23" t="s">
        <v>271</v>
      </c>
      <c r="Y83" s="23" t="s">
        <v>274</v>
      </c>
      <c r="Z83" s="23" t="s">
        <v>274</v>
      </c>
      <c r="AA83" s="23" t="s">
        <v>274</v>
      </c>
      <c r="AB83" s="27" t="s">
        <v>230</v>
      </c>
      <c r="AC83" s="27" t="s">
        <v>230</v>
      </c>
      <c r="AD83" s="52" t="s">
        <v>231</v>
      </c>
      <c r="AE83" s="23" t="s">
        <v>271</v>
      </c>
      <c r="AF83" s="23" t="s">
        <v>271</v>
      </c>
      <c r="AG83" s="23" t="s">
        <v>274</v>
      </c>
      <c r="AH83" s="23" t="s">
        <v>274</v>
      </c>
      <c r="AI83" s="23" t="s">
        <v>274</v>
      </c>
      <c r="AJ83" s="27" t="s">
        <v>230</v>
      </c>
      <c r="AL83" s="51">
        <f t="shared" si="20"/>
        <v>0</v>
      </c>
      <c r="AM83" s="51">
        <f t="shared" si="21"/>
        <v>6</v>
      </c>
      <c r="AN83" s="51">
        <f t="shared" si="22"/>
        <v>6</v>
      </c>
      <c r="AO83" s="51">
        <f t="shared" si="23"/>
        <v>6</v>
      </c>
      <c r="AP83" s="51">
        <f t="shared" si="24"/>
        <v>12</v>
      </c>
    </row>
    <row r="84" spans="2:42" ht="18.75" x14ac:dyDescent="0.25">
      <c r="B84" s="37" t="s">
        <v>250</v>
      </c>
      <c r="C84" s="148" t="s">
        <v>198</v>
      </c>
      <c r="D84" s="153"/>
      <c r="F84" s="23" t="s">
        <v>271</v>
      </c>
      <c r="G84" s="23" t="s">
        <v>271</v>
      </c>
      <c r="H84" s="23" t="s">
        <v>274</v>
      </c>
      <c r="I84" s="23" t="s">
        <v>274</v>
      </c>
      <c r="J84" s="23" t="s">
        <v>274</v>
      </c>
      <c r="K84" s="27" t="s">
        <v>230</v>
      </c>
      <c r="L84" s="27" t="s">
        <v>230</v>
      </c>
      <c r="M84" s="52" t="s">
        <v>231</v>
      </c>
      <c r="N84" s="23" t="s">
        <v>231</v>
      </c>
      <c r="O84" s="23" t="s">
        <v>271</v>
      </c>
      <c r="P84" s="23" t="s">
        <v>274</v>
      </c>
      <c r="Q84" s="23" t="s">
        <v>274</v>
      </c>
      <c r="R84" s="23" t="s">
        <v>274</v>
      </c>
      <c r="S84" s="27" t="s">
        <v>144</v>
      </c>
      <c r="T84" s="27" t="s">
        <v>230</v>
      </c>
      <c r="U84" s="52" t="s">
        <v>231</v>
      </c>
      <c r="V84" s="52" t="s">
        <v>231</v>
      </c>
      <c r="W84" s="23" t="s">
        <v>271</v>
      </c>
      <c r="X84" s="23" t="s">
        <v>274</v>
      </c>
      <c r="Y84" s="23" t="s">
        <v>274</v>
      </c>
      <c r="Z84" s="23" t="s">
        <v>274</v>
      </c>
      <c r="AA84" s="27" t="s">
        <v>230</v>
      </c>
      <c r="AB84" s="52" t="s">
        <v>231</v>
      </c>
      <c r="AC84" s="131" t="s">
        <v>231</v>
      </c>
      <c r="AD84" s="23" t="s">
        <v>271</v>
      </c>
      <c r="AE84" s="23" t="s">
        <v>271</v>
      </c>
      <c r="AF84" s="23" t="s">
        <v>274</v>
      </c>
      <c r="AG84" s="23" t="s">
        <v>274</v>
      </c>
      <c r="AH84" s="23" t="s">
        <v>274</v>
      </c>
      <c r="AI84" s="27" t="s">
        <v>230</v>
      </c>
      <c r="AJ84" s="27" t="s">
        <v>230</v>
      </c>
      <c r="AL84" s="51">
        <f t="shared" si="20"/>
        <v>0</v>
      </c>
      <c r="AM84" s="51">
        <f t="shared" si="21"/>
        <v>6</v>
      </c>
      <c r="AN84" s="51">
        <f t="shared" si="22"/>
        <v>6</v>
      </c>
      <c r="AO84" s="51">
        <f t="shared" si="23"/>
        <v>6</v>
      </c>
      <c r="AP84" s="51">
        <f t="shared" si="24"/>
        <v>12</v>
      </c>
    </row>
    <row r="85" spans="2:42" ht="18.75" x14ac:dyDescent="0.25">
      <c r="B85" s="37" t="s">
        <v>250</v>
      </c>
      <c r="C85" s="148" t="s">
        <v>199</v>
      </c>
      <c r="D85" s="153"/>
      <c r="F85" s="23" t="s">
        <v>271</v>
      </c>
      <c r="G85" s="23" t="s">
        <v>274</v>
      </c>
      <c r="H85" s="23" t="s">
        <v>274</v>
      </c>
      <c r="I85" s="23" t="s">
        <v>274</v>
      </c>
      <c r="J85" s="27" t="s">
        <v>230</v>
      </c>
      <c r="K85" s="52" t="s">
        <v>231</v>
      </c>
      <c r="L85" s="23" t="s">
        <v>231</v>
      </c>
      <c r="M85" s="23" t="s">
        <v>271</v>
      </c>
      <c r="N85" s="23" t="s">
        <v>271</v>
      </c>
      <c r="O85" s="23" t="s">
        <v>274</v>
      </c>
      <c r="P85" s="23" t="s">
        <v>274</v>
      </c>
      <c r="Q85" s="23" t="s">
        <v>274</v>
      </c>
      <c r="R85" s="27" t="s">
        <v>230</v>
      </c>
      <c r="S85" s="52" t="s">
        <v>230</v>
      </c>
      <c r="T85" s="52" t="s">
        <v>231</v>
      </c>
      <c r="U85" s="23" t="s">
        <v>231</v>
      </c>
      <c r="V85" s="23" t="s">
        <v>271</v>
      </c>
      <c r="W85" s="23" t="s">
        <v>274</v>
      </c>
      <c r="X85" s="23" t="s">
        <v>274</v>
      </c>
      <c r="Y85" s="23" t="s">
        <v>274</v>
      </c>
      <c r="Z85" s="27" t="s">
        <v>230</v>
      </c>
      <c r="AA85" s="52" t="s">
        <v>231</v>
      </c>
      <c r="AB85" s="52" t="s">
        <v>231</v>
      </c>
      <c r="AC85" s="23" t="s">
        <v>271</v>
      </c>
      <c r="AD85" s="23" t="s">
        <v>271</v>
      </c>
      <c r="AE85" s="23" t="s">
        <v>274</v>
      </c>
      <c r="AF85" s="23" t="s">
        <v>274</v>
      </c>
      <c r="AG85" s="23" t="s">
        <v>274</v>
      </c>
      <c r="AH85" s="27" t="s">
        <v>230</v>
      </c>
      <c r="AI85" s="52" t="s">
        <v>231</v>
      </c>
      <c r="AJ85" s="23" t="s">
        <v>271</v>
      </c>
      <c r="AL85" s="51">
        <f t="shared" si="20"/>
        <v>0</v>
      </c>
      <c r="AM85" s="51">
        <f t="shared" si="21"/>
        <v>5</v>
      </c>
      <c r="AN85" s="51">
        <f t="shared" si="22"/>
        <v>7</v>
      </c>
      <c r="AO85" s="51">
        <f t="shared" si="23"/>
        <v>7</v>
      </c>
      <c r="AP85" s="51">
        <f t="shared" si="24"/>
        <v>12</v>
      </c>
    </row>
    <row r="86" spans="2:42" ht="18.75" x14ac:dyDescent="0.25">
      <c r="B86" s="37" t="s">
        <v>250</v>
      </c>
      <c r="C86" s="148" t="s">
        <v>200</v>
      </c>
      <c r="D86" s="153"/>
      <c r="F86" s="23" t="s">
        <v>274</v>
      </c>
      <c r="G86" s="23" t="s">
        <v>274</v>
      </c>
      <c r="H86" s="23" t="s">
        <v>274</v>
      </c>
      <c r="I86" s="57" t="s">
        <v>230</v>
      </c>
      <c r="J86" s="57" t="s">
        <v>231</v>
      </c>
      <c r="K86" s="57" t="s">
        <v>231</v>
      </c>
      <c r="L86" s="57" t="s">
        <v>271</v>
      </c>
      <c r="M86" s="57" t="s">
        <v>271</v>
      </c>
      <c r="N86" s="57" t="s">
        <v>274</v>
      </c>
      <c r="O86" s="57" t="s">
        <v>274</v>
      </c>
      <c r="P86" s="57" t="s">
        <v>274</v>
      </c>
      <c r="Q86" s="57" t="s">
        <v>230</v>
      </c>
      <c r="R86" s="57" t="s">
        <v>230</v>
      </c>
      <c r="S86" s="57" t="s">
        <v>231</v>
      </c>
      <c r="T86" s="57" t="s">
        <v>231</v>
      </c>
      <c r="U86" s="57" t="s">
        <v>271</v>
      </c>
      <c r="V86" s="23" t="s">
        <v>274</v>
      </c>
      <c r="W86" s="23" t="s">
        <v>274</v>
      </c>
      <c r="X86" s="23" t="s">
        <v>274</v>
      </c>
      <c r="Y86" s="27" t="s">
        <v>230</v>
      </c>
      <c r="Z86" s="52" t="s">
        <v>231</v>
      </c>
      <c r="AA86" s="52" t="s">
        <v>231</v>
      </c>
      <c r="AB86" s="23" t="s">
        <v>273</v>
      </c>
      <c r="AC86" s="23" t="s">
        <v>271</v>
      </c>
      <c r="AD86" s="23" t="s">
        <v>274</v>
      </c>
      <c r="AE86" s="23" t="s">
        <v>274</v>
      </c>
      <c r="AF86" s="23" t="s">
        <v>274</v>
      </c>
      <c r="AG86" s="57" t="s">
        <v>230</v>
      </c>
      <c r="AH86" s="57" t="s">
        <v>231</v>
      </c>
      <c r="AI86" s="57" t="s">
        <v>231</v>
      </c>
      <c r="AJ86" s="57" t="s">
        <v>144</v>
      </c>
      <c r="AL86" s="51">
        <f t="shared" si="20"/>
        <v>1</v>
      </c>
      <c r="AM86" s="51">
        <f t="shared" si="21"/>
        <v>5</v>
      </c>
      <c r="AN86" s="51">
        <f t="shared" si="22"/>
        <v>8</v>
      </c>
      <c r="AO86" s="51">
        <f t="shared" si="23"/>
        <v>4</v>
      </c>
      <c r="AP86" s="51">
        <f t="shared" si="24"/>
        <v>12</v>
      </c>
    </row>
    <row r="87" spans="2:42" ht="18.75" x14ac:dyDescent="0.25">
      <c r="B87" s="37" t="s">
        <v>250</v>
      </c>
      <c r="C87" s="148" t="s">
        <v>201</v>
      </c>
      <c r="D87" s="153"/>
      <c r="F87" s="23" t="s">
        <v>274</v>
      </c>
      <c r="G87" s="23" t="s">
        <v>274</v>
      </c>
      <c r="H87" s="126" t="s">
        <v>275</v>
      </c>
      <c r="I87" s="127" t="s">
        <v>275</v>
      </c>
      <c r="J87" s="127" t="s">
        <v>275</v>
      </c>
      <c r="K87" s="128" t="s">
        <v>275</v>
      </c>
      <c r="L87" s="128" t="s">
        <v>275</v>
      </c>
      <c r="M87" s="128" t="s">
        <v>275</v>
      </c>
      <c r="N87" s="128" t="s">
        <v>275</v>
      </c>
      <c r="O87" s="128" t="s">
        <v>275</v>
      </c>
      <c r="P87" s="126" t="s">
        <v>275</v>
      </c>
      <c r="Q87" s="127" t="s">
        <v>275</v>
      </c>
      <c r="R87" s="127" t="s">
        <v>275</v>
      </c>
      <c r="S87" s="128" t="s">
        <v>275</v>
      </c>
      <c r="T87" s="128" t="s">
        <v>275</v>
      </c>
      <c r="U87" s="128" t="s">
        <v>275</v>
      </c>
      <c r="V87" s="128" t="s">
        <v>275</v>
      </c>
      <c r="W87" s="128" t="s">
        <v>275</v>
      </c>
      <c r="X87" s="126" t="s">
        <v>275</v>
      </c>
      <c r="Y87" s="126" t="s">
        <v>275</v>
      </c>
      <c r="Z87" s="127" t="s">
        <v>275</v>
      </c>
      <c r="AA87" s="127" t="s">
        <v>275</v>
      </c>
      <c r="AB87" s="127" t="s">
        <v>275</v>
      </c>
      <c r="AC87" s="129" t="s">
        <v>275</v>
      </c>
      <c r="AD87" s="128" t="s">
        <v>275</v>
      </c>
      <c r="AE87" s="128" t="s">
        <v>275</v>
      </c>
      <c r="AF87" s="126" t="s">
        <v>275</v>
      </c>
      <c r="AG87" s="127" t="s">
        <v>275</v>
      </c>
      <c r="AH87" s="127" t="s">
        <v>275</v>
      </c>
      <c r="AI87" s="128" t="s">
        <v>275</v>
      </c>
      <c r="AJ87" s="128" t="s">
        <v>275</v>
      </c>
      <c r="AL87" s="51">
        <f t="shared" si="20"/>
        <v>0</v>
      </c>
      <c r="AM87" s="51">
        <f t="shared" si="21"/>
        <v>0</v>
      </c>
      <c r="AN87" s="51">
        <f t="shared" si="22"/>
        <v>0</v>
      </c>
      <c r="AO87" s="51">
        <f t="shared" si="23"/>
        <v>0</v>
      </c>
      <c r="AP87" s="51">
        <f t="shared" si="24"/>
        <v>2</v>
      </c>
    </row>
    <row r="88" spans="2:42" ht="18.75" x14ac:dyDescent="0.25">
      <c r="B88" s="37" t="s">
        <v>250</v>
      </c>
      <c r="C88" s="148" t="s">
        <v>202</v>
      </c>
      <c r="D88" s="153"/>
      <c r="F88" s="23" t="s">
        <v>274</v>
      </c>
      <c r="G88" s="27" t="s">
        <v>230</v>
      </c>
      <c r="H88" s="52" t="s">
        <v>272</v>
      </c>
      <c r="I88" s="52" t="s">
        <v>231</v>
      </c>
      <c r="J88" s="23" t="s">
        <v>273</v>
      </c>
      <c r="K88" s="23" t="s">
        <v>271</v>
      </c>
      <c r="L88" s="23" t="s">
        <v>274</v>
      </c>
      <c r="M88" s="23" t="s">
        <v>274</v>
      </c>
      <c r="N88" s="23" t="s">
        <v>274</v>
      </c>
      <c r="O88" s="57" t="s">
        <v>230</v>
      </c>
      <c r="P88" s="57" t="s">
        <v>230</v>
      </c>
      <c r="Q88" s="57" t="s">
        <v>231</v>
      </c>
      <c r="R88" s="57" t="s">
        <v>271</v>
      </c>
      <c r="S88" s="57" t="s">
        <v>271</v>
      </c>
      <c r="T88" s="23" t="s">
        <v>274</v>
      </c>
      <c r="U88" s="23" t="s">
        <v>274</v>
      </c>
      <c r="V88" s="23" t="s">
        <v>274</v>
      </c>
      <c r="W88" s="27" t="s">
        <v>230</v>
      </c>
      <c r="X88" s="52" t="s">
        <v>230</v>
      </c>
      <c r="Y88" s="52" t="s">
        <v>231</v>
      </c>
      <c r="Z88" s="52" t="s">
        <v>231</v>
      </c>
      <c r="AA88" s="23" t="s">
        <v>271</v>
      </c>
      <c r="AB88" s="23" t="s">
        <v>274</v>
      </c>
      <c r="AC88" s="23" t="s">
        <v>274</v>
      </c>
      <c r="AD88" s="23" t="s">
        <v>274</v>
      </c>
      <c r="AE88" s="27" t="s">
        <v>275</v>
      </c>
      <c r="AF88" s="52" t="s">
        <v>275</v>
      </c>
      <c r="AG88" s="52" t="s">
        <v>275</v>
      </c>
      <c r="AH88" s="23" t="s">
        <v>275</v>
      </c>
      <c r="AI88" s="23" t="s">
        <v>275</v>
      </c>
      <c r="AJ88" s="23" t="s">
        <v>275</v>
      </c>
      <c r="AL88" s="51">
        <f t="shared" si="20"/>
        <v>2</v>
      </c>
      <c r="AM88" s="51">
        <f t="shared" si="21"/>
        <v>5</v>
      </c>
      <c r="AN88" s="51">
        <f t="shared" si="22"/>
        <v>4</v>
      </c>
      <c r="AO88" s="51">
        <f t="shared" si="23"/>
        <v>4</v>
      </c>
      <c r="AP88" s="51">
        <f t="shared" si="24"/>
        <v>10</v>
      </c>
    </row>
    <row r="89" spans="2:42" ht="18.75" x14ac:dyDescent="0.25">
      <c r="B89" s="37" t="s">
        <v>250</v>
      </c>
      <c r="C89" s="148" t="s">
        <v>203</v>
      </c>
      <c r="D89" s="153"/>
      <c r="F89" s="27" t="s">
        <v>230</v>
      </c>
      <c r="G89" s="27" t="s">
        <v>270</v>
      </c>
      <c r="H89" s="52" t="s">
        <v>231</v>
      </c>
      <c r="I89" s="23" t="s">
        <v>271</v>
      </c>
      <c r="J89" s="23" t="s">
        <v>271</v>
      </c>
      <c r="K89" s="23" t="s">
        <v>274</v>
      </c>
      <c r="L89" s="23" t="s">
        <v>274</v>
      </c>
      <c r="M89" s="23" t="s">
        <v>274</v>
      </c>
      <c r="N89" s="27" t="s">
        <v>230</v>
      </c>
      <c r="O89" s="27" t="s">
        <v>230</v>
      </c>
      <c r="P89" s="52" t="s">
        <v>144</v>
      </c>
      <c r="Q89" s="52" t="s">
        <v>231</v>
      </c>
      <c r="R89" s="52" t="s">
        <v>271</v>
      </c>
      <c r="S89" s="23" t="s">
        <v>274</v>
      </c>
      <c r="T89" s="23" t="s">
        <v>274</v>
      </c>
      <c r="U89" s="23" t="s">
        <v>274</v>
      </c>
      <c r="V89" s="27" t="s">
        <v>230</v>
      </c>
      <c r="W89" s="27" t="s">
        <v>230</v>
      </c>
      <c r="X89" s="52" t="s">
        <v>231</v>
      </c>
      <c r="Y89" s="23" t="s">
        <v>271</v>
      </c>
      <c r="Z89" s="52" t="s">
        <v>271</v>
      </c>
      <c r="AA89" s="23" t="s">
        <v>274</v>
      </c>
      <c r="AB89" s="23" t="s">
        <v>274</v>
      </c>
      <c r="AC89" s="23" t="s">
        <v>274</v>
      </c>
      <c r="AD89" s="27" t="s">
        <v>230</v>
      </c>
      <c r="AE89" s="27" t="s">
        <v>230</v>
      </c>
      <c r="AF89" s="52" t="s">
        <v>231</v>
      </c>
      <c r="AG89" s="23" t="s">
        <v>271</v>
      </c>
      <c r="AH89" s="23" t="s">
        <v>271</v>
      </c>
      <c r="AI89" s="23" t="s">
        <v>274</v>
      </c>
      <c r="AJ89" s="23" t="s">
        <v>274</v>
      </c>
      <c r="AL89" s="51">
        <f t="shared" si="20"/>
        <v>1</v>
      </c>
      <c r="AM89" s="51">
        <f t="shared" si="21"/>
        <v>7</v>
      </c>
      <c r="AN89" s="51">
        <f t="shared" si="22"/>
        <v>4</v>
      </c>
      <c r="AO89" s="51">
        <f t="shared" si="23"/>
        <v>7</v>
      </c>
      <c r="AP89" s="51">
        <f t="shared" si="24"/>
        <v>11</v>
      </c>
    </row>
    <row r="90" spans="2:42" ht="18.75" x14ac:dyDescent="0.25">
      <c r="B90" s="37" t="s">
        <v>250</v>
      </c>
      <c r="C90" s="148" t="s">
        <v>204</v>
      </c>
      <c r="D90" s="153"/>
      <c r="F90" s="27" t="s">
        <v>230</v>
      </c>
      <c r="G90" s="52" t="s">
        <v>231</v>
      </c>
      <c r="H90" s="52" t="s">
        <v>231</v>
      </c>
      <c r="I90" s="23" t="s">
        <v>271</v>
      </c>
      <c r="J90" s="23" t="s">
        <v>274</v>
      </c>
      <c r="K90" s="23" t="s">
        <v>274</v>
      </c>
      <c r="L90" s="23" t="s">
        <v>274</v>
      </c>
      <c r="M90" s="27" t="s">
        <v>230</v>
      </c>
      <c r="N90" s="52" t="s">
        <v>230</v>
      </c>
      <c r="O90" s="52" t="s">
        <v>231</v>
      </c>
      <c r="P90" s="23" t="s">
        <v>271</v>
      </c>
      <c r="Q90" s="23" t="s">
        <v>271</v>
      </c>
      <c r="R90" s="23" t="s">
        <v>274</v>
      </c>
      <c r="S90" s="23" t="s">
        <v>274</v>
      </c>
      <c r="T90" s="23" t="s">
        <v>274</v>
      </c>
      <c r="U90" s="27" t="s">
        <v>230</v>
      </c>
      <c r="V90" s="27" t="s">
        <v>230</v>
      </c>
      <c r="W90" s="52" t="s">
        <v>231</v>
      </c>
      <c r="X90" s="52" t="s">
        <v>271</v>
      </c>
      <c r="Y90" s="23" t="s">
        <v>271</v>
      </c>
      <c r="Z90" s="23" t="s">
        <v>274</v>
      </c>
      <c r="AA90" s="23" t="s">
        <v>274</v>
      </c>
      <c r="AB90" s="23" t="s">
        <v>274</v>
      </c>
      <c r="AC90" s="27" t="s">
        <v>230</v>
      </c>
      <c r="AD90" s="27" t="s">
        <v>230</v>
      </c>
      <c r="AE90" s="52" t="s">
        <v>231</v>
      </c>
      <c r="AF90" s="52" t="s">
        <v>271</v>
      </c>
      <c r="AG90" s="23" t="s">
        <v>271</v>
      </c>
      <c r="AH90" s="23" t="s">
        <v>274</v>
      </c>
      <c r="AI90" s="23" t="s">
        <v>274</v>
      </c>
      <c r="AJ90" s="23" t="s">
        <v>274</v>
      </c>
      <c r="AL90" s="51">
        <f t="shared" si="20"/>
        <v>0</v>
      </c>
      <c r="AM90" s="51">
        <f t="shared" si="21"/>
        <v>7</v>
      </c>
      <c r="AN90" s="51">
        <f t="shared" si="22"/>
        <v>5</v>
      </c>
      <c r="AO90" s="51">
        <f t="shared" si="23"/>
        <v>7</v>
      </c>
      <c r="AP90" s="51">
        <f t="shared" si="24"/>
        <v>12</v>
      </c>
    </row>
    <row r="91" spans="2:42" ht="18.75" x14ac:dyDescent="0.25">
      <c r="B91" s="37" t="s">
        <v>250</v>
      </c>
      <c r="C91" s="148" t="s">
        <v>205</v>
      </c>
      <c r="D91" s="153"/>
      <c r="F91" s="52" t="s">
        <v>231</v>
      </c>
      <c r="G91" s="52" t="s">
        <v>231</v>
      </c>
      <c r="H91" s="23" t="s">
        <v>271</v>
      </c>
      <c r="I91" s="23" t="s">
        <v>274</v>
      </c>
      <c r="J91" s="23" t="s">
        <v>274</v>
      </c>
      <c r="K91" s="23" t="s">
        <v>274</v>
      </c>
      <c r="L91" s="27" t="s">
        <v>230</v>
      </c>
      <c r="M91" s="52" t="s">
        <v>231</v>
      </c>
      <c r="N91" s="52" t="s">
        <v>144</v>
      </c>
      <c r="O91" s="23" t="s">
        <v>271</v>
      </c>
      <c r="P91" s="23" t="s">
        <v>271</v>
      </c>
      <c r="Q91" s="23" t="s">
        <v>274</v>
      </c>
      <c r="R91" s="23" t="s">
        <v>274</v>
      </c>
      <c r="S91" s="23" t="s">
        <v>274</v>
      </c>
      <c r="T91" s="27" t="s">
        <v>230</v>
      </c>
      <c r="U91" s="52" t="s">
        <v>230</v>
      </c>
      <c r="V91" s="52" t="s">
        <v>231</v>
      </c>
      <c r="W91" s="23" t="s">
        <v>271</v>
      </c>
      <c r="X91" s="23" t="s">
        <v>271</v>
      </c>
      <c r="Y91" s="23" t="s">
        <v>274</v>
      </c>
      <c r="Z91" s="23" t="s">
        <v>274</v>
      </c>
      <c r="AA91" s="23" t="s">
        <v>274</v>
      </c>
      <c r="AB91" s="27" t="s">
        <v>230</v>
      </c>
      <c r="AC91" s="52" t="s">
        <v>230</v>
      </c>
      <c r="AD91" s="52" t="s">
        <v>231</v>
      </c>
      <c r="AE91" s="52" t="s">
        <v>231</v>
      </c>
      <c r="AF91" s="23" t="s">
        <v>271</v>
      </c>
      <c r="AG91" s="23" t="s">
        <v>274</v>
      </c>
      <c r="AH91" s="23" t="s">
        <v>274</v>
      </c>
      <c r="AI91" s="23" t="s">
        <v>274</v>
      </c>
      <c r="AJ91" s="27" t="s">
        <v>230</v>
      </c>
      <c r="AL91" s="51">
        <f t="shared" si="20"/>
        <v>0</v>
      </c>
      <c r="AM91" s="51">
        <f t="shared" si="21"/>
        <v>6</v>
      </c>
      <c r="AN91" s="51">
        <f t="shared" si="22"/>
        <v>6</v>
      </c>
      <c r="AO91" s="51">
        <f t="shared" si="23"/>
        <v>6</v>
      </c>
      <c r="AP91" s="51">
        <f t="shared" si="24"/>
        <v>12</v>
      </c>
    </row>
    <row r="92" spans="2:42" ht="18.75" x14ac:dyDescent="0.25">
      <c r="B92" s="37" t="s">
        <v>250</v>
      </c>
      <c r="C92" s="148" t="s">
        <v>206</v>
      </c>
      <c r="D92" s="153"/>
      <c r="F92" s="52" t="s">
        <v>231</v>
      </c>
      <c r="G92" s="23" t="s">
        <v>271</v>
      </c>
      <c r="H92" s="23" t="s">
        <v>274</v>
      </c>
      <c r="I92" s="23" t="s">
        <v>274</v>
      </c>
      <c r="J92" s="23" t="s">
        <v>274</v>
      </c>
      <c r="K92" s="27" t="s">
        <v>230</v>
      </c>
      <c r="L92" s="52" t="s">
        <v>272</v>
      </c>
      <c r="M92" s="52" t="s">
        <v>231</v>
      </c>
      <c r="N92" s="52" t="s">
        <v>271</v>
      </c>
      <c r="O92" s="52" t="s">
        <v>271</v>
      </c>
      <c r="P92" s="23" t="s">
        <v>274</v>
      </c>
      <c r="Q92" s="23" t="s">
        <v>274</v>
      </c>
      <c r="R92" s="23" t="s">
        <v>274</v>
      </c>
      <c r="S92" s="27" t="s">
        <v>230</v>
      </c>
      <c r="T92" s="52" t="s">
        <v>230</v>
      </c>
      <c r="U92" s="52" t="s">
        <v>231</v>
      </c>
      <c r="V92" s="23" t="s">
        <v>271</v>
      </c>
      <c r="W92" s="23" t="s">
        <v>271</v>
      </c>
      <c r="X92" s="23" t="s">
        <v>274</v>
      </c>
      <c r="Y92" s="23" t="s">
        <v>274</v>
      </c>
      <c r="Z92" s="23" t="s">
        <v>274</v>
      </c>
      <c r="AA92" s="27" t="s">
        <v>230</v>
      </c>
      <c r="AB92" s="27" t="s">
        <v>230</v>
      </c>
      <c r="AC92" s="52" t="s">
        <v>231</v>
      </c>
      <c r="AD92" s="52" t="s">
        <v>231</v>
      </c>
      <c r="AE92" s="23" t="s">
        <v>271</v>
      </c>
      <c r="AF92" s="23" t="s">
        <v>274</v>
      </c>
      <c r="AG92" s="23" t="s">
        <v>274</v>
      </c>
      <c r="AH92" s="23" t="s">
        <v>274</v>
      </c>
      <c r="AI92" s="27" t="s">
        <v>230</v>
      </c>
      <c r="AJ92" s="52" t="s">
        <v>231</v>
      </c>
      <c r="AL92" s="51">
        <f t="shared" si="20"/>
        <v>1</v>
      </c>
      <c r="AM92" s="51">
        <f t="shared" si="21"/>
        <v>6</v>
      </c>
      <c r="AN92" s="51">
        <f t="shared" si="22"/>
        <v>6</v>
      </c>
      <c r="AO92" s="51">
        <f t="shared" si="23"/>
        <v>6</v>
      </c>
      <c r="AP92" s="51">
        <f t="shared" si="24"/>
        <v>12</v>
      </c>
    </row>
    <row r="93" spans="2:42" ht="18.75" x14ac:dyDescent="0.25">
      <c r="B93" s="37" t="s">
        <v>250</v>
      </c>
      <c r="C93" s="148" t="s">
        <v>207</v>
      </c>
      <c r="D93" s="153"/>
      <c r="F93" s="23" t="s">
        <v>271</v>
      </c>
      <c r="G93" s="23" t="s">
        <v>274</v>
      </c>
      <c r="H93" s="23" t="s">
        <v>274</v>
      </c>
      <c r="I93" s="23" t="s">
        <v>274</v>
      </c>
      <c r="J93" s="27" t="s">
        <v>230</v>
      </c>
      <c r="K93" s="27" t="s">
        <v>230</v>
      </c>
      <c r="L93" s="52" t="s">
        <v>231</v>
      </c>
      <c r="M93" s="23" t="s">
        <v>273</v>
      </c>
      <c r="N93" s="23" t="s">
        <v>271</v>
      </c>
      <c r="O93" s="23" t="s">
        <v>274</v>
      </c>
      <c r="P93" s="23" t="s">
        <v>274</v>
      </c>
      <c r="Q93" s="23" t="s">
        <v>274</v>
      </c>
      <c r="R93" s="27" t="s">
        <v>230</v>
      </c>
      <c r="S93" s="27" t="s">
        <v>230</v>
      </c>
      <c r="T93" s="52" t="s">
        <v>231</v>
      </c>
      <c r="U93" s="23" t="s">
        <v>271</v>
      </c>
      <c r="V93" s="23" t="s">
        <v>271</v>
      </c>
      <c r="W93" s="23" t="s">
        <v>274</v>
      </c>
      <c r="X93" s="23" t="s">
        <v>274</v>
      </c>
      <c r="Y93" s="23" t="s">
        <v>274</v>
      </c>
      <c r="Z93" s="27" t="s">
        <v>230</v>
      </c>
      <c r="AA93" s="27" t="s">
        <v>230</v>
      </c>
      <c r="AB93" s="52" t="s">
        <v>231</v>
      </c>
      <c r="AC93" s="52" t="s">
        <v>231</v>
      </c>
      <c r="AD93" s="23" t="s">
        <v>271</v>
      </c>
      <c r="AE93" s="23" t="s">
        <v>274</v>
      </c>
      <c r="AF93" s="23" t="s">
        <v>274</v>
      </c>
      <c r="AG93" s="23" t="s">
        <v>274</v>
      </c>
      <c r="AH93" s="27" t="s">
        <v>230</v>
      </c>
      <c r="AI93" s="27" t="s">
        <v>230</v>
      </c>
      <c r="AJ93" s="52" t="s">
        <v>144</v>
      </c>
      <c r="AL93" s="51">
        <f t="shared" si="20"/>
        <v>1</v>
      </c>
      <c r="AM93" s="51">
        <f t="shared" si="21"/>
        <v>8</v>
      </c>
      <c r="AN93" s="51">
        <f t="shared" si="22"/>
        <v>4</v>
      </c>
      <c r="AO93" s="51">
        <f t="shared" si="23"/>
        <v>5</v>
      </c>
      <c r="AP93" s="51">
        <f t="shared" si="24"/>
        <v>12</v>
      </c>
    </row>
    <row r="94" spans="2:42" ht="18.75" x14ac:dyDescent="0.25">
      <c r="B94" s="37" t="s">
        <v>250</v>
      </c>
      <c r="C94" s="148" t="s">
        <v>208</v>
      </c>
      <c r="D94" s="153"/>
      <c r="F94" s="23" t="s">
        <v>274</v>
      </c>
      <c r="G94" s="23" t="s">
        <v>274</v>
      </c>
      <c r="H94" s="23" t="s">
        <v>274</v>
      </c>
      <c r="I94" s="27" t="s">
        <v>230</v>
      </c>
      <c r="J94" s="27" t="s">
        <v>230</v>
      </c>
      <c r="K94" s="52" t="s">
        <v>272</v>
      </c>
      <c r="L94" s="52" t="s">
        <v>231</v>
      </c>
      <c r="M94" s="52" t="s">
        <v>271</v>
      </c>
      <c r="N94" s="23" t="s">
        <v>274</v>
      </c>
      <c r="O94" s="23" t="s">
        <v>274</v>
      </c>
      <c r="P94" s="23" t="s">
        <v>274</v>
      </c>
      <c r="Q94" s="27" t="s">
        <v>230</v>
      </c>
      <c r="R94" s="27" t="s">
        <v>231</v>
      </c>
      <c r="S94" s="52" t="s">
        <v>231</v>
      </c>
      <c r="T94" s="23" t="s">
        <v>271</v>
      </c>
      <c r="U94" s="23" t="s">
        <v>271</v>
      </c>
      <c r="V94" s="23" t="s">
        <v>274</v>
      </c>
      <c r="W94" s="23" t="s">
        <v>274</v>
      </c>
      <c r="X94" s="23" t="s">
        <v>274</v>
      </c>
      <c r="Y94" s="27" t="s">
        <v>230</v>
      </c>
      <c r="Z94" s="27" t="s">
        <v>230</v>
      </c>
      <c r="AA94" s="52" t="s">
        <v>272</v>
      </c>
      <c r="AB94" s="52" t="s">
        <v>271</v>
      </c>
      <c r="AC94" s="23" t="s">
        <v>271</v>
      </c>
      <c r="AD94" s="23" t="s">
        <v>274</v>
      </c>
      <c r="AE94" s="23" t="s">
        <v>274</v>
      </c>
      <c r="AF94" s="23" t="s">
        <v>274</v>
      </c>
      <c r="AG94" s="27" t="s">
        <v>230</v>
      </c>
      <c r="AH94" s="27" t="s">
        <v>230</v>
      </c>
      <c r="AI94" s="52" t="s">
        <v>231</v>
      </c>
      <c r="AJ94" s="52" t="s">
        <v>231</v>
      </c>
      <c r="AL94" s="51">
        <f t="shared" si="20"/>
        <v>2</v>
      </c>
      <c r="AM94" s="51">
        <f t="shared" si="21"/>
        <v>7</v>
      </c>
      <c r="AN94" s="51">
        <f t="shared" si="22"/>
        <v>5</v>
      </c>
      <c r="AO94" s="51">
        <f t="shared" si="23"/>
        <v>5</v>
      </c>
      <c r="AP94" s="51">
        <f t="shared" si="24"/>
        <v>12</v>
      </c>
    </row>
    <row r="95" spans="2:42" ht="18.75" x14ac:dyDescent="0.25">
      <c r="B95" s="37" t="s">
        <v>250</v>
      </c>
      <c r="C95" s="148" t="s">
        <v>209</v>
      </c>
      <c r="D95" s="153"/>
      <c r="F95" s="23" t="s">
        <v>274</v>
      </c>
      <c r="G95" s="23" t="s">
        <v>274</v>
      </c>
      <c r="H95" s="27" t="s">
        <v>230</v>
      </c>
      <c r="I95" s="27" t="s">
        <v>230</v>
      </c>
      <c r="J95" s="52" t="s">
        <v>231</v>
      </c>
      <c r="K95" s="52" t="s">
        <v>231</v>
      </c>
      <c r="L95" s="52" t="s">
        <v>271</v>
      </c>
      <c r="M95" s="23" t="s">
        <v>274</v>
      </c>
      <c r="N95" s="23" t="s">
        <v>274</v>
      </c>
      <c r="O95" s="23" t="s">
        <v>274</v>
      </c>
      <c r="P95" s="27" t="s">
        <v>230</v>
      </c>
      <c r="Q95" s="27" t="s">
        <v>231</v>
      </c>
      <c r="R95" s="52" t="s">
        <v>231</v>
      </c>
      <c r="S95" s="23" t="s">
        <v>271</v>
      </c>
      <c r="T95" s="23" t="s">
        <v>271</v>
      </c>
      <c r="U95" s="23" t="s">
        <v>274</v>
      </c>
      <c r="V95" s="23" t="s">
        <v>274</v>
      </c>
      <c r="W95" s="23" t="s">
        <v>274</v>
      </c>
      <c r="X95" s="27" t="s">
        <v>230</v>
      </c>
      <c r="Y95" s="52" t="s">
        <v>230</v>
      </c>
      <c r="Z95" s="52" t="s">
        <v>272</v>
      </c>
      <c r="AA95" s="52" t="s">
        <v>231</v>
      </c>
      <c r="AB95" s="23" t="s">
        <v>271</v>
      </c>
      <c r="AC95" s="23" t="s">
        <v>274</v>
      </c>
      <c r="AD95" s="23" t="s">
        <v>274</v>
      </c>
      <c r="AE95" s="23" t="s">
        <v>274</v>
      </c>
      <c r="AF95" s="27" t="s">
        <v>230</v>
      </c>
      <c r="AG95" s="27" t="s">
        <v>230</v>
      </c>
      <c r="AH95" s="52" t="s">
        <v>231</v>
      </c>
      <c r="AI95" s="52" t="s">
        <v>271</v>
      </c>
      <c r="AJ95" s="52" t="s">
        <v>271</v>
      </c>
      <c r="AL95" s="51">
        <f t="shared" si="20"/>
        <v>1</v>
      </c>
      <c r="AM95" s="51">
        <f t="shared" si="21"/>
        <v>7</v>
      </c>
      <c r="AN95" s="51">
        <f t="shared" si="22"/>
        <v>6</v>
      </c>
      <c r="AO95" s="51">
        <f t="shared" si="23"/>
        <v>6</v>
      </c>
      <c r="AP95" s="51">
        <f t="shared" si="24"/>
        <v>11</v>
      </c>
    </row>
    <row r="96" spans="2:42" ht="18.75" x14ac:dyDescent="0.25">
      <c r="B96" s="37" t="s">
        <v>250</v>
      </c>
      <c r="C96" s="68" t="s">
        <v>191</v>
      </c>
      <c r="D96" s="69"/>
      <c r="F96" s="27" t="s">
        <v>230</v>
      </c>
      <c r="G96" s="52" t="s">
        <v>231</v>
      </c>
      <c r="H96" s="52" t="s">
        <v>231</v>
      </c>
      <c r="I96" s="52" t="s">
        <v>231</v>
      </c>
      <c r="J96" s="23" t="s">
        <v>274</v>
      </c>
      <c r="K96" s="23" t="s">
        <v>274</v>
      </c>
      <c r="L96" s="27" t="s">
        <v>230</v>
      </c>
      <c r="M96" s="27" t="s">
        <v>230</v>
      </c>
      <c r="N96" s="52" t="s">
        <v>231</v>
      </c>
      <c r="O96" s="52" t="s">
        <v>231</v>
      </c>
      <c r="P96" s="52" t="s">
        <v>231</v>
      </c>
      <c r="Q96" s="23" t="s">
        <v>274</v>
      </c>
      <c r="R96" s="23" t="s">
        <v>274</v>
      </c>
      <c r="S96" s="27" t="s">
        <v>230</v>
      </c>
      <c r="T96" s="27" t="s">
        <v>230</v>
      </c>
      <c r="U96" s="52" t="s">
        <v>231</v>
      </c>
      <c r="V96" s="52" t="s">
        <v>231</v>
      </c>
      <c r="W96" s="52" t="s">
        <v>231</v>
      </c>
      <c r="X96" s="23" t="s">
        <v>274</v>
      </c>
      <c r="Y96" s="23" t="s">
        <v>274</v>
      </c>
      <c r="Z96" s="27" t="s">
        <v>230</v>
      </c>
      <c r="AA96" s="27" t="s">
        <v>230</v>
      </c>
      <c r="AB96" s="52" t="s">
        <v>231</v>
      </c>
      <c r="AC96" s="52" t="s">
        <v>231</v>
      </c>
      <c r="AD96" s="52" t="s">
        <v>231</v>
      </c>
      <c r="AE96" s="23" t="s">
        <v>274</v>
      </c>
      <c r="AF96" s="23" t="s">
        <v>274</v>
      </c>
      <c r="AG96" s="27" t="s">
        <v>230</v>
      </c>
      <c r="AH96" s="27" t="s">
        <v>230</v>
      </c>
      <c r="AI96" s="52" t="s">
        <v>231</v>
      </c>
      <c r="AJ96" s="52" t="s">
        <v>231</v>
      </c>
      <c r="AL96" s="51">
        <f t="shared" si="20"/>
        <v>0</v>
      </c>
      <c r="AM96" s="51">
        <f t="shared" si="21"/>
        <v>9</v>
      </c>
      <c r="AN96" s="51">
        <f t="shared" si="22"/>
        <v>14</v>
      </c>
      <c r="AO96" s="51">
        <f t="shared" si="23"/>
        <v>0</v>
      </c>
      <c r="AP96" s="51">
        <f t="shared" si="24"/>
        <v>8</v>
      </c>
    </row>
    <row r="97" spans="2:42" ht="19.5" thickBot="1" x14ac:dyDescent="0.3">
      <c r="B97" s="37" t="s">
        <v>250</v>
      </c>
      <c r="C97" s="148" t="s">
        <v>192</v>
      </c>
      <c r="D97" s="153"/>
      <c r="F97" s="65" t="s">
        <v>231</v>
      </c>
      <c r="G97" s="112" t="s">
        <v>230</v>
      </c>
      <c r="H97" s="112" t="s">
        <v>230</v>
      </c>
      <c r="I97" s="112" t="s">
        <v>230</v>
      </c>
      <c r="J97" s="113" t="s">
        <v>274</v>
      </c>
      <c r="K97" s="113" t="s">
        <v>274</v>
      </c>
      <c r="L97" s="65" t="s">
        <v>231</v>
      </c>
      <c r="M97" s="65" t="s">
        <v>231</v>
      </c>
      <c r="N97" s="112" t="s">
        <v>230</v>
      </c>
      <c r="O97" s="112" t="s">
        <v>144</v>
      </c>
      <c r="P97" s="112" t="s">
        <v>230</v>
      </c>
      <c r="Q97" s="113" t="s">
        <v>274</v>
      </c>
      <c r="R97" s="113" t="s">
        <v>274</v>
      </c>
      <c r="S97" s="65" t="s">
        <v>231</v>
      </c>
      <c r="T97" s="65" t="s">
        <v>144</v>
      </c>
      <c r="U97" s="112" t="s">
        <v>230</v>
      </c>
      <c r="V97" s="112" t="s">
        <v>230</v>
      </c>
      <c r="W97" s="112" t="s">
        <v>230</v>
      </c>
      <c r="X97" s="113" t="s">
        <v>274</v>
      </c>
      <c r="Y97" s="113" t="s">
        <v>274</v>
      </c>
      <c r="Z97" s="65" t="s">
        <v>231</v>
      </c>
      <c r="AA97" s="65" t="s">
        <v>231</v>
      </c>
      <c r="AB97" s="112" t="s">
        <v>230</v>
      </c>
      <c r="AC97" s="112" t="s">
        <v>230</v>
      </c>
      <c r="AD97" s="112" t="s">
        <v>230</v>
      </c>
      <c r="AE97" s="113" t="s">
        <v>274</v>
      </c>
      <c r="AF97" s="113" t="s">
        <v>274</v>
      </c>
      <c r="AG97" s="65" t="s">
        <v>231</v>
      </c>
      <c r="AH97" s="65" t="s">
        <v>231</v>
      </c>
      <c r="AI97" s="112" t="s">
        <v>230</v>
      </c>
      <c r="AJ97" s="112" t="s">
        <v>230</v>
      </c>
      <c r="AL97" s="51">
        <f t="shared" si="20"/>
        <v>0</v>
      </c>
      <c r="AM97" s="51">
        <f t="shared" si="21"/>
        <v>13</v>
      </c>
      <c r="AN97" s="51">
        <f t="shared" si="22"/>
        <v>8</v>
      </c>
      <c r="AO97" s="51">
        <f t="shared" si="23"/>
        <v>0</v>
      </c>
      <c r="AP97" s="51">
        <f t="shared" si="24"/>
        <v>8</v>
      </c>
    </row>
    <row r="98" spans="2:42" x14ac:dyDescent="0.25">
      <c r="F98" s="20" t="s">
        <v>94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</row>
    <row r="99" spans="2:42" ht="18.75" x14ac:dyDescent="0.3">
      <c r="C99" s="183" t="s">
        <v>91</v>
      </c>
      <c r="D99" s="183"/>
      <c r="E99" s="36"/>
      <c r="F99" s="37">
        <f>COUNTIF(F5:F97,"M*")</f>
        <v>15</v>
      </c>
      <c r="G99" s="37">
        <f t="shared" ref="G99:AJ99" si="25">COUNTIF(G5:G97,"M*")</f>
        <v>14</v>
      </c>
      <c r="H99" s="37">
        <f t="shared" si="25"/>
        <v>15</v>
      </c>
      <c r="I99" s="37">
        <f t="shared" si="25"/>
        <v>14</v>
      </c>
      <c r="J99" s="37">
        <f t="shared" si="25"/>
        <v>13</v>
      </c>
      <c r="K99" s="37">
        <f t="shared" si="25"/>
        <v>12</v>
      </c>
      <c r="L99" s="37">
        <f t="shared" si="25"/>
        <v>14</v>
      </c>
      <c r="M99" s="37">
        <f t="shared" si="25"/>
        <v>13</v>
      </c>
      <c r="N99" s="37">
        <f t="shared" si="25"/>
        <v>14</v>
      </c>
      <c r="O99" s="37">
        <f t="shared" si="25"/>
        <v>13</v>
      </c>
      <c r="P99" s="37">
        <f t="shared" si="25"/>
        <v>14</v>
      </c>
      <c r="Q99" s="37">
        <f t="shared" si="25"/>
        <v>12</v>
      </c>
      <c r="R99" s="37">
        <f t="shared" si="25"/>
        <v>13</v>
      </c>
      <c r="S99" s="37">
        <f t="shared" si="25"/>
        <v>14</v>
      </c>
      <c r="T99" s="37">
        <f t="shared" si="25"/>
        <v>12</v>
      </c>
      <c r="U99" s="37">
        <f t="shared" si="25"/>
        <v>14</v>
      </c>
      <c r="V99" s="37">
        <f t="shared" si="25"/>
        <v>16</v>
      </c>
      <c r="W99" s="37">
        <f t="shared" si="25"/>
        <v>14</v>
      </c>
      <c r="X99" s="37">
        <f t="shared" si="25"/>
        <v>12</v>
      </c>
      <c r="Y99" s="37">
        <f t="shared" si="25"/>
        <v>13</v>
      </c>
      <c r="Z99" s="37">
        <f t="shared" si="25"/>
        <v>15</v>
      </c>
      <c r="AA99" s="37">
        <f t="shared" si="25"/>
        <v>14</v>
      </c>
      <c r="AB99" s="37">
        <f t="shared" si="25"/>
        <v>14</v>
      </c>
      <c r="AC99" s="37">
        <f t="shared" si="25"/>
        <v>15</v>
      </c>
      <c r="AD99" s="37">
        <f t="shared" si="25"/>
        <v>15</v>
      </c>
      <c r="AE99" s="37">
        <f t="shared" si="25"/>
        <v>11</v>
      </c>
      <c r="AF99" s="37">
        <f t="shared" si="25"/>
        <v>13</v>
      </c>
      <c r="AG99" s="37">
        <f t="shared" si="25"/>
        <v>15</v>
      </c>
      <c r="AH99" s="37">
        <f t="shared" si="25"/>
        <v>12</v>
      </c>
      <c r="AI99" s="37">
        <f t="shared" si="25"/>
        <v>15</v>
      </c>
      <c r="AJ99" s="37">
        <f t="shared" si="25"/>
        <v>14</v>
      </c>
    </row>
    <row r="100" spans="2:42" ht="18.75" x14ac:dyDescent="0.3">
      <c r="C100" s="183" t="s">
        <v>92</v>
      </c>
      <c r="D100" s="183"/>
      <c r="E100" s="36"/>
      <c r="F100" s="37">
        <f>COUNTIF(F5:F97,"A*")</f>
        <v>14</v>
      </c>
      <c r="G100" s="37">
        <f t="shared" ref="G100:AJ100" si="26">COUNTIF(G5:G97,"A*")</f>
        <v>14</v>
      </c>
      <c r="H100" s="37">
        <f t="shared" si="26"/>
        <v>13</v>
      </c>
      <c r="I100" s="37">
        <f t="shared" si="26"/>
        <v>14</v>
      </c>
      <c r="J100" s="37">
        <f t="shared" si="26"/>
        <v>11</v>
      </c>
      <c r="K100" s="37">
        <f t="shared" si="26"/>
        <v>12</v>
      </c>
      <c r="L100" s="37">
        <f t="shared" si="26"/>
        <v>14</v>
      </c>
      <c r="M100" s="37">
        <f t="shared" si="26"/>
        <v>13</v>
      </c>
      <c r="N100" s="37">
        <f t="shared" si="26"/>
        <v>12</v>
      </c>
      <c r="O100" s="37">
        <f t="shared" si="26"/>
        <v>14</v>
      </c>
      <c r="P100" s="37">
        <f t="shared" si="26"/>
        <v>12</v>
      </c>
      <c r="Q100" s="37">
        <f t="shared" si="26"/>
        <v>11</v>
      </c>
      <c r="R100" s="37">
        <f t="shared" si="26"/>
        <v>12</v>
      </c>
      <c r="S100" s="37">
        <f t="shared" si="26"/>
        <v>14</v>
      </c>
      <c r="T100" s="37">
        <f t="shared" si="26"/>
        <v>13</v>
      </c>
      <c r="U100" s="37">
        <f t="shared" si="26"/>
        <v>12</v>
      </c>
      <c r="V100" s="37">
        <f t="shared" si="26"/>
        <v>12</v>
      </c>
      <c r="W100" s="37">
        <f t="shared" si="26"/>
        <v>14</v>
      </c>
      <c r="X100" s="37">
        <f t="shared" si="26"/>
        <v>12</v>
      </c>
      <c r="Y100" s="37">
        <f t="shared" si="26"/>
        <v>12</v>
      </c>
      <c r="Z100" s="37">
        <f t="shared" si="26"/>
        <v>14</v>
      </c>
      <c r="AA100" s="37">
        <f t="shared" si="26"/>
        <v>13</v>
      </c>
      <c r="AB100" s="37">
        <f t="shared" si="26"/>
        <v>14</v>
      </c>
      <c r="AC100" s="37">
        <f t="shared" si="26"/>
        <v>13</v>
      </c>
      <c r="AD100" s="37">
        <f t="shared" si="26"/>
        <v>15</v>
      </c>
      <c r="AE100" s="37">
        <f t="shared" si="26"/>
        <v>12</v>
      </c>
      <c r="AF100" s="37">
        <f t="shared" si="26"/>
        <v>11</v>
      </c>
      <c r="AG100" s="37">
        <f t="shared" si="26"/>
        <v>13</v>
      </c>
      <c r="AH100" s="37">
        <f t="shared" si="26"/>
        <v>13</v>
      </c>
      <c r="AI100" s="37">
        <f t="shared" si="26"/>
        <v>12</v>
      </c>
      <c r="AJ100" s="37">
        <f t="shared" si="26"/>
        <v>11</v>
      </c>
    </row>
    <row r="101" spans="2:42" ht="18.75" x14ac:dyDescent="0.3">
      <c r="C101" s="183" t="s">
        <v>72</v>
      </c>
      <c r="D101" s="183"/>
      <c r="E101" s="36"/>
      <c r="F101" s="37">
        <f>COUNTIF(F5:F97,"N*")</f>
        <v>13</v>
      </c>
      <c r="G101" s="37">
        <f t="shared" ref="G101:AJ101" si="27">COUNTIF(G5:G97,"N*")</f>
        <v>13</v>
      </c>
      <c r="H101" s="37">
        <f t="shared" si="27"/>
        <v>12</v>
      </c>
      <c r="I101" s="37">
        <f t="shared" si="27"/>
        <v>12</v>
      </c>
      <c r="J101" s="37">
        <f t="shared" si="27"/>
        <v>13</v>
      </c>
      <c r="K101" s="37">
        <f t="shared" si="27"/>
        <v>13</v>
      </c>
      <c r="L101" s="37">
        <f t="shared" si="27"/>
        <v>13</v>
      </c>
      <c r="M101" s="37">
        <f t="shared" si="27"/>
        <v>12</v>
      </c>
      <c r="N101" s="37">
        <f t="shared" si="27"/>
        <v>12</v>
      </c>
      <c r="O101" s="37">
        <f t="shared" si="27"/>
        <v>11</v>
      </c>
      <c r="P101" s="37">
        <f t="shared" si="27"/>
        <v>12</v>
      </c>
      <c r="Q101" s="37">
        <f t="shared" si="27"/>
        <v>13</v>
      </c>
      <c r="R101" s="37">
        <f t="shared" si="27"/>
        <v>11</v>
      </c>
      <c r="S101" s="37">
        <f t="shared" si="27"/>
        <v>11</v>
      </c>
      <c r="T101" s="37">
        <f t="shared" si="27"/>
        <v>12</v>
      </c>
      <c r="U101" s="37">
        <f t="shared" si="27"/>
        <v>12</v>
      </c>
      <c r="V101" s="37">
        <f t="shared" si="27"/>
        <v>12</v>
      </c>
      <c r="W101" s="37">
        <f t="shared" si="27"/>
        <v>12</v>
      </c>
      <c r="X101" s="37">
        <f t="shared" si="27"/>
        <v>12</v>
      </c>
      <c r="Y101" s="37">
        <f t="shared" si="27"/>
        <v>13</v>
      </c>
      <c r="Z101" s="37">
        <f t="shared" si="27"/>
        <v>13</v>
      </c>
      <c r="AA101" s="37">
        <f t="shared" si="27"/>
        <v>12</v>
      </c>
      <c r="AB101" s="37">
        <f t="shared" si="27"/>
        <v>13</v>
      </c>
      <c r="AC101" s="37">
        <f t="shared" si="27"/>
        <v>12</v>
      </c>
      <c r="AD101" s="37">
        <f t="shared" si="27"/>
        <v>13</v>
      </c>
      <c r="AE101" s="37">
        <f t="shared" si="27"/>
        <v>13</v>
      </c>
      <c r="AF101" s="37">
        <f t="shared" si="27"/>
        <v>12</v>
      </c>
      <c r="AG101" s="37">
        <f t="shared" si="27"/>
        <v>11</v>
      </c>
      <c r="AH101" s="37">
        <f t="shared" si="27"/>
        <v>12</v>
      </c>
      <c r="AI101" s="37">
        <f t="shared" si="27"/>
        <v>12</v>
      </c>
      <c r="AJ101" s="37">
        <f t="shared" si="27"/>
        <v>12</v>
      </c>
    </row>
    <row r="102" spans="2:42" ht="18.75" x14ac:dyDescent="0.3">
      <c r="C102" s="183" t="s">
        <v>73</v>
      </c>
      <c r="D102" s="183"/>
      <c r="E102" s="36"/>
      <c r="F102" s="37">
        <f t="shared" ref="F102:AJ102" si="28">COUNTIF(F$26:F$97,"O*")</f>
        <v>19</v>
      </c>
      <c r="G102" s="37">
        <f t="shared" si="28"/>
        <v>18</v>
      </c>
      <c r="H102" s="37">
        <f t="shared" si="28"/>
        <v>18</v>
      </c>
      <c r="I102" s="37">
        <f t="shared" si="28"/>
        <v>19</v>
      </c>
      <c r="J102" s="37">
        <f t="shared" si="28"/>
        <v>22</v>
      </c>
      <c r="K102" s="37">
        <f t="shared" si="28"/>
        <v>20</v>
      </c>
      <c r="L102" s="37">
        <f t="shared" si="28"/>
        <v>18</v>
      </c>
      <c r="M102" s="37">
        <f t="shared" si="28"/>
        <v>19</v>
      </c>
      <c r="N102" s="37">
        <f t="shared" si="28"/>
        <v>18</v>
      </c>
      <c r="O102" s="37">
        <f t="shared" si="28"/>
        <v>17</v>
      </c>
      <c r="P102" s="37">
        <f t="shared" si="28"/>
        <v>19</v>
      </c>
      <c r="Q102" s="37">
        <f t="shared" si="28"/>
        <v>24</v>
      </c>
      <c r="R102" s="37">
        <f t="shared" si="28"/>
        <v>22</v>
      </c>
      <c r="S102" s="37">
        <f t="shared" si="28"/>
        <v>18</v>
      </c>
      <c r="T102" s="37">
        <f t="shared" si="28"/>
        <v>17</v>
      </c>
      <c r="U102" s="37">
        <f t="shared" si="28"/>
        <v>19</v>
      </c>
      <c r="V102" s="37">
        <f t="shared" si="28"/>
        <v>18</v>
      </c>
      <c r="W102" s="37">
        <f t="shared" si="28"/>
        <v>16</v>
      </c>
      <c r="X102" s="37">
        <f t="shared" si="28"/>
        <v>22</v>
      </c>
      <c r="Y102" s="37">
        <f t="shared" si="28"/>
        <v>21</v>
      </c>
      <c r="Z102" s="37">
        <f t="shared" si="28"/>
        <v>17</v>
      </c>
      <c r="AA102" s="37">
        <f t="shared" si="28"/>
        <v>16</v>
      </c>
      <c r="AB102" s="37">
        <f t="shared" si="28"/>
        <v>17</v>
      </c>
      <c r="AC102" s="37">
        <f t="shared" si="28"/>
        <v>18</v>
      </c>
      <c r="AD102" s="37">
        <f t="shared" si="28"/>
        <v>18</v>
      </c>
      <c r="AE102" s="37">
        <f t="shared" si="28"/>
        <v>21</v>
      </c>
      <c r="AF102" s="37">
        <f t="shared" si="28"/>
        <v>21</v>
      </c>
      <c r="AG102" s="37">
        <f t="shared" si="28"/>
        <v>17</v>
      </c>
      <c r="AH102" s="37">
        <f t="shared" si="28"/>
        <v>18</v>
      </c>
      <c r="AI102" s="37">
        <f t="shared" si="28"/>
        <v>17</v>
      </c>
      <c r="AJ102" s="37">
        <f t="shared" si="28"/>
        <v>17</v>
      </c>
    </row>
    <row r="103" spans="2:42" ht="18.75" x14ac:dyDescent="0.3">
      <c r="C103" s="179" t="s">
        <v>143</v>
      </c>
      <c r="D103" s="180"/>
      <c r="E103" s="36"/>
      <c r="F103" s="37">
        <f>COUNTIF(F5:F97,"TR*")</f>
        <v>0</v>
      </c>
      <c r="G103" s="37">
        <f t="shared" ref="G103:AJ103" si="29">COUNTIF(G5:G97,"TR*")</f>
        <v>1</v>
      </c>
      <c r="H103" s="37">
        <f t="shared" si="29"/>
        <v>1</v>
      </c>
      <c r="I103" s="37">
        <f t="shared" si="29"/>
        <v>1</v>
      </c>
      <c r="J103" s="37">
        <f t="shared" si="29"/>
        <v>0</v>
      </c>
      <c r="K103" s="37">
        <f t="shared" si="29"/>
        <v>0</v>
      </c>
      <c r="L103" s="37">
        <f t="shared" si="29"/>
        <v>1</v>
      </c>
      <c r="M103" s="37">
        <f t="shared" si="29"/>
        <v>1</v>
      </c>
      <c r="N103" s="37">
        <f t="shared" si="29"/>
        <v>3</v>
      </c>
      <c r="O103" s="37">
        <f t="shared" si="29"/>
        <v>2</v>
      </c>
      <c r="P103" s="37">
        <f t="shared" si="29"/>
        <v>1</v>
      </c>
      <c r="Q103" s="37">
        <f t="shared" si="29"/>
        <v>0</v>
      </c>
      <c r="R103" s="37">
        <f t="shared" si="29"/>
        <v>0</v>
      </c>
      <c r="S103" s="37">
        <f t="shared" si="29"/>
        <v>3</v>
      </c>
      <c r="T103" s="37">
        <f t="shared" si="29"/>
        <v>3</v>
      </c>
      <c r="U103" s="37">
        <f t="shared" si="29"/>
        <v>0</v>
      </c>
      <c r="V103" s="37">
        <f t="shared" si="29"/>
        <v>1</v>
      </c>
      <c r="W103" s="37">
        <f t="shared" si="29"/>
        <v>0</v>
      </c>
      <c r="X103" s="37">
        <f t="shared" si="29"/>
        <v>0</v>
      </c>
      <c r="Y103" s="37">
        <f t="shared" si="29"/>
        <v>0</v>
      </c>
      <c r="Z103" s="37">
        <f t="shared" si="29"/>
        <v>0</v>
      </c>
      <c r="AA103" s="37">
        <f t="shared" si="29"/>
        <v>3</v>
      </c>
      <c r="AB103" s="37">
        <f t="shared" si="29"/>
        <v>0</v>
      </c>
      <c r="AC103" s="37">
        <f t="shared" si="29"/>
        <v>3</v>
      </c>
      <c r="AD103" s="37">
        <f t="shared" si="29"/>
        <v>0</v>
      </c>
      <c r="AE103" s="37">
        <f t="shared" si="29"/>
        <v>0</v>
      </c>
      <c r="AF103" s="37">
        <f t="shared" si="29"/>
        <v>0</v>
      </c>
      <c r="AG103" s="37">
        <f t="shared" si="29"/>
        <v>0</v>
      </c>
      <c r="AH103" s="37">
        <f t="shared" si="29"/>
        <v>2</v>
      </c>
      <c r="AI103" s="37">
        <f t="shared" si="29"/>
        <v>0</v>
      </c>
      <c r="AJ103" s="37">
        <f t="shared" si="29"/>
        <v>4</v>
      </c>
    </row>
    <row r="104" spans="2:42" ht="18.75" x14ac:dyDescent="0.3">
      <c r="C104" s="179" t="s">
        <v>106</v>
      </c>
      <c r="D104" s="180"/>
      <c r="E104" s="36"/>
      <c r="F104" s="37">
        <f>COUNTIF(F5:F97,"ST*")</f>
        <v>5</v>
      </c>
      <c r="G104" s="37">
        <f t="shared" ref="G104:AJ104" si="30">COUNTIF(G$26:G$60,"ST*")</f>
        <v>0</v>
      </c>
      <c r="H104" s="37">
        <f t="shared" si="30"/>
        <v>0</v>
      </c>
      <c r="I104" s="37">
        <f t="shared" si="30"/>
        <v>0</v>
      </c>
      <c r="J104" s="37">
        <f t="shared" si="30"/>
        <v>1</v>
      </c>
      <c r="K104" s="37">
        <f t="shared" si="30"/>
        <v>1</v>
      </c>
      <c r="L104" s="37">
        <f t="shared" si="30"/>
        <v>0</v>
      </c>
      <c r="M104" s="37">
        <f t="shared" si="30"/>
        <v>0</v>
      </c>
      <c r="N104" s="37">
        <f t="shared" si="30"/>
        <v>0</v>
      </c>
      <c r="O104" s="37">
        <f t="shared" si="30"/>
        <v>0</v>
      </c>
      <c r="P104" s="37">
        <f t="shared" si="30"/>
        <v>1</v>
      </c>
      <c r="Q104" s="37">
        <f t="shared" si="30"/>
        <v>0</v>
      </c>
      <c r="R104" s="37">
        <f t="shared" si="30"/>
        <v>0</v>
      </c>
      <c r="S104" s="37">
        <f t="shared" si="30"/>
        <v>0</v>
      </c>
      <c r="T104" s="37">
        <f t="shared" si="30"/>
        <v>0</v>
      </c>
      <c r="U104" s="37">
        <f t="shared" si="30"/>
        <v>0</v>
      </c>
      <c r="V104" s="37">
        <f t="shared" si="30"/>
        <v>0</v>
      </c>
      <c r="W104" s="37">
        <f t="shared" si="30"/>
        <v>1</v>
      </c>
      <c r="X104" s="37">
        <f t="shared" si="30"/>
        <v>1</v>
      </c>
      <c r="Y104" s="37">
        <f t="shared" si="30"/>
        <v>1</v>
      </c>
      <c r="Z104" s="37">
        <f t="shared" si="30"/>
        <v>0</v>
      </c>
      <c r="AA104" s="37">
        <f t="shared" si="30"/>
        <v>0</v>
      </c>
      <c r="AB104" s="37">
        <f t="shared" si="30"/>
        <v>0</v>
      </c>
      <c r="AC104" s="37">
        <f t="shared" si="30"/>
        <v>0</v>
      </c>
      <c r="AD104" s="37">
        <f t="shared" si="30"/>
        <v>0</v>
      </c>
      <c r="AE104" s="37">
        <f t="shared" si="30"/>
        <v>0</v>
      </c>
      <c r="AF104" s="37">
        <f t="shared" si="30"/>
        <v>0</v>
      </c>
      <c r="AG104" s="37">
        <f t="shared" si="30"/>
        <v>0</v>
      </c>
      <c r="AH104" s="37">
        <f t="shared" si="30"/>
        <v>0</v>
      </c>
      <c r="AI104" s="37">
        <f t="shared" si="30"/>
        <v>0</v>
      </c>
      <c r="AJ104" s="37">
        <f t="shared" si="30"/>
        <v>0</v>
      </c>
    </row>
    <row r="105" spans="2:42" ht="18.75" x14ac:dyDescent="0.3">
      <c r="C105" s="181" t="s">
        <v>104</v>
      </c>
      <c r="D105" s="181"/>
      <c r="E105" s="38"/>
      <c r="F105" s="54">
        <f>F107-F108</f>
        <v>-3</v>
      </c>
      <c r="G105" s="54">
        <f t="shared" ref="G105:AJ105" si="31">G107-G108</f>
        <v>-4</v>
      </c>
      <c r="H105" s="54">
        <f t="shared" si="31"/>
        <v>-5</v>
      </c>
      <c r="I105" s="54">
        <f t="shared" si="31"/>
        <v>-5</v>
      </c>
      <c r="J105" s="54">
        <f t="shared" si="31"/>
        <v>-8</v>
      </c>
      <c r="K105" s="54">
        <f t="shared" si="31"/>
        <v>-8</v>
      </c>
      <c r="L105" s="54">
        <f t="shared" si="31"/>
        <v>-4</v>
      </c>
      <c r="M105" s="54">
        <f t="shared" si="31"/>
        <v>-7</v>
      </c>
      <c r="N105" s="54">
        <f t="shared" si="31"/>
        <v>-7</v>
      </c>
      <c r="O105" s="54">
        <f t="shared" si="31"/>
        <v>-7</v>
      </c>
      <c r="P105" s="54">
        <f t="shared" si="31"/>
        <v>-7</v>
      </c>
      <c r="Q105" s="54">
        <f t="shared" si="31"/>
        <v>-9</v>
      </c>
      <c r="R105" s="54">
        <f t="shared" si="31"/>
        <v>-9</v>
      </c>
      <c r="S105" s="54">
        <f t="shared" si="31"/>
        <v>-6</v>
      </c>
      <c r="T105" s="54">
        <f t="shared" si="31"/>
        <v>-8</v>
      </c>
      <c r="U105" s="54">
        <f t="shared" si="31"/>
        <v>-7</v>
      </c>
      <c r="V105" s="54">
        <f t="shared" si="31"/>
        <v>-5</v>
      </c>
      <c r="W105" s="54">
        <f t="shared" si="31"/>
        <v>-5</v>
      </c>
      <c r="X105" s="54">
        <f t="shared" si="31"/>
        <v>-9</v>
      </c>
      <c r="Y105" s="54">
        <f t="shared" si="31"/>
        <v>-7</v>
      </c>
      <c r="Z105" s="54">
        <f t="shared" si="31"/>
        <v>-3</v>
      </c>
      <c r="AA105" s="54">
        <f t="shared" si="31"/>
        <v>-6</v>
      </c>
      <c r="AB105" s="54">
        <f t="shared" si="31"/>
        <v>-4</v>
      </c>
      <c r="AC105" s="54">
        <f t="shared" si="31"/>
        <v>-5</v>
      </c>
      <c r="AD105" s="54">
        <f t="shared" si="31"/>
        <v>-2</v>
      </c>
      <c r="AE105" s="54">
        <f t="shared" si="31"/>
        <v>-9</v>
      </c>
      <c r="AF105" s="54">
        <f t="shared" si="31"/>
        <v>-9</v>
      </c>
      <c r="AG105" s="54">
        <f t="shared" si="31"/>
        <v>-6</v>
      </c>
      <c r="AH105" s="54">
        <f t="shared" si="31"/>
        <v>-8</v>
      </c>
      <c r="AI105" s="54">
        <f t="shared" si="31"/>
        <v>-6</v>
      </c>
      <c r="AJ105" s="54">
        <f t="shared" si="31"/>
        <v>-27</v>
      </c>
    </row>
    <row r="106" spans="2:42" ht="9.75" customHeight="1" x14ac:dyDescent="0.3">
      <c r="C106" s="40"/>
      <c r="D106" s="40"/>
      <c r="E106" s="36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</row>
    <row r="107" spans="2:42" ht="18.75" x14ac:dyDescent="0.3">
      <c r="C107" s="183" t="s">
        <v>102</v>
      </c>
      <c r="D107" s="183"/>
      <c r="E107" s="36"/>
      <c r="F107" s="41">
        <f>SUM(F99:F101)</f>
        <v>42</v>
      </c>
      <c r="G107" s="41">
        <f t="shared" ref="G107:AI107" si="32">SUM(G99:G101)</f>
        <v>41</v>
      </c>
      <c r="H107" s="41">
        <f t="shared" si="32"/>
        <v>40</v>
      </c>
      <c r="I107" s="41">
        <f t="shared" si="32"/>
        <v>40</v>
      </c>
      <c r="J107" s="41">
        <f t="shared" si="32"/>
        <v>37</v>
      </c>
      <c r="K107" s="41">
        <f t="shared" si="32"/>
        <v>37</v>
      </c>
      <c r="L107" s="41">
        <f t="shared" si="32"/>
        <v>41</v>
      </c>
      <c r="M107" s="41">
        <f t="shared" si="32"/>
        <v>38</v>
      </c>
      <c r="N107" s="41">
        <f t="shared" si="32"/>
        <v>38</v>
      </c>
      <c r="O107" s="41">
        <f t="shared" si="32"/>
        <v>38</v>
      </c>
      <c r="P107" s="41">
        <f t="shared" si="32"/>
        <v>38</v>
      </c>
      <c r="Q107" s="41">
        <f t="shared" si="32"/>
        <v>36</v>
      </c>
      <c r="R107" s="41">
        <f t="shared" si="32"/>
        <v>36</v>
      </c>
      <c r="S107" s="41">
        <f t="shared" si="32"/>
        <v>39</v>
      </c>
      <c r="T107" s="41">
        <f t="shared" si="32"/>
        <v>37</v>
      </c>
      <c r="U107" s="41">
        <f t="shared" si="32"/>
        <v>38</v>
      </c>
      <c r="V107" s="41">
        <f t="shared" si="32"/>
        <v>40</v>
      </c>
      <c r="W107" s="41">
        <f t="shared" si="32"/>
        <v>40</v>
      </c>
      <c r="X107" s="41">
        <f t="shared" si="32"/>
        <v>36</v>
      </c>
      <c r="Y107" s="41">
        <f t="shared" si="32"/>
        <v>38</v>
      </c>
      <c r="Z107" s="41">
        <f t="shared" si="32"/>
        <v>42</v>
      </c>
      <c r="AA107" s="41">
        <f t="shared" si="32"/>
        <v>39</v>
      </c>
      <c r="AB107" s="41">
        <f t="shared" si="32"/>
        <v>41</v>
      </c>
      <c r="AC107" s="41">
        <f t="shared" si="32"/>
        <v>40</v>
      </c>
      <c r="AD107" s="41">
        <f t="shared" si="32"/>
        <v>43</v>
      </c>
      <c r="AE107" s="41">
        <f t="shared" si="32"/>
        <v>36</v>
      </c>
      <c r="AF107" s="41">
        <f t="shared" si="32"/>
        <v>36</v>
      </c>
      <c r="AG107" s="41">
        <f t="shared" si="32"/>
        <v>39</v>
      </c>
      <c r="AH107" s="41">
        <f t="shared" si="32"/>
        <v>37</v>
      </c>
      <c r="AI107" s="41">
        <f t="shared" si="32"/>
        <v>39</v>
      </c>
      <c r="AJ107" s="41">
        <v>18</v>
      </c>
    </row>
    <row r="108" spans="2:42" ht="18.75" x14ac:dyDescent="0.3">
      <c r="C108" s="183" t="s">
        <v>90</v>
      </c>
      <c r="D108" s="183"/>
      <c r="E108" s="36"/>
      <c r="F108" s="37">
        <v>45</v>
      </c>
      <c r="G108" s="37">
        <v>45</v>
      </c>
      <c r="H108" s="37">
        <v>45</v>
      </c>
      <c r="I108" s="37">
        <v>45</v>
      </c>
      <c r="J108" s="37">
        <v>45</v>
      </c>
      <c r="K108" s="37">
        <v>45</v>
      </c>
      <c r="L108" s="37">
        <v>45</v>
      </c>
      <c r="M108" s="37">
        <v>45</v>
      </c>
      <c r="N108" s="37">
        <v>45</v>
      </c>
      <c r="O108" s="37">
        <v>45</v>
      </c>
      <c r="P108" s="37">
        <v>45</v>
      </c>
      <c r="Q108" s="37">
        <v>45</v>
      </c>
      <c r="R108" s="37">
        <v>45</v>
      </c>
      <c r="S108" s="37">
        <v>45</v>
      </c>
      <c r="T108" s="37">
        <v>45</v>
      </c>
      <c r="U108" s="37">
        <v>45</v>
      </c>
      <c r="V108" s="37">
        <v>45</v>
      </c>
      <c r="W108" s="37">
        <v>45</v>
      </c>
      <c r="X108" s="37">
        <v>45</v>
      </c>
      <c r="Y108" s="37">
        <v>45</v>
      </c>
      <c r="Z108" s="37">
        <v>45</v>
      </c>
      <c r="AA108" s="37">
        <v>45</v>
      </c>
      <c r="AB108" s="37">
        <v>45</v>
      </c>
      <c r="AC108" s="37">
        <v>45</v>
      </c>
      <c r="AD108" s="37">
        <v>45</v>
      </c>
      <c r="AE108" s="37">
        <v>45</v>
      </c>
      <c r="AF108" s="37">
        <v>45</v>
      </c>
      <c r="AG108" s="37">
        <v>45</v>
      </c>
      <c r="AH108" s="37">
        <v>45</v>
      </c>
      <c r="AI108" s="37">
        <v>45</v>
      </c>
      <c r="AJ108" s="37">
        <v>45</v>
      </c>
    </row>
    <row r="109" spans="2:42" ht="18.75" x14ac:dyDescent="0.3">
      <c r="C109" s="183" t="s">
        <v>103</v>
      </c>
      <c r="D109" s="183"/>
      <c r="E109" s="36"/>
      <c r="F109" s="37">
        <f>SUM(F99,F100,F101,F102,F104)</f>
        <v>66</v>
      </c>
      <c r="G109" s="37">
        <f t="shared" ref="G109:AI109" si="33">SUM(G99,G100,G101,G102,G104)</f>
        <v>59</v>
      </c>
      <c r="H109" s="37">
        <f t="shared" si="33"/>
        <v>58</v>
      </c>
      <c r="I109" s="37">
        <f t="shared" si="33"/>
        <v>59</v>
      </c>
      <c r="J109" s="37">
        <f t="shared" si="33"/>
        <v>60</v>
      </c>
      <c r="K109" s="37">
        <f t="shared" si="33"/>
        <v>58</v>
      </c>
      <c r="L109" s="37">
        <f t="shared" si="33"/>
        <v>59</v>
      </c>
      <c r="M109" s="37">
        <f t="shared" si="33"/>
        <v>57</v>
      </c>
      <c r="N109" s="37">
        <f t="shared" si="33"/>
        <v>56</v>
      </c>
      <c r="O109" s="37">
        <f t="shared" si="33"/>
        <v>55</v>
      </c>
      <c r="P109" s="37">
        <f t="shared" si="33"/>
        <v>58</v>
      </c>
      <c r="Q109" s="37">
        <f t="shared" si="33"/>
        <v>60</v>
      </c>
      <c r="R109" s="37">
        <f t="shared" si="33"/>
        <v>58</v>
      </c>
      <c r="S109" s="37">
        <f t="shared" si="33"/>
        <v>57</v>
      </c>
      <c r="T109" s="37">
        <f t="shared" si="33"/>
        <v>54</v>
      </c>
      <c r="U109" s="37">
        <f t="shared" si="33"/>
        <v>57</v>
      </c>
      <c r="V109" s="37">
        <f t="shared" si="33"/>
        <v>58</v>
      </c>
      <c r="W109" s="37">
        <f t="shared" si="33"/>
        <v>57</v>
      </c>
      <c r="X109" s="37">
        <f t="shared" si="33"/>
        <v>59</v>
      </c>
      <c r="Y109" s="37">
        <f t="shared" si="33"/>
        <v>60</v>
      </c>
      <c r="Z109" s="37">
        <f t="shared" si="33"/>
        <v>59</v>
      </c>
      <c r="AA109" s="37">
        <f t="shared" si="33"/>
        <v>55</v>
      </c>
      <c r="AB109" s="37">
        <f t="shared" si="33"/>
        <v>58</v>
      </c>
      <c r="AC109" s="37">
        <f t="shared" si="33"/>
        <v>58</v>
      </c>
      <c r="AD109" s="37">
        <f t="shared" si="33"/>
        <v>61</v>
      </c>
      <c r="AE109" s="37">
        <f t="shared" si="33"/>
        <v>57</v>
      </c>
      <c r="AF109" s="37">
        <f t="shared" si="33"/>
        <v>57</v>
      </c>
      <c r="AG109" s="37">
        <f t="shared" si="33"/>
        <v>56</v>
      </c>
      <c r="AH109" s="37">
        <f t="shared" si="33"/>
        <v>55</v>
      </c>
      <c r="AI109" s="37">
        <f t="shared" si="33"/>
        <v>56</v>
      </c>
      <c r="AJ109" s="37">
        <v>35</v>
      </c>
    </row>
    <row r="110" spans="2:42" ht="16.5" thickBot="1" x14ac:dyDescent="0.3"/>
    <row r="111" spans="2:42" ht="16.5" thickBot="1" x14ac:dyDescent="0.3">
      <c r="F111" s="166" t="s">
        <v>233</v>
      </c>
      <c r="G111" s="167"/>
      <c r="H111" s="167"/>
      <c r="I111" s="167"/>
      <c r="J111" s="167"/>
      <c r="K111" s="168"/>
    </row>
    <row r="112" spans="2:42" x14ac:dyDescent="0.25">
      <c r="F112" s="89" t="s">
        <v>142</v>
      </c>
      <c r="G112" s="169" t="s">
        <v>229</v>
      </c>
      <c r="H112" s="170"/>
      <c r="I112" s="95" t="s">
        <v>230</v>
      </c>
      <c r="J112" s="189" t="s">
        <v>241</v>
      </c>
      <c r="K112" s="190"/>
    </row>
    <row r="113" spans="6:11" x14ac:dyDescent="0.25">
      <c r="F113" s="90" t="s">
        <v>119</v>
      </c>
      <c r="G113" s="171" t="s">
        <v>230</v>
      </c>
      <c r="H113" s="172"/>
      <c r="I113" s="95" t="s">
        <v>240</v>
      </c>
      <c r="J113" s="173" t="s">
        <v>242</v>
      </c>
      <c r="K113" s="174"/>
    </row>
    <row r="114" spans="6:11" x14ac:dyDescent="0.25">
      <c r="F114" s="91" t="s">
        <v>227</v>
      </c>
      <c r="G114" s="175" t="s">
        <v>231</v>
      </c>
      <c r="H114" s="176"/>
      <c r="I114" s="96" t="s">
        <v>236</v>
      </c>
      <c r="J114" s="177" t="s">
        <v>243</v>
      </c>
      <c r="K114" s="178"/>
    </row>
    <row r="115" spans="6:11" x14ac:dyDescent="0.25">
      <c r="F115" s="92" t="s">
        <v>228</v>
      </c>
      <c r="G115" s="154" t="s">
        <v>232</v>
      </c>
      <c r="H115" s="155"/>
      <c r="I115" s="97" t="s">
        <v>247</v>
      </c>
      <c r="J115" s="156" t="s">
        <v>244</v>
      </c>
      <c r="K115" s="157"/>
    </row>
    <row r="116" spans="6:11" x14ac:dyDescent="0.25">
      <c r="F116" s="93" t="s">
        <v>144</v>
      </c>
      <c r="G116" s="158" t="s">
        <v>235</v>
      </c>
      <c r="H116" s="159"/>
      <c r="I116" s="51" t="s">
        <v>248</v>
      </c>
      <c r="J116" s="160" t="s">
        <v>245</v>
      </c>
      <c r="K116" s="161"/>
    </row>
    <row r="117" spans="6:11" x14ac:dyDescent="0.25">
      <c r="F117" s="94"/>
      <c r="G117" s="162" t="s">
        <v>234</v>
      </c>
      <c r="H117" s="163"/>
      <c r="I117" s="98" t="s">
        <v>249</v>
      </c>
      <c r="J117" s="164" t="s">
        <v>246</v>
      </c>
      <c r="K117" s="165"/>
    </row>
    <row r="118" spans="6:11" ht="16.5" thickBot="1" x14ac:dyDescent="0.3">
      <c r="F118" s="102" t="s">
        <v>252</v>
      </c>
      <c r="G118" s="186" t="s">
        <v>253</v>
      </c>
      <c r="H118" s="187"/>
      <c r="I118" s="103" t="s">
        <v>250</v>
      </c>
      <c r="J118" s="186" t="s">
        <v>251</v>
      </c>
      <c r="K118" s="188"/>
    </row>
  </sheetData>
  <autoFilter ref="F4:AJ105" xr:uid="{10A87D31-A428-49C7-B3CE-66B468A7BADA}"/>
  <mergeCells count="125">
    <mergeCell ref="G118:H118"/>
    <mergeCell ref="J118:K118"/>
    <mergeCell ref="C62:D62"/>
    <mergeCell ref="C63:D63"/>
    <mergeCell ref="C64:D64"/>
    <mergeCell ref="C65:D65"/>
    <mergeCell ref="C66:D66"/>
    <mergeCell ref="C77:D77"/>
    <mergeCell ref="C78:D78"/>
    <mergeCell ref="J112:K112"/>
    <mergeCell ref="C93:D93"/>
    <mergeCell ref="C94:D94"/>
    <mergeCell ref="C95:D95"/>
    <mergeCell ref="C97:D97"/>
    <mergeCell ref="C90:D90"/>
    <mergeCell ref="C91:D91"/>
    <mergeCell ref="C92:D92"/>
    <mergeCell ref="C70:D70"/>
    <mergeCell ref="C71:D71"/>
    <mergeCell ref="C72:D72"/>
    <mergeCell ref="C73:D73"/>
    <mergeCell ref="C74:D74"/>
    <mergeCell ref="C75:D75"/>
    <mergeCell ref="C76:D76"/>
    <mergeCell ref="C79:D79"/>
    <mergeCell ref="C80:D80"/>
    <mergeCell ref="C67:D67"/>
    <mergeCell ref="C68:D68"/>
    <mergeCell ref="C69:D69"/>
    <mergeCell ref="C87:D87"/>
    <mergeCell ref="C88:D88"/>
    <mergeCell ref="C89:D89"/>
    <mergeCell ref="C81:D81"/>
    <mergeCell ref="C82:D82"/>
    <mergeCell ref="C83:D83"/>
    <mergeCell ref="C84:D84"/>
    <mergeCell ref="C85:D85"/>
    <mergeCell ref="C86:D86"/>
    <mergeCell ref="C61:D61"/>
    <mergeCell ref="G115:H115"/>
    <mergeCell ref="J115:K115"/>
    <mergeCell ref="G116:H116"/>
    <mergeCell ref="J116:K116"/>
    <mergeCell ref="G117:H117"/>
    <mergeCell ref="J117:K117"/>
    <mergeCell ref="F111:K111"/>
    <mergeCell ref="G112:H112"/>
    <mergeCell ref="G113:H113"/>
    <mergeCell ref="J113:K113"/>
    <mergeCell ref="G114:H114"/>
    <mergeCell ref="J114:K114"/>
    <mergeCell ref="C104:D104"/>
    <mergeCell ref="C105:D105"/>
    <mergeCell ref="F106:AJ106"/>
    <mergeCell ref="C107:D107"/>
    <mergeCell ref="C108:D108"/>
    <mergeCell ref="C109:D109"/>
    <mergeCell ref="C99:D99"/>
    <mergeCell ref="C100:D100"/>
    <mergeCell ref="C101:D101"/>
    <mergeCell ref="C102:D102"/>
    <mergeCell ref="C103:D103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4:D34"/>
    <mergeCell ref="C35:D35"/>
    <mergeCell ref="C36:D36"/>
    <mergeCell ref="B3:D4"/>
    <mergeCell ref="C26:D26"/>
    <mergeCell ref="C27:D27"/>
    <mergeCell ref="C28:D28"/>
    <mergeCell ref="C29:D29"/>
    <mergeCell ref="C30:D30"/>
    <mergeCell ref="C11:D11"/>
    <mergeCell ref="C5:D5"/>
    <mergeCell ref="C6:D6"/>
    <mergeCell ref="C7:D7"/>
    <mergeCell ref="C8:D8"/>
    <mergeCell ref="C9:D9"/>
    <mergeCell ref="C10:D10"/>
    <mergeCell ref="C24:D24"/>
    <mergeCell ref="C25:D25"/>
    <mergeCell ref="C18:D18"/>
    <mergeCell ref="C19:D19"/>
    <mergeCell ref="C20:D20"/>
    <mergeCell ref="C21:D21"/>
    <mergeCell ref="C22:D22"/>
    <mergeCell ref="C23:D23"/>
    <mergeCell ref="F2:AJ2"/>
    <mergeCell ref="AL2:AL4"/>
    <mergeCell ref="AM2:AM4"/>
    <mergeCell ref="AN2:AN4"/>
    <mergeCell ref="AO2:AO4"/>
    <mergeCell ref="AP2:AP4"/>
    <mergeCell ref="C31:D31"/>
    <mergeCell ref="C32:D32"/>
    <mergeCell ref="C33:D33"/>
    <mergeCell ref="C12:D12"/>
    <mergeCell ref="C13:D13"/>
    <mergeCell ref="C14:D14"/>
    <mergeCell ref="C15:D15"/>
    <mergeCell ref="C16:D16"/>
    <mergeCell ref="C17:D17"/>
  </mergeCells>
  <phoneticPr fontId="14" type="noConversion"/>
  <conditionalFormatting sqref="F5:AJ10">
    <cfRule type="containsText" dxfId="51" priority="43" operator="containsText" text="LV">
      <formula>NOT(ISERROR(SEARCH("LV",F5)))</formula>
    </cfRule>
    <cfRule type="containsText" dxfId="50" priority="44" operator="containsText" text="STNN21">
      <formula>NOT(ISERROR(SEARCH("STNN21",F5)))</formula>
    </cfRule>
    <cfRule type="containsText" dxfId="49" priority="45" operator="containsText" text="STAN13">
      <formula>NOT(ISERROR(SEARCH("STAN13",F5)))</formula>
    </cfRule>
    <cfRule type="containsText" dxfId="48" priority="46" operator="containsText" text="STMN06">
      <formula>NOT(ISERROR(SEARCH("STMN06",F5)))</formula>
    </cfRule>
    <cfRule type="containsText" dxfId="47" priority="47" operator="containsText" text="MN12">
      <formula>NOT(ISERROR(SEARCH("MN12",F5)))</formula>
    </cfRule>
    <cfRule type="containsText" dxfId="46" priority="48" operator="containsText" text="TR">
      <formula>NOT(ISERROR(SEARCH("TR",F5)))</formula>
    </cfRule>
    <cfRule type="containsText" dxfId="45" priority="49" operator="containsText" text="OFF">
      <formula>NOT(ISERROR(SEARCH("OFF",F5)))</formula>
    </cfRule>
    <cfRule type="containsText" dxfId="44" priority="50" operator="containsText" text="NN21">
      <formula>NOT(ISERROR(SEARCH("NN21",F5)))</formula>
    </cfRule>
    <cfRule type="containsText" dxfId="43" priority="51" operator="containsText" text="AN13">
      <formula>NOT(ISERROR(SEARCH("AN13",F5)))</formula>
    </cfRule>
    <cfRule type="containsText" dxfId="42" priority="52" operator="containsText" text="MN06">
      <formula>NOT(ISERROR(SEARCH("MN06",F5)))</formula>
    </cfRule>
  </conditionalFormatting>
  <conditionalFormatting sqref="F11:AJ25">
    <cfRule type="containsText" dxfId="31" priority="21" operator="containsText" text="STMN06">
      <formula>NOT(ISERROR(SEARCH("STMN06",F11)))</formula>
    </cfRule>
    <cfRule type="containsText" dxfId="30" priority="22" operator="containsText" text="STAN13">
      <formula>NOT(ISERROR(SEARCH("STAN13",F11)))</formula>
    </cfRule>
    <cfRule type="containsText" dxfId="29" priority="23" operator="containsText" text="TR">
      <formula>NOT(ISERROR(SEARCH("TR",F11)))</formula>
    </cfRule>
    <cfRule type="containsText" dxfId="28" priority="24" operator="containsText" text="LV">
      <formula>NOT(ISERROR(SEARCH("LV",F11)))</formula>
    </cfRule>
    <cfRule type="containsText" dxfId="27" priority="25" operator="containsText" text="AN13">
      <formula>NOT(ISERROR(SEARCH("AN13",F11)))</formula>
    </cfRule>
    <cfRule type="containsText" dxfId="26" priority="26" operator="containsText" text="AN13">
      <formula>NOT(ISERROR(SEARCH("AN13",F11)))</formula>
    </cfRule>
    <cfRule type="containsText" dxfId="25" priority="27" operator="containsText" text="AN13">
      <formula>NOT(ISERROR(SEARCH("AN13",F11)))</formula>
    </cfRule>
    <cfRule type="containsText" dxfId="24" priority="28" operator="containsText" text="MN06">
      <formula>NOT(ISERROR(SEARCH("MN06",F11)))</formula>
    </cfRule>
    <cfRule type="containsText" dxfId="23" priority="29" operator="containsText" text="STAN13">
      <formula>NOT(ISERROR(SEARCH("STAN13",F11)))</formula>
    </cfRule>
    <cfRule type="containsText" dxfId="22" priority="30" operator="containsText" text="STNN21">
      <formula>NOT(ISERROR(SEARCH("STNN21",F11)))</formula>
    </cfRule>
    <cfRule type="containsText" dxfId="21" priority="31" operator="containsText" text="NN21">
      <formula>NOT(ISERROR(SEARCH("NN21",F11)))</formula>
    </cfRule>
    <cfRule type="containsText" dxfId="20" priority="32" operator="containsText" text="OFF">
      <formula>NOT(ISERROR(SEARCH("OFF",F11)))</formula>
    </cfRule>
  </conditionalFormatting>
  <conditionalFormatting sqref="F79:AJ97">
    <cfRule type="containsText" dxfId="19" priority="11" operator="containsText" text="STMN06">
      <formula>NOT(ISERROR(SEARCH("STMN06",F79)))</formula>
    </cfRule>
    <cfRule type="containsText" dxfId="18" priority="12" operator="containsText" text="STAN13">
      <formula>NOT(ISERROR(SEARCH("STAN13",F79)))</formula>
    </cfRule>
    <cfRule type="containsText" dxfId="17" priority="13" operator="containsText" text="STNN21">
      <formula>NOT(ISERROR(SEARCH("STNN21",F79)))</formula>
    </cfRule>
    <cfRule type="containsText" dxfId="16" priority="14" operator="containsText" text="LV">
      <formula>NOT(ISERROR(SEARCH("LV",F79)))</formula>
    </cfRule>
    <cfRule type="containsText" dxfId="15" priority="15" operator="containsText" text="TR">
      <formula>NOT(ISERROR(SEARCH("TR",F79)))</formula>
    </cfRule>
    <cfRule type="containsText" dxfId="14" priority="16" operator="containsText" text="NN21">
      <formula>NOT(ISERROR(SEARCH("NN21",F79)))</formula>
    </cfRule>
    <cfRule type="containsText" dxfId="13" priority="17" operator="containsText" text="NN13">
      <formula>NOT(ISERROR(SEARCH("NN13",F79)))</formula>
    </cfRule>
    <cfRule type="containsText" dxfId="12" priority="18" operator="containsText" text="AN13">
      <formula>NOT(ISERROR(SEARCH("AN13",F79)))</formula>
    </cfRule>
    <cfRule type="containsText" dxfId="11" priority="19" operator="containsText" text="MN06">
      <formula>NOT(ISERROR(SEARCH("MN06",F79)))</formula>
    </cfRule>
    <cfRule type="containsText" dxfId="10" priority="20" operator="containsText" text="OFF">
      <formula>NOT(ISERROR(SEARCH("OFF",F79)))</formula>
    </cfRule>
  </conditionalFormatting>
  <conditionalFormatting sqref="F26:AJ61">
    <cfRule type="containsText" dxfId="9" priority="1" operator="containsText" text="MN12">
      <formula>NOT(ISERROR(SEARCH("MN12",F26)))</formula>
    </cfRule>
    <cfRule type="containsText" dxfId="8" priority="2" operator="containsText" text="STNN21">
      <formula>NOT(ISERROR(SEARCH("STNN21",F26)))</formula>
    </cfRule>
    <cfRule type="containsText" dxfId="7" priority="3" operator="containsText" text="STAN13">
      <formula>NOT(ISERROR(SEARCH("STAN13",F26)))</formula>
    </cfRule>
    <cfRule type="containsText" dxfId="6" priority="4" operator="containsText" text="STMN06">
      <formula>NOT(ISERROR(SEARCH("STMN06",F26)))</formula>
    </cfRule>
    <cfRule type="containsText" dxfId="5" priority="5" operator="containsText" text="LV">
      <formula>NOT(ISERROR(SEARCH("LV",F26)))</formula>
    </cfRule>
    <cfRule type="containsText" dxfId="4" priority="6" operator="containsText" text="TR">
      <formula>NOT(ISERROR(SEARCH("TR",F26)))</formula>
    </cfRule>
    <cfRule type="containsText" dxfId="3" priority="7" operator="containsText" text="NN21">
      <formula>NOT(ISERROR(SEARCH("NN21",F26)))</formula>
    </cfRule>
    <cfRule type="containsText" dxfId="2" priority="8" operator="containsText" text="AN13">
      <formula>NOT(ISERROR(SEARCH("AN13",F26)))</formula>
    </cfRule>
    <cfRule type="containsText" dxfId="1" priority="9" operator="containsText" text="MN06">
      <formula>NOT(ISERROR(SEARCH("MN06",F26)))</formula>
    </cfRule>
    <cfRule type="containsText" dxfId="0" priority="10" operator="containsText" text="OFF">
      <formula>NOT(ISERROR(SEARCH("OFF",F26)))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H8" sqref="AH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278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2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187</v>
      </c>
      <c r="D5" s="147"/>
      <c r="F5" s="23" t="s">
        <v>238</v>
      </c>
      <c r="G5" s="23" t="s">
        <v>144</v>
      </c>
      <c r="H5" s="23" t="s">
        <v>238</v>
      </c>
      <c r="I5" s="23" t="s">
        <v>238</v>
      </c>
      <c r="J5" s="23" t="s">
        <v>274</v>
      </c>
      <c r="K5" s="23" t="s">
        <v>274</v>
      </c>
      <c r="L5" s="23" t="s">
        <v>238</v>
      </c>
      <c r="M5" s="23" t="s">
        <v>238</v>
      </c>
      <c r="N5" s="23" t="s">
        <v>238</v>
      </c>
      <c r="O5" s="23" t="s">
        <v>238</v>
      </c>
      <c r="P5" s="23" t="s">
        <v>238</v>
      </c>
      <c r="Q5" s="23" t="s">
        <v>274</v>
      </c>
      <c r="R5" s="23" t="s">
        <v>274</v>
      </c>
      <c r="S5" s="23" t="s">
        <v>238</v>
      </c>
      <c r="T5" s="23" t="s">
        <v>238</v>
      </c>
      <c r="U5" s="23" t="s">
        <v>238</v>
      </c>
      <c r="V5" s="23" t="s">
        <v>238</v>
      </c>
      <c r="W5" s="23" t="s">
        <v>238</v>
      </c>
      <c r="X5" s="23" t="s">
        <v>274</v>
      </c>
      <c r="Y5" s="23" t="s">
        <v>274</v>
      </c>
      <c r="Z5" s="23" t="s">
        <v>238</v>
      </c>
      <c r="AA5" s="23" t="s">
        <v>238</v>
      </c>
      <c r="AB5" s="23" t="s">
        <v>238</v>
      </c>
      <c r="AC5" s="23" t="s">
        <v>238</v>
      </c>
      <c r="AD5" s="23" t="s">
        <v>238</v>
      </c>
      <c r="AE5" s="23" t="s">
        <v>274</v>
      </c>
      <c r="AF5" s="23" t="s">
        <v>274</v>
      </c>
      <c r="AG5" s="23" t="s">
        <v>238</v>
      </c>
      <c r="AH5" s="23" t="s">
        <v>238</v>
      </c>
      <c r="AI5" s="23" t="s">
        <v>238</v>
      </c>
      <c r="AJ5" s="23" t="s">
        <v>238</v>
      </c>
      <c r="AL5" s="51">
        <f t="shared" ref="AL5:AL8" si="0">COUNTIF($F5:$AJ5,"ST*")</f>
        <v>0</v>
      </c>
      <c r="AM5" s="51">
        <f t="shared" ref="AM5:AM8" si="1">COUNTIF($F5:$AJ5,"M*")</f>
        <v>22</v>
      </c>
      <c r="AN5" s="51">
        <f t="shared" ref="AN5:AN8" si="2">COUNTIF($F5:$AJ5,"A*")</f>
        <v>0</v>
      </c>
      <c r="AO5" s="51">
        <f t="shared" ref="AO5:AO8" si="3">COUNTIF($F5:$AJ5,"N*")</f>
        <v>0</v>
      </c>
      <c r="AP5" s="51">
        <f t="shared" ref="AP5:AP8" si="4">COUNTIF($F5:$AJ5,"O*")</f>
        <v>8</v>
      </c>
    </row>
    <row r="6" spans="2:42" ht="18.75" x14ac:dyDescent="0.25">
      <c r="B6" s="37">
        <v>2</v>
      </c>
      <c r="C6" s="147" t="s">
        <v>188</v>
      </c>
      <c r="D6" s="147"/>
      <c r="F6" s="52" t="s">
        <v>231</v>
      </c>
      <c r="G6" s="52" t="s">
        <v>274</v>
      </c>
      <c r="H6" s="52" t="s">
        <v>274</v>
      </c>
      <c r="I6" s="52" t="s">
        <v>230</v>
      </c>
      <c r="J6" s="52" t="s">
        <v>230</v>
      </c>
      <c r="K6" s="52" t="s">
        <v>230</v>
      </c>
      <c r="L6" s="52" t="s">
        <v>231</v>
      </c>
      <c r="M6" s="52" t="s">
        <v>231</v>
      </c>
      <c r="N6" s="52" t="s">
        <v>274</v>
      </c>
      <c r="O6" s="52" t="s">
        <v>274</v>
      </c>
      <c r="P6" s="52" t="s">
        <v>230</v>
      </c>
      <c r="Q6" s="52" t="s">
        <v>230</v>
      </c>
      <c r="R6" s="52" t="s">
        <v>230</v>
      </c>
      <c r="S6" s="52" t="s">
        <v>231</v>
      </c>
      <c r="T6" s="52" t="s">
        <v>231</v>
      </c>
      <c r="U6" s="52" t="s">
        <v>274</v>
      </c>
      <c r="V6" s="52" t="s">
        <v>274</v>
      </c>
      <c r="W6" s="52" t="s">
        <v>230</v>
      </c>
      <c r="X6" s="52" t="s">
        <v>230</v>
      </c>
      <c r="Y6" s="52" t="s">
        <v>230</v>
      </c>
      <c r="Z6" s="52" t="s">
        <v>231</v>
      </c>
      <c r="AA6" s="52" t="s">
        <v>231</v>
      </c>
      <c r="AB6" s="52" t="s">
        <v>274</v>
      </c>
      <c r="AC6" s="52" t="s">
        <v>274</v>
      </c>
      <c r="AD6" s="52" t="s">
        <v>230</v>
      </c>
      <c r="AE6" s="52" t="s">
        <v>230</v>
      </c>
      <c r="AF6" s="52" t="s">
        <v>230</v>
      </c>
      <c r="AG6" s="52" t="s">
        <v>231</v>
      </c>
      <c r="AH6" s="52" t="s">
        <v>144</v>
      </c>
      <c r="AI6" s="52" t="s">
        <v>274</v>
      </c>
      <c r="AJ6" s="52" t="s">
        <v>274</v>
      </c>
      <c r="AL6" s="51">
        <f t="shared" si="0"/>
        <v>0</v>
      </c>
      <c r="AM6" s="51">
        <f t="shared" si="1"/>
        <v>12</v>
      </c>
      <c r="AN6" s="51">
        <f t="shared" si="2"/>
        <v>8</v>
      </c>
      <c r="AO6" s="51">
        <f t="shared" si="3"/>
        <v>0</v>
      </c>
      <c r="AP6" s="51">
        <f t="shared" si="4"/>
        <v>10</v>
      </c>
    </row>
    <row r="7" spans="2:42" ht="18.75" x14ac:dyDescent="0.25">
      <c r="B7" s="37">
        <v>3</v>
      </c>
      <c r="C7" s="147" t="s">
        <v>189</v>
      </c>
      <c r="D7" s="147"/>
      <c r="F7" s="52" t="s">
        <v>274</v>
      </c>
      <c r="G7" s="52" t="s">
        <v>230</v>
      </c>
      <c r="H7" s="52" t="s">
        <v>230</v>
      </c>
      <c r="I7" s="52" t="s">
        <v>231</v>
      </c>
      <c r="J7" s="52" t="s">
        <v>231</v>
      </c>
      <c r="K7" s="52" t="s">
        <v>231</v>
      </c>
      <c r="L7" s="52" t="s">
        <v>274</v>
      </c>
      <c r="M7" s="52" t="s">
        <v>274</v>
      </c>
      <c r="N7" s="52" t="s">
        <v>230</v>
      </c>
      <c r="O7" s="52" t="s">
        <v>230</v>
      </c>
      <c r="P7" s="52" t="s">
        <v>231</v>
      </c>
      <c r="Q7" s="52" t="s">
        <v>231</v>
      </c>
      <c r="R7" s="52" t="s">
        <v>231</v>
      </c>
      <c r="S7" s="52" t="s">
        <v>274</v>
      </c>
      <c r="T7" s="52" t="s">
        <v>274</v>
      </c>
      <c r="U7" s="52" t="s">
        <v>230</v>
      </c>
      <c r="V7" s="52" t="s">
        <v>230</v>
      </c>
      <c r="W7" s="52" t="s">
        <v>231</v>
      </c>
      <c r="X7" s="52" t="s">
        <v>231</v>
      </c>
      <c r="Y7" s="52" t="s">
        <v>231</v>
      </c>
      <c r="Z7" s="57" t="s">
        <v>274</v>
      </c>
      <c r="AA7" s="57" t="s">
        <v>274</v>
      </c>
      <c r="AB7" s="52" t="s">
        <v>230</v>
      </c>
      <c r="AC7" s="52" t="s">
        <v>230</v>
      </c>
      <c r="AD7" s="52" t="s">
        <v>231</v>
      </c>
      <c r="AE7" s="52" t="s">
        <v>231</v>
      </c>
      <c r="AF7" s="52" t="s">
        <v>231</v>
      </c>
      <c r="AG7" s="52" t="s">
        <v>274</v>
      </c>
      <c r="AH7" s="52" t="s">
        <v>274</v>
      </c>
      <c r="AI7" s="52" t="s">
        <v>230</v>
      </c>
      <c r="AJ7" s="52" t="s">
        <v>230</v>
      </c>
      <c r="AL7" s="51">
        <f t="shared" si="0"/>
        <v>0</v>
      </c>
      <c r="AM7" s="51">
        <f t="shared" si="1"/>
        <v>10</v>
      </c>
      <c r="AN7" s="51">
        <f t="shared" si="2"/>
        <v>12</v>
      </c>
      <c r="AO7" s="51">
        <f t="shared" si="3"/>
        <v>0</v>
      </c>
      <c r="AP7" s="51">
        <f t="shared" si="4"/>
        <v>9</v>
      </c>
    </row>
    <row r="8" spans="2:42" ht="18.75" x14ac:dyDescent="0.25">
      <c r="B8" s="37">
        <v>4</v>
      </c>
      <c r="C8" s="147" t="s">
        <v>190</v>
      </c>
      <c r="D8" s="147"/>
      <c r="F8" s="52" t="s">
        <v>238</v>
      </c>
      <c r="G8" s="52" t="s">
        <v>238</v>
      </c>
      <c r="H8" s="52" t="s">
        <v>238</v>
      </c>
      <c r="I8" s="52" t="s">
        <v>238</v>
      </c>
      <c r="J8" s="52" t="s">
        <v>274</v>
      </c>
      <c r="K8" s="52" t="s">
        <v>274</v>
      </c>
      <c r="L8" s="52" t="s">
        <v>238</v>
      </c>
      <c r="M8" s="52" t="s">
        <v>238</v>
      </c>
      <c r="N8" s="52" t="s">
        <v>238</v>
      </c>
      <c r="O8" s="52" t="s">
        <v>238</v>
      </c>
      <c r="P8" s="52" t="s">
        <v>238</v>
      </c>
      <c r="Q8" s="52" t="s">
        <v>274</v>
      </c>
      <c r="R8" s="52" t="s">
        <v>274</v>
      </c>
      <c r="S8" s="52" t="s">
        <v>238</v>
      </c>
      <c r="T8" s="52" t="s">
        <v>238</v>
      </c>
      <c r="U8" s="52" t="s">
        <v>238</v>
      </c>
      <c r="V8" s="52" t="s">
        <v>238</v>
      </c>
      <c r="W8" s="52" t="s">
        <v>238</v>
      </c>
      <c r="X8" s="52" t="s">
        <v>274</v>
      </c>
      <c r="Y8" s="52" t="s">
        <v>274</v>
      </c>
      <c r="Z8" s="52" t="s">
        <v>238</v>
      </c>
      <c r="AA8" s="52" t="s">
        <v>238</v>
      </c>
      <c r="AB8" s="52" t="s">
        <v>238</v>
      </c>
      <c r="AC8" s="52" t="s">
        <v>238</v>
      </c>
      <c r="AD8" s="52" t="s">
        <v>238</v>
      </c>
      <c r="AE8" s="52" t="s">
        <v>274</v>
      </c>
      <c r="AF8" s="52" t="s">
        <v>274</v>
      </c>
      <c r="AG8" s="52" t="s">
        <v>238</v>
      </c>
      <c r="AH8" s="52" t="s">
        <v>238</v>
      </c>
      <c r="AI8" s="52" t="s">
        <v>238</v>
      </c>
      <c r="AJ8" s="52" t="s">
        <v>238</v>
      </c>
      <c r="AL8" s="51">
        <f t="shared" si="0"/>
        <v>0</v>
      </c>
      <c r="AM8" s="51">
        <f t="shared" si="1"/>
        <v>23</v>
      </c>
      <c r="AN8" s="51">
        <f t="shared" si="2"/>
        <v>0</v>
      </c>
      <c r="AO8" s="51">
        <f t="shared" si="3"/>
        <v>0</v>
      </c>
      <c r="AP8" s="51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3" t="s">
        <v>91</v>
      </c>
      <c r="D10" s="183"/>
      <c r="E10" s="36"/>
      <c r="F10" s="37">
        <f t="shared" ref="F10:AJ10" si="5">COUNTIF(F$5:F$8,"M*")</f>
        <v>2</v>
      </c>
      <c r="G10" s="37">
        <f t="shared" si="5"/>
        <v>2</v>
      </c>
      <c r="H10" s="37">
        <f t="shared" si="5"/>
        <v>3</v>
      </c>
      <c r="I10" s="37">
        <f t="shared" si="5"/>
        <v>3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2</v>
      </c>
      <c r="T10" s="37">
        <f t="shared" si="5"/>
        <v>2</v>
      </c>
      <c r="U10" s="37">
        <f t="shared" si="5"/>
        <v>3</v>
      </c>
      <c r="V10" s="37">
        <f t="shared" si="5"/>
        <v>3</v>
      </c>
      <c r="W10" s="37">
        <f t="shared" si="5"/>
        <v>3</v>
      </c>
      <c r="X10" s="37">
        <f t="shared" si="5"/>
        <v>1</v>
      </c>
      <c r="Y10" s="37">
        <f t="shared" si="5"/>
        <v>1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3</v>
      </c>
    </row>
    <row r="11" spans="2:42" ht="18.75" x14ac:dyDescent="0.3">
      <c r="C11" s="183" t="s">
        <v>92</v>
      </c>
      <c r="D11" s="183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0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83" t="s">
        <v>72</v>
      </c>
      <c r="D12" s="183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3" t="s">
        <v>73</v>
      </c>
      <c r="D13" s="183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2</v>
      </c>
      <c r="Y13" s="37">
        <f t="shared" si="8"/>
        <v>2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79" t="s">
        <v>143</v>
      </c>
      <c r="D14" s="180"/>
      <c r="E14" s="36"/>
      <c r="F14" s="37">
        <f t="shared" ref="F14:AJ14" si="9">COUNTIF(F$5:F$8,"TR*")</f>
        <v>0</v>
      </c>
      <c r="G14" s="37">
        <f t="shared" si="9"/>
        <v>1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1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9" t="s">
        <v>106</v>
      </c>
      <c r="D15" s="180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1" t="s">
        <v>104</v>
      </c>
      <c r="D16" s="181"/>
      <c r="E16" s="38"/>
      <c r="F16" s="54">
        <f>F18-F19</f>
        <v>1</v>
      </c>
      <c r="G16" s="54">
        <f t="shared" ref="G16:AJ16" si="11">G18-G19</f>
        <v>0</v>
      </c>
      <c r="H16" s="54">
        <f t="shared" si="11"/>
        <v>1</v>
      </c>
      <c r="I16" s="54">
        <f t="shared" si="11"/>
        <v>2</v>
      </c>
      <c r="J16" s="54">
        <f t="shared" si="11"/>
        <v>0</v>
      </c>
      <c r="K16" s="54">
        <f t="shared" si="11"/>
        <v>0</v>
      </c>
      <c r="L16" s="54">
        <f t="shared" si="11"/>
        <v>1</v>
      </c>
      <c r="M16" s="54">
        <f t="shared" si="11"/>
        <v>1</v>
      </c>
      <c r="N16" s="54">
        <f t="shared" si="11"/>
        <v>1</v>
      </c>
      <c r="O16" s="54">
        <f t="shared" si="11"/>
        <v>1</v>
      </c>
      <c r="P16" s="54">
        <f t="shared" si="11"/>
        <v>2</v>
      </c>
      <c r="Q16" s="54">
        <f t="shared" si="11"/>
        <v>0</v>
      </c>
      <c r="R16" s="54">
        <f t="shared" si="11"/>
        <v>0</v>
      </c>
      <c r="S16" s="54">
        <f t="shared" si="11"/>
        <v>1</v>
      </c>
      <c r="T16" s="54">
        <f t="shared" si="11"/>
        <v>1</v>
      </c>
      <c r="U16" s="54">
        <f t="shared" si="11"/>
        <v>1</v>
      </c>
      <c r="V16" s="54">
        <f t="shared" si="11"/>
        <v>1</v>
      </c>
      <c r="W16" s="54">
        <f t="shared" si="11"/>
        <v>2</v>
      </c>
      <c r="X16" s="54">
        <f t="shared" si="11"/>
        <v>0</v>
      </c>
      <c r="Y16" s="54">
        <f t="shared" si="11"/>
        <v>0</v>
      </c>
      <c r="Z16" s="54">
        <f t="shared" si="11"/>
        <v>1</v>
      </c>
      <c r="AA16" s="54">
        <f t="shared" si="11"/>
        <v>1</v>
      </c>
      <c r="AB16" s="54">
        <f t="shared" si="11"/>
        <v>1</v>
      </c>
      <c r="AC16" s="54">
        <f t="shared" si="11"/>
        <v>1</v>
      </c>
      <c r="AD16" s="54">
        <f t="shared" si="11"/>
        <v>2</v>
      </c>
      <c r="AE16" s="54">
        <f t="shared" si="11"/>
        <v>0</v>
      </c>
      <c r="AF16" s="54">
        <f t="shared" si="11"/>
        <v>0</v>
      </c>
      <c r="AG16" s="54">
        <f t="shared" si="11"/>
        <v>1</v>
      </c>
      <c r="AH16" s="54">
        <f t="shared" si="11"/>
        <v>0</v>
      </c>
      <c r="AI16" s="54">
        <f t="shared" si="11"/>
        <v>1</v>
      </c>
      <c r="AJ16" s="54">
        <f t="shared" si="11"/>
        <v>16</v>
      </c>
    </row>
    <row r="17" spans="3:36" ht="9.75" customHeight="1" x14ac:dyDescent="0.3">
      <c r="C17" s="40"/>
      <c r="D17" s="40"/>
      <c r="E17" s="36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</row>
    <row r="18" spans="3:36" ht="18.75" x14ac:dyDescent="0.3">
      <c r="C18" s="183" t="s">
        <v>102</v>
      </c>
      <c r="D18" s="183"/>
      <c r="E18" s="36"/>
      <c r="F18" s="41">
        <f>SUM(F10:F12)</f>
        <v>3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4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3</v>
      </c>
      <c r="T18" s="41">
        <f t="shared" si="12"/>
        <v>3</v>
      </c>
      <c r="U18" s="41">
        <f t="shared" si="12"/>
        <v>3</v>
      </c>
      <c r="V18" s="41">
        <f t="shared" si="12"/>
        <v>3</v>
      </c>
      <c r="W18" s="41">
        <f t="shared" si="12"/>
        <v>4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4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2</v>
      </c>
      <c r="AI18" s="41">
        <f t="shared" si="12"/>
        <v>3</v>
      </c>
      <c r="AJ18" s="41">
        <v>18</v>
      </c>
    </row>
    <row r="19" spans="3:36" ht="18.75" x14ac:dyDescent="0.3">
      <c r="C19" s="183" t="s">
        <v>90</v>
      </c>
      <c r="D19" s="183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3" t="s">
        <v>103</v>
      </c>
      <c r="D20" s="183"/>
      <c r="E20" s="36"/>
      <c r="F20" s="37">
        <f>SUM(F10,F11,F12,F13,F15)</f>
        <v>4</v>
      </c>
      <c r="G20" s="37">
        <f t="shared" ref="G20:AI20" si="13">SUM(G10,G11,G12,G13,G15)</f>
        <v>3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3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199" t="s">
        <v>233</v>
      </c>
      <c r="G22" s="200"/>
      <c r="H22" s="201"/>
    </row>
    <row r="23" spans="3:36" x14ac:dyDescent="0.25">
      <c r="F23" s="71" t="s">
        <v>142</v>
      </c>
      <c r="G23" s="202" t="s">
        <v>229</v>
      </c>
      <c r="H23" s="203"/>
    </row>
    <row r="24" spans="3:36" x14ac:dyDescent="0.25">
      <c r="F24" s="80" t="s">
        <v>119</v>
      </c>
      <c r="G24" s="197" t="s">
        <v>230</v>
      </c>
      <c r="H24" s="204"/>
    </row>
    <row r="25" spans="3:36" x14ac:dyDescent="0.25">
      <c r="F25" s="73" t="s">
        <v>227</v>
      </c>
      <c r="G25" s="205" t="s">
        <v>231</v>
      </c>
      <c r="H25" s="206"/>
    </row>
    <row r="26" spans="3:36" x14ac:dyDescent="0.25">
      <c r="F26" s="74" t="s">
        <v>228</v>
      </c>
      <c r="G26" s="207" t="s">
        <v>232</v>
      </c>
      <c r="H26" s="208"/>
    </row>
    <row r="27" spans="3:36" x14ac:dyDescent="0.25">
      <c r="F27" s="75" t="s">
        <v>144</v>
      </c>
      <c r="G27" s="191" t="s">
        <v>235</v>
      </c>
      <c r="H27" s="192"/>
    </row>
    <row r="28" spans="3:36" x14ac:dyDescent="0.25">
      <c r="F28" s="76"/>
      <c r="G28" s="193" t="s">
        <v>234</v>
      </c>
      <c r="H28" s="194"/>
    </row>
    <row r="29" spans="3:36" x14ac:dyDescent="0.25">
      <c r="F29" s="78" t="s">
        <v>236</v>
      </c>
      <c r="G29" s="195" t="s">
        <v>237</v>
      </c>
      <c r="H29" s="196"/>
    </row>
    <row r="30" spans="3:36" x14ac:dyDescent="0.25">
      <c r="F30" s="79" t="s">
        <v>238</v>
      </c>
      <c r="G30" s="197" t="s">
        <v>239</v>
      </c>
      <c r="H30" s="198"/>
    </row>
    <row r="38" spans="18:18" x14ac:dyDescent="0.25">
      <c r="R38" s="18" t="s">
        <v>277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49" priority="1" operator="containsText" text="TR">
      <formula>NOT(ISERROR(SEARCH("TR",F5)))</formula>
    </cfRule>
    <cfRule type="containsText" dxfId="148" priority="2" operator="containsText" text="MN06">
      <formula>NOT(ISERROR(SEARCH("MN06",F5)))</formula>
    </cfRule>
    <cfRule type="containsText" dxfId="147" priority="3" operator="containsText" text="AN13">
      <formula>NOT(ISERROR(SEARCH("AN13",F5)))</formula>
    </cfRule>
    <cfRule type="containsText" dxfId="146" priority="4" operator="containsText" text="OFF">
      <formula>NOT(ISERROR(SEARCH("OFF",F5)))</formula>
    </cfRule>
    <cfRule type="containsText" dxfId="145" priority="5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278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2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178</v>
      </c>
      <c r="D5" s="147"/>
      <c r="F5" s="44" t="s">
        <v>230</v>
      </c>
      <c r="G5" s="44" t="s">
        <v>230</v>
      </c>
      <c r="H5" s="44" t="s">
        <v>231</v>
      </c>
      <c r="I5" s="44" t="s">
        <v>231</v>
      </c>
      <c r="J5" s="44" t="s">
        <v>271</v>
      </c>
      <c r="K5" s="44" t="s">
        <v>274</v>
      </c>
      <c r="L5" s="44" t="s">
        <v>274</v>
      </c>
      <c r="M5" s="44" t="s">
        <v>274</v>
      </c>
      <c r="N5" s="44" t="s">
        <v>275</v>
      </c>
      <c r="O5" s="44" t="s">
        <v>275</v>
      </c>
      <c r="P5" s="44" t="s">
        <v>275</v>
      </c>
      <c r="Q5" s="44" t="s">
        <v>275</v>
      </c>
      <c r="R5" s="44" t="s">
        <v>275</v>
      </c>
      <c r="S5" s="44" t="s">
        <v>274</v>
      </c>
      <c r="T5" s="44" t="s">
        <v>274</v>
      </c>
      <c r="U5" s="44" t="s">
        <v>274</v>
      </c>
      <c r="V5" s="44" t="s">
        <v>230</v>
      </c>
      <c r="W5" s="44" t="s">
        <v>230</v>
      </c>
      <c r="X5" s="44" t="s">
        <v>231</v>
      </c>
      <c r="Y5" s="44" t="s">
        <v>231</v>
      </c>
      <c r="Z5" s="44" t="s">
        <v>271</v>
      </c>
      <c r="AA5" s="44" t="s">
        <v>274</v>
      </c>
      <c r="AB5" s="44" t="s">
        <v>274</v>
      </c>
      <c r="AC5" s="44" t="s">
        <v>274</v>
      </c>
      <c r="AD5" s="44" t="s">
        <v>230</v>
      </c>
      <c r="AE5" s="44" t="s">
        <v>230</v>
      </c>
      <c r="AF5" s="44" t="s">
        <v>231</v>
      </c>
      <c r="AG5" s="44" t="s">
        <v>231</v>
      </c>
      <c r="AH5" s="44" t="s">
        <v>271</v>
      </c>
      <c r="AI5" s="44" t="s">
        <v>274</v>
      </c>
      <c r="AJ5" s="44" t="s">
        <v>274</v>
      </c>
      <c r="AL5" s="51">
        <f t="shared" ref="AL5:AL10" si="0">COUNTIF($F5:$AJ5,"ST*")</f>
        <v>0</v>
      </c>
      <c r="AM5" s="51">
        <f t="shared" ref="AM5:AM10" si="1">COUNTIF($F5:$AJ5,"M*")</f>
        <v>6</v>
      </c>
      <c r="AN5" s="51">
        <f t="shared" ref="AN5:AN10" si="2">COUNTIF($F5:$AJ5,"A*")</f>
        <v>6</v>
      </c>
      <c r="AO5" s="51">
        <f t="shared" ref="AO5:AO10" si="3">COUNTIF($F5:$AJ5,"N*")</f>
        <v>3</v>
      </c>
      <c r="AP5" s="51">
        <f t="shared" ref="AP5:AP10" si="4">COUNTIF($F5:$AJ5,"O*")</f>
        <v>11</v>
      </c>
    </row>
    <row r="6" spans="2:42" ht="18.75" x14ac:dyDescent="0.25">
      <c r="B6" s="37">
        <v>2</v>
      </c>
      <c r="C6" s="147" t="s">
        <v>179</v>
      </c>
      <c r="D6" s="147"/>
      <c r="F6" s="52" t="s">
        <v>231</v>
      </c>
      <c r="G6" s="52" t="s">
        <v>271</v>
      </c>
      <c r="H6" s="52" t="s">
        <v>274</v>
      </c>
      <c r="I6" s="52" t="s">
        <v>274</v>
      </c>
      <c r="J6" s="52" t="s">
        <v>274</v>
      </c>
      <c r="K6" s="52" t="s">
        <v>275</v>
      </c>
      <c r="L6" s="52" t="s">
        <v>275</v>
      </c>
      <c r="M6" s="52" t="s">
        <v>275</v>
      </c>
      <c r="N6" s="52" t="s">
        <v>275</v>
      </c>
      <c r="O6" s="52" t="s">
        <v>275</v>
      </c>
      <c r="P6" s="52" t="s">
        <v>275</v>
      </c>
      <c r="Q6" s="52" t="s">
        <v>275</v>
      </c>
      <c r="R6" s="52" t="s">
        <v>275</v>
      </c>
      <c r="S6" s="52" t="s">
        <v>275</v>
      </c>
      <c r="T6" s="52" t="s">
        <v>275</v>
      </c>
      <c r="U6" s="52" t="s">
        <v>275</v>
      </c>
      <c r="V6" s="52" t="s">
        <v>275</v>
      </c>
      <c r="W6" s="52" t="s">
        <v>275</v>
      </c>
      <c r="X6" s="52" t="s">
        <v>274</v>
      </c>
      <c r="Y6" s="52" t="s">
        <v>274</v>
      </c>
      <c r="Z6" s="52" t="s">
        <v>274</v>
      </c>
      <c r="AA6" s="52" t="s">
        <v>230</v>
      </c>
      <c r="AB6" s="52" t="s">
        <v>230</v>
      </c>
      <c r="AC6" s="52" t="s">
        <v>231</v>
      </c>
      <c r="AD6" s="52" t="s">
        <v>231</v>
      </c>
      <c r="AE6" s="52" t="s">
        <v>271</v>
      </c>
      <c r="AF6" s="52" t="s">
        <v>274</v>
      </c>
      <c r="AG6" s="52" t="s">
        <v>274</v>
      </c>
      <c r="AH6" s="52" t="s">
        <v>274</v>
      </c>
      <c r="AI6" s="52" t="s">
        <v>230</v>
      </c>
      <c r="AJ6" s="52" t="s">
        <v>144</v>
      </c>
      <c r="AL6" s="51">
        <f t="shared" si="0"/>
        <v>0</v>
      </c>
      <c r="AM6" s="51">
        <f t="shared" si="1"/>
        <v>3</v>
      </c>
      <c r="AN6" s="51">
        <f t="shared" si="2"/>
        <v>3</v>
      </c>
      <c r="AO6" s="51">
        <f t="shared" si="3"/>
        <v>2</v>
      </c>
      <c r="AP6" s="51">
        <f t="shared" si="4"/>
        <v>9</v>
      </c>
    </row>
    <row r="7" spans="2:42" ht="18.75" x14ac:dyDescent="0.25">
      <c r="B7" s="37">
        <v>3</v>
      </c>
      <c r="C7" s="147" t="s">
        <v>180</v>
      </c>
      <c r="D7" s="147"/>
      <c r="F7" s="52" t="s">
        <v>271</v>
      </c>
      <c r="G7" s="52" t="s">
        <v>274</v>
      </c>
      <c r="H7" s="52" t="s">
        <v>274</v>
      </c>
      <c r="I7" s="52" t="s">
        <v>274</v>
      </c>
      <c r="J7" s="52" t="s">
        <v>230</v>
      </c>
      <c r="K7" s="52" t="s">
        <v>231</v>
      </c>
      <c r="L7" s="52" t="s">
        <v>231</v>
      </c>
      <c r="M7" s="52" t="s">
        <v>271</v>
      </c>
      <c r="N7" s="52" t="s">
        <v>271</v>
      </c>
      <c r="O7" s="52" t="s">
        <v>274</v>
      </c>
      <c r="P7" s="52" t="s">
        <v>274</v>
      </c>
      <c r="Q7" s="52" t="s">
        <v>274</v>
      </c>
      <c r="R7" s="52" t="s">
        <v>230</v>
      </c>
      <c r="S7" s="52" t="s">
        <v>231</v>
      </c>
      <c r="T7" s="52" t="s">
        <v>231</v>
      </c>
      <c r="U7" s="52" t="s">
        <v>271</v>
      </c>
      <c r="V7" s="52" t="s">
        <v>271</v>
      </c>
      <c r="W7" s="52" t="s">
        <v>274</v>
      </c>
      <c r="X7" s="52" t="s">
        <v>274</v>
      </c>
      <c r="Y7" s="52" t="s">
        <v>274</v>
      </c>
      <c r="Z7" s="52" t="s">
        <v>230</v>
      </c>
      <c r="AA7" s="52" t="s">
        <v>144</v>
      </c>
      <c r="AB7" s="52" t="s">
        <v>231</v>
      </c>
      <c r="AC7" s="119" t="s">
        <v>271</v>
      </c>
      <c r="AD7" s="52" t="s">
        <v>271</v>
      </c>
      <c r="AE7" s="52" t="s">
        <v>274</v>
      </c>
      <c r="AF7" s="52" t="s">
        <v>274</v>
      </c>
      <c r="AG7" s="52" t="s">
        <v>274</v>
      </c>
      <c r="AH7" s="52" t="s">
        <v>275</v>
      </c>
      <c r="AI7" s="52" t="s">
        <v>275</v>
      </c>
      <c r="AJ7" s="52" t="s">
        <v>275</v>
      </c>
      <c r="AL7" s="51">
        <f t="shared" si="0"/>
        <v>0</v>
      </c>
      <c r="AM7" s="51">
        <f t="shared" si="1"/>
        <v>3</v>
      </c>
      <c r="AN7" s="51">
        <f t="shared" si="2"/>
        <v>5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47" t="s">
        <v>181</v>
      </c>
      <c r="D8" s="147"/>
      <c r="F8" s="52" t="s">
        <v>230</v>
      </c>
      <c r="G8" s="52" t="s">
        <v>231</v>
      </c>
      <c r="H8" s="52" t="s">
        <v>271</v>
      </c>
      <c r="I8" s="52" t="s">
        <v>271</v>
      </c>
      <c r="J8" s="52" t="s">
        <v>274</v>
      </c>
      <c r="K8" s="52" t="s">
        <v>274</v>
      </c>
      <c r="L8" s="52" t="s">
        <v>274</v>
      </c>
      <c r="M8" s="52" t="s">
        <v>230</v>
      </c>
      <c r="N8" s="52" t="s">
        <v>230</v>
      </c>
      <c r="O8" s="52" t="s">
        <v>231</v>
      </c>
      <c r="P8" s="52" t="s">
        <v>271</v>
      </c>
      <c r="Q8" s="52" t="s">
        <v>271</v>
      </c>
      <c r="R8" s="52" t="s">
        <v>274</v>
      </c>
      <c r="S8" s="52" t="s">
        <v>274</v>
      </c>
      <c r="T8" s="52" t="s">
        <v>274</v>
      </c>
      <c r="U8" s="52" t="s">
        <v>230</v>
      </c>
      <c r="V8" s="52" t="s">
        <v>230</v>
      </c>
      <c r="W8" s="52" t="s">
        <v>231</v>
      </c>
      <c r="X8" s="52" t="s">
        <v>271</v>
      </c>
      <c r="Y8" s="52" t="s">
        <v>271</v>
      </c>
      <c r="Z8" s="52" t="s">
        <v>274</v>
      </c>
      <c r="AA8" s="52" t="s">
        <v>274</v>
      </c>
      <c r="AB8" s="52" t="s">
        <v>274</v>
      </c>
      <c r="AC8" s="52" t="s">
        <v>230</v>
      </c>
      <c r="AD8" s="52" t="s">
        <v>230</v>
      </c>
      <c r="AE8" s="52" t="s">
        <v>231</v>
      </c>
      <c r="AF8" s="52" t="s">
        <v>271</v>
      </c>
      <c r="AG8" s="52" t="s">
        <v>271</v>
      </c>
      <c r="AH8" s="52" t="s">
        <v>274</v>
      </c>
      <c r="AI8" s="52" t="s">
        <v>274</v>
      </c>
      <c r="AJ8" s="52" t="s">
        <v>274</v>
      </c>
      <c r="AL8" s="51">
        <f t="shared" si="0"/>
        <v>0</v>
      </c>
      <c r="AM8" s="51">
        <f t="shared" si="1"/>
        <v>7</v>
      </c>
      <c r="AN8" s="51">
        <f t="shared" si="2"/>
        <v>4</v>
      </c>
      <c r="AO8" s="51">
        <f t="shared" si="3"/>
        <v>8</v>
      </c>
      <c r="AP8" s="51">
        <f t="shared" si="4"/>
        <v>12</v>
      </c>
    </row>
    <row r="9" spans="2:42" ht="18.75" x14ac:dyDescent="0.25">
      <c r="B9" s="37">
        <v>5</v>
      </c>
      <c r="C9" s="147" t="s">
        <v>182</v>
      </c>
      <c r="D9" s="147"/>
      <c r="F9" s="52" t="s">
        <v>274</v>
      </c>
      <c r="G9" s="52" t="s">
        <v>274</v>
      </c>
      <c r="H9" s="52" t="s">
        <v>230</v>
      </c>
      <c r="I9" s="52" t="s">
        <v>230</v>
      </c>
      <c r="J9" s="52" t="s">
        <v>231</v>
      </c>
      <c r="K9" s="52" t="s">
        <v>271</v>
      </c>
      <c r="L9" s="52" t="s">
        <v>271</v>
      </c>
      <c r="M9" s="52" t="s">
        <v>274</v>
      </c>
      <c r="N9" s="52" t="s">
        <v>274</v>
      </c>
      <c r="O9" s="52" t="s">
        <v>274</v>
      </c>
      <c r="P9" s="52" t="s">
        <v>230</v>
      </c>
      <c r="Q9" s="52" t="s">
        <v>230</v>
      </c>
      <c r="R9" s="52" t="s">
        <v>231</v>
      </c>
      <c r="S9" s="52" t="s">
        <v>271</v>
      </c>
      <c r="T9" s="52" t="s">
        <v>271</v>
      </c>
      <c r="U9" s="52" t="s">
        <v>274</v>
      </c>
      <c r="V9" s="52" t="s">
        <v>274</v>
      </c>
      <c r="W9" s="52" t="s">
        <v>274</v>
      </c>
      <c r="X9" s="52" t="s">
        <v>230</v>
      </c>
      <c r="Y9" s="52" t="s">
        <v>230</v>
      </c>
      <c r="Z9" s="52" t="s">
        <v>231</v>
      </c>
      <c r="AA9" s="52" t="s">
        <v>271</v>
      </c>
      <c r="AB9" s="52" t="s">
        <v>271</v>
      </c>
      <c r="AC9" s="52" t="s">
        <v>274</v>
      </c>
      <c r="AD9" s="52" t="s">
        <v>274</v>
      </c>
      <c r="AE9" s="52" t="s">
        <v>274</v>
      </c>
      <c r="AF9" s="52" t="s">
        <v>230</v>
      </c>
      <c r="AG9" s="52" t="s">
        <v>230</v>
      </c>
      <c r="AH9" s="52" t="s">
        <v>231</v>
      </c>
      <c r="AI9" s="52" t="s">
        <v>271</v>
      </c>
      <c r="AJ9" s="52" t="s">
        <v>271</v>
      </c>
      <c r="AK9" s="117"/>
      <c r="AL9" s="51">
        <f t="shared" si="0"/>
        <v>0</v>
      </c>
      <c r="AM9" s="51">
        <f t="shared" si="1"/>
        <v>8</v>
      </c>
      <c r="AN9" s="51">
        <f t="shared" si="2"/>
        <v>4</v>
      </c>
      <c r="AO9" s="51">
        <f t="shared" si="3"/>
        <v>8</v>
      </c>
      <c r="AP9" s="51">
        <f t="shared" si="4"/>
        <v>11</v>
      </c>
    </row>
    <row r="10" spans="2:42" ht="19.5" thickBot="1" x14ac:dyDescent="0.3">
      <c r="B10" s="37">
        <v>6</v>
      </c>
      <c r="C10" s="147" t="s">
        <v>183</v>
      </c>
      <c r="D10" s="147"/>
      <c r="F10" s="65" t="s">
        <v>274</v>
      </c>
      <c r="G10" s="65" t="s">
        <v>274</v>
      </c>
      <c r="H10" s="65" t="s">
        <v>230</v>
      </c>
      <c r="I10" s="65" t="s">
        <v>230</v>
      </c>
      <c r="J10" s="65" t="s">
        <v>240</v>
      </c>
      <c r="K10" s="65" t="s">
        <v>240</v>
      </c>
      <c r="L10" s="65" t="s">
        <v>230</v>
      </c>
      <c r="M10" s="65" t="s">
        <v>274</v>
      </c>
      <c r="N10" s="65" t="s">
        <v>274</v>
      </c>
      <c r="O10" s="65" t="s">
        <v>230</v>
      </c>
      <c r="P10" s="65" t="s">
        <v>230</v>
      </c>
      <c r="Q10" s="65" t="s">
        <v>240</v>
      </c>
      <c r="R10" s="65" t="s">
        <v>240</v>
      </c>
      <c r="S10" s="65" t="s">
        <v>230</v>
      </c>
      <c r="T10" s="65" t="s">
        <v>274</v>
      </c>
      <c r="U10" s="65" t="s">
        <v>274</v>
      </c>
      <c r="V10" s="65" t="s">
        <v>230</v>
      </c>
      <c r="W10" s="65" t="s">
        <v>230</v>
      </c>
      <c r="X10" s="65" t="s">
        <v>240</v>
      </c>
      <c r="Y10" s="65" t="s">
        <v>240</v>
      </c>
      <c r="Z10" s="65" t="s">
        <v>230</v>
      </c>
      <c r="AA10" s="65" t="s">
        <v>274</v>
      </c>
      <c r="AB10" s="65" t="s">
        <v>274</v>
      </c>
      <c r="AC10" s="65" t="s">
        <v>230</v>
      </c>
      <c r="AD10" s="65" t="s">
        <v>274</v>
      </c>
      <c r="AE10" s="65" t="s">
        <v>274</v>
      </c>
      <c r="AF10" s="65" t="s">
        <v>230</v>
      </c>
      <c r="AG10" s="65" t="s">
        <v>230</v>
      </c>
      <c r="AH10" s="65" t="s">
        <v>240</v>
      </c>
      <c r="AI10" s="65" t="s">
        <v>240</v>
      </c>
      <c r="AJ10" s="65" t="s">
        <v>230</v>
      </c>
      <c r="AL10" s="51">
        <f t="shared" si="0"/>
        <v>0</v>
      </c>
      <c r="AM10" s="51">
        <f t="shared" si="1"/>
        <v>21</v>
      </c>
      <c r="AN10" s="51">
        <f t="shared" si="2"/>
        <v>0</v>
      </c>
      <c r="AO10" s="51">
        <f t="shared" si="3"/>
        <v>0</v>
      </c>
      <c r="AP10" s="51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3" t="s">
        <v>91</v>
      </c>
      <c r="D12" s="183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0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0</v>
      </c>
      <c r="U12" s="37">
        <f t="shared" si="5"/>
        <v>1</v>
      </c>
      <c r="V12" s="37">
        <f t="shared" si="5"/>
        <v>2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2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0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83" t="s">
        <v>92</v>
      </c>
      <c r="D13" s="183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0</v>
      </c>
      <c r="N13" s="37">
        <f t="shared" si="6"/>
        <v>0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0</v>
      </c>
      <c r="V13" s="37">
        <f t="shared" si="6"/>
        <v>0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0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0</v>
      </c>
      <c r="AJ13" s="37">
        <f t="shared" si="6"/>
        <v>0</v>
      </c>
    </row>
    <row r="14" spans="2:42" ht="18.75" x14ac:dyDescent="0.3">
      <c r="C14" s="183" t="s">
        <v>72</v>
      </c>
      <c r="D14" s="183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3" t="s">
        <v>73</v>
      </c>
      <c r="D15" s="183"/>
      <c r="E15" s="36"/>
      <c r="F15" s="37">
        <f t="shared" ref="F15:AJ15" si="8">COUNTIF(F$5:F$10,"O*")</f>
        <v>2</v>
      </c>
      <c r="G15" s="37">
        <f t="shared" si="8"/>
        <v>3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3</v>
      </c>
      <c r="N15" s="37">
        <f t="shared" si="8"/>
        <v>2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3</v>
      </c>
      <c r="U15" s="37">
        <f t="shared" si="8"/>
        <v>3</v>
      </c>
      <c r="V15" s="37">
        <f t="shared" si="8"/>
        <v>1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2</v>
      </c>
      <c r="AA15" s="37">
        <f t="shared" si="8"/>
        <v>3</v>
      </c>
      <c r="AB15" s="37">
        <f t="shared" si="8"/>
        <v>3</v>
      </c>
      <c r="AC15" s="37">
        <f t="shared" si="8"/>
        <v>2</v>
      </c>
      <c r="AD15" s="37">
        <f t="shared" si="8"/>
        <v>2</v>
      </c>
      <c r="AE15" s="37">
        <f t="shared" si="8"/>
        <v>3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79" t="s">
        <v>143</v>
      </c>
      <c r="D16" s="180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1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1</v>
      </c>
    </row>
    <row r="17" spans="3:36" ht="18.75" x14ac:dyDescent="0.3">
      <c r="C17" s="179" t="s">
        <v>106</v>
      </c>
      <c r="D17" s="180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1" t="s">
        <v>104</v>
      </c>
      <c r="D18" s="181"/>
      <c r="E18" s="38"/>
      <c r="F18" s="53">
        <f>F20-F21</f>
        <v>1</v>
      </c>
      <c r="G18" s="53">
        <f t="shared" ref="G18:AJ18" si="11">G20-G21</f>
        <v>0</v>
      </c>
      <c r="H18" s="53">
        <f t="shared" si="11"/>
        <v>0</v>
      </c>
      <c r="I18" s="53">
        <f t="shared" si="11"/>
        <v>0</v>
      </c>
      <c r="J18" s="53">
        <f t="shared" si="11"/>
        <v>0</v>
      </c>
      <c r="K18" s="53">
        <f t="shared" si="11"/>
        <v>-1</v>
      </c>
      <c r="L18" s="53">
        <f t="shared" si="11"/>
        <v>-1</v>
      </c>
      <c r="M18" s="53">
        <f t="shared" si="11"/>
        <v>-1</v>
      </c>
      <c r="N18" s="53">
        <f t="shared" si="11"/>
        <v>-1</v>
      </c>
      <c r="O18" s="53">
        <f t="shared" si="11"/>
        <v>-2</v>
      </c>
      <c r="P18" s="53">
        <f t="shared" si="11"/>
        <v>-1</v>
      </c>
      <c r="Q18" s="53">
        <f t="shared" si="11"/>
        <v>-1</v>
      </c>
      <c r="R18" s="53">
        <f t="shared" si="11"/>
        <v>-1</v>
      </c>
      <c r="S18" s="53">
        <f t="shared" si="11"/>
        <v>-1</v>
      </c>
      <c r="T18" s="53">
        <f t="shared" si="11"/>
        <v>-1</v>
      </c>
      <c r="U18" s="53">
        <f t="shared" si="11"/>
        <v>-1</v>
      </c>
      <c r="V18" s="53">
        <f t="shared" si="11"/>
        <v>0</v>
      </c>
      <c r="W18" s="53">
        <f t="shared" si="11"/>
        <v>-1</v>
      </c>
      <c r="X18" s="53">
        <f t="shared" si="11"/>
        <v>0</v>
      </c>
      <c r="Y18" s="53">
        <f t="shared" si="11"/>
        <v>0</v>
      </c>
      <c r="Z18" s="53">
        <f t="shared" si="11"/>
        <v>0</v>
      </c>
      <c r="AA18" s="53">
        <f t="shared" si="11"/>
        <v>-1</v>
      </c>
      <c r="AB18" s="53">
        <f t="shared" si="11"/>
        <v>0</v>
      </c>
      <c r="AC18" s="53">
        <f t="shared" si="11"/>
        <v>0</v>
      </c>
      <c r="AD18" s="53">
        <f t="shared" si="11"/>
        <v>1</v>
      </c>
      <c r="AE18" s="53">
        <f t="shared" si="11"/>
        <v>0</v>
      </c>
      <c r="AF18" s="53">
        <f t="shared" si="11"/>
        <v>0</v>
      </c>
      <c r="AG18" s="53">
        <f t="shared" si="11"/>
        <v>0</v>
      </c>
      <c r="AH18" s="53">
        <f t="shared" si="11"/>
        <v>-1</v>
      </c>
      <c r="AI18" s="53">
        <f t="shared" si="11"/>
        <v>-1</v>
      </c>
      <c r="AJ18" s="53">
        <f t="shared" si="11"/>
        <v>15</v>
      </c>
    </row>
    <row r="19" spans="3:36" ht="9.75" customHeight="1" x14ac:dyDescent="0.3">
      <c r="C19" s="40"/>
      <c r="D19" s="40"/>
      <c r="E19" s="36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</row>
    <row r="20" spans="3:36" ht="18.75" x14ac:dyDescent="0.3">
      <c r="C20" s="183" t="s">
        <v>102</v>
      </c>
      <c r="D20" s="183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2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1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2</v>
      </c>
      <c r="AB20" s="41">
        <f t="shared" si="12"/>
        <v>3</v>
      </c>
      <c r="AC20" s="41">
        <f t="shared" si="12"/>
        <v>3</v>
      </c>
      <c r="AD20" s="41">
        <f t="shared" si="12"/>
        <v>4</v>
      </c>
      <c r="AE20" s="41">
        <f t="shared" si="12"/>
        <v>3</v>
      </c>
      <c r="AF20" s="41">
        <f t="shared" si="12"/>
        <v>3</v>
      </c>
      <c r="AG20" s="41">
        <f t="shared" si="12"/>
        <v>3</v>
      </c>
      <c r="AH20" s="41">
        <f t="shared" si="12"/>
        <v>2</v>
      </c>
      <c r="AI20" s="41">
        <f t="shared" si="12"/>
        <v>2</v>
      </c>
      <c r="AJ20" s="41">
        <v>18</v>
      </c>
    </row>
    <row r="21" spans="3:36" ht="18.75" x14ac:dyDescent="0.3">
      <c r="C21" s="183" t="s">
        <v>90</v>
      </c>
      <c r="D21" s="183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3" t="s">
        <v>103</v>
      </c>
      <c r="D22" s="183"/>
      <c r="E22" s="36"/>
      <c r="F22" s="37">
        <f>SUM(F12,F13,F14,F15,F17)</f>
        <v>6</v>
      </c>
      <c r="G22" s="37">
        <f t="shared" ref="G22:AI22" si="13">SUM(G12,G13,G14,G15,G17)</f>
        <v>6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4</v>
      </c>
      <c r="M22" s="37">
        <f t="shared" si="13"/>
        <v>5</v>
      </c>
      <c r="N22" s="37">
        <f t="shared" si="13"/>
        <v>4</v>
      </c>
      <c r="O22" s="37">
        <f t="shared" si="13"/>
        <v>3</v>
      </c>
      <c r="P22" s="37">
        <f t="shared" si="13"/>
        <v>3</v>
      </c>
      <c r="Q22" s="37">
        <f t="shared" si="13"/>
        <v>3</v>
      </c>
      <c r="R22" s="37">
        <f t="shared" si="13"/>
        <v>3</v>
      </c>
      <c r="S22" s="37">
        <f t="shared" si="13"/>
        <v>4</v>
      </c>
      <c r="T22" s="37">
        <f t="shared" si="13"/>
        <v>5</v>
      </c>
      <c r="U22" s="37">
        <f t="shared" si="13"/>
        <v>5</v>
      </c>
      <c r="V22" s="37">
        <f t="shared" si="13"/>
        <v>4</v>
      </c>
      <c r="W22" s="37">
        <f t="shared" si="13"/>
        <v>4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5</v>
      </c>
      <c r="AB22" s="37">
        <f t="shared" si="13"/>
        <v>6</v>
      </c>
      <c r="AC22" s="37">
        <f t="shared" si="13"/>
        <v>5</v>
      </c>
      <c r="AD22" s="37">
        <f t="shared" si="13"/>
        <v>6</v>
      </c>
      <c r="AE22" s="37">
        <f t="shared" si="13"/>
        <v>6</v>
      </c>
      <c r="AF22" s="37">
        <f t="shared" si="13"/>
        <v>5</v>
      </c>
      <c r="AG22" s="37">
        <f t="shared" si="13"/>
        <v>5</v>
      </c>
      <c r="AH22" s="37">
        <f t="shared" si="13"/>
        <v>4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24" t="s">
        <v>233</v>
      </c>
      <c r="G24" s="225"/>
      <c r="H24" s="225"/>
      <c r="I24" s="225"/>
      <c r="J24" s="225"/>
      <c r="K24" s="226"/>
    </row>
    <row r="25" spans="3:36" x14ac:dyDescent="0.25">
      <c r="F25" s="71" t="s">
        <v>142</v>
      </c>
      <c r="G25" s="218" t="s">
        <v>229</v>
      </c>
      <c r="H25" s="219"/>
      <c r="I25" s="84" t="s">
        <v>230</v>
      </c>
      <c r="J25" s="85" t="s">
        <v>241</v>
      </c>
      <c r="K25" s="86"/>
    </row>
    <row r="26" spans="3:36" x14ac:dyDescent="0.25">
      <c r="F26" s="72" t="s">
        <v>119</v>
      </c>
      <c r="G26" s="220" t="s">
        <v>230</v>
      </c>
      <c r="H26" s="221"/>
      <c r="I26" s="84" t="s">
        <v>240</v>
      </c>
      <c r="J26" s="197" t="s">
        <v>242</v>
      </c>
      <c r="K26" s="204"/>
    </row>
    <row r="27" spans="3:36" x14ac:dyDescent="0.25">
      <c r="F27" s="73" t="s">
        <v>227</v>
      </c>
      <c r="G27" s="205" t="s">
        <v>231</v>
      </c>
      <c r="H27" s="222"/>
      <c r="I27" s="87" t="s">
        <v>236</v>
      </c>
      <c r="J27" s="227" t="s">
        <v>243</v>
      </c>
      <c r="K27" s="228"/>
    </row>
    <row r="28" spans="3:36" x14ac:dyDescent="0.25">
      <c r="F28" s="74" t="s">
        <v>228</v>
      </c>
      <c r="G28" s="207" t="s">
        <v>232</v>
      </c>
      <c r="H28" s="223"/>
      <c r="I28" s="26"/>
      <c r="J28" s="229"/>
      <c r="K28" s="230"/>
    </row>
    <row r="29" spans="3:36" x14ac:dyDescent="0.25">
      <c r="F29" s="75" t="s">
        <v>144</v>
      </c>
      <c r="G29" s="191" t="s">
        <v>235</v>
      </c>
      <c r="H29" s="214"/>
      <c r="I29" s="19"/>
      <c r="J29" s="209"/>
      <c r="K29" s="210"/>
    </row>
    <row r="30" spans="3:36" ht="16.5" thickBot="1" x14ac:dyDescent="0.3">
      <c r="F30" s="82"/>
      <c r="G30" s="215" t="s">
        <v>234</v>
      </c>
      <c r="H30" s="216"/>
      <c r="I30" s="83"/>
      <c r="J30" s="211"/>
      <c r="K30" s="212"/>
    </row>
    <row r="31" spans="3:36" x14ac:dyDescent="0.25">
      <c r="F31" s="81"/>
      <c r="G31" s="217"/>
      <c r="H31" s="217"/>
      <c r="I31" s="70"/>
      <c r="J31" s="213"/>
      <c r="K31" s="213"/>
    </row>
    <row r="32" spans="3:36" x14ac:dyDescent="0.25">
      <c r="F32" s="70"/>
      <c r="G32" s="213"/>
      <c r="H32" s="213"/>
      <c r="I32" s="70"/>
      <c r="J32" s="70"/>
      <c r="K32" s="70"/>
    </row>
    <row r="33" spans="6:11" x14ac:dyDescent="0.25">
      <c r="F33" s="70"/>
      <c r="G33" s="213"/>
      <c r="H33" s="213"/>
      <c r="I33" s="70"/>
      <c r="J33" s="70"/>
      <c r="K33" s="70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AJ10">
    <cfRule type="containsText" dxfId="144" priority="1" operator="containsText" text="LV">
      <formula>NOT(ISERROR(SEARCH("LV",F5)))</formula>
    </cfRule>
    <cfRule type="containsText" dxfId="143" priority="2" operator="containsText" text="STNN21">
      <formula>NOT(ISERROR(SEARCH("STNN21",F5)))</formula>
    </cfRule>
    <cfRule type="containsText" dxfId="142" priority="3" operator="containsText" text="STAN13">
      <formula>NOT(ISERROR(SEARCH("STAN13",F5)))</formula>
    </cfRule>
    <cfRule type="containsText" dxfId="141" priority="4" operator="containsText" text="STMN06">
      <formula>NOT(ISERROR(SEARCH("STMN06",F5)))</formula>
    </cfRule>
    <cfRule type="containsText" dxfId="140" priority="5" operator="containsText" text="MN12">
      <formula>NOT(ISERROR(SEARCH("MN12",F5)))</formula>
    </cfRule>
    <cfRule type="containsText" dxfId="139" priority="6" operator="containsText" text="TR">
      <formula>NOT(ISERROR(SEARCH("TR",F5)))</formula>
    </cfRule>
    <cfRule type="containsText" dxfId="138" priority="7" operator="containsText" text="OFF">
      <formula>NOT(ISERROR(SEARCH("OFF",F5)))</formula>
    </cfRule>
    <cfRule type="containsText" dxfId="137" priority="8" operator="containsText" text="NN21">
      <formula>NOT(ISERROR(SEARCH("NN21",F5)))</formula>
    </cfRule>
    <cfRule type="containsText" dxfId="136" priority="9" operator="containsText" text="AN13">
      <formula>NOT(ISERROR(SEARCH("AN13",F5)))</formula>
    </cfRule>
    <cfRule type="containsText" dxfId="135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abSelected="1" topLeftCell="A2" zoomScale="80" zoomScaleNormal="8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L25" sqref="L2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278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2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146</v>
      </c>
      <c r="D5" s="147"/>
      <c r="F5" s="44" t="s">
        <v>274</v>
      </c>
      <c r="G5" s="44" t="s">
        <v>275</v>
      </c>
      <c r="H5" s="44" t="s">
        <v>275</v>
      </c>
      <c r="I5" s="44" t="s">
        <v>275</v>
      </c>
      <c r="J5" s="44" t="s">
        <v>275</v>
      </c>
      <c r="K5" s="44" t="s">
        <v>275</v>
      </c>
      <c r="L5" s="44" t="s">
        <v>274</v>
      </c>
      <c r="M5" s="44" t="s">
        <v>274</v>
      </c>
      <c r="N5" s="44" t="s">
        <v>274</v>
      </c>
      <c r="O5" s="44" t="s">
        <v>230</v>
      </c>
      <c r="P5" s="44" t="s">
        <v>230</v>
      </c>
      <c r="Q5" s="44" t="s">
        <v>231</v>
      </c>
      <c r="R5" s="44" t="s">
        <v>231</v>
      </c>
      <c r="S5" s="44" t="s">
        <v>271</v>
      </c>
      <c r="T5" s="44" t="s">
        <v>274</v>
      </c>
      <c r="U5" s="44" t="s">
        <v>274</v>
      </c>
      <c r="V5" s="44" t="s">
        <v>274</v>
      </c>
      <c r="W5" s="44" t="s">
        <v>230</v>
      </c>
      <c r="X5" s="44" t="s">
        <v>231</v>
      </c>
      <c r="Y5" s="44" t="s">
        <v>231</v>
      </c>
      <c r="Z5" s="44" t="s">
        <v>271</v>
      </c>
      <c r="AA5" s="44" t="s">
        <v>271</v>
      </c>
      <c r="AB5" s="44" t="s">
        <v>274</v>
      </c>
      <c r="AC5" s="44" t="s">
        <v>274</v>
      </c>
      <c r="AD5" s="44" t="s">
        <v>274</v>
      </c>
      <c r="AE5" s="44" t="s">
        <v>275</v>
      </c>
      <c r="AF5" s="44" t="s">
        <v>275</v>
      </c>
      <c r="AG5" s="44" t="s">
        <v>275</v>
      </c>
      <c r="AH5" s="44" t="s">
        <v>275</v>
      </c>
      <c r="AI5" s="44" t="s">
        <v>275</v>
      </c>
      <c r="AJ5" s="44" t="s">
        <v>274</v>
      </c>
      <c r="AL5" s="51">
        <f t="shared" ref="AL5:AL40" si="0">COUNTIF($F5:$AJ5,"ST*")</f>
        <v>0</v>
      </c>
      <c r="AM5" s="51">
        <f t="shared" ref="AM5:AM40" si="1">COUNTIF($F5:$AJ5,"M*")</f>
        <v>3</v>
      </c>
      <c r="AN5" s="51">
        <f t="shared" ref="AN5:AN40" si="2">COUNTIF($F5:$AJ5,"A*")</f>
        <v>4</v>
      </c>
      <c r="AO5" s="51">
        <f t="shared" ref="AO5:AO40" si="3">COUNTIF($F5:$AJ5,"N*")</f>
        <v>3</v>
      </c>
      <c r="AP5" s="51">
        <f t="shared" ref="AP5:AP40" si="4">COUNTIF($F5:$AJ5,"O*")</f>
        <v>11</v>
      </c>
    </row>
    <row r="6" spans="2:42" ht="18.75" x14ac:dyDescent="0.25">
      <c r="B6" s="37">
        <v>2</v>
      </c>
      <c r="C6" s="147" t="s">
        <v>149</v>
      </c>
      <c r="D6" s="147"/>
      <c r="F6" s="52" t="s">
        <v>275</v>
      </c>
      <c r="G6" s="52" t="s">
        <v>275</v>
      </c>
      <c r="H6" s="52" t="s">
        <v>275</v>
      </c>
      <c r="I6" s="52" t="s">
        <v>275</v>
      </c>
      <c r="J6" s="52" t="s">
        <v>275</v>
      </c>
      <c r="K6" s="52" t="s">
        <v>275</v>
      </c>
      <c r="L6" s="52" t="s">
        <v>275</v>
      </c>
      <c r="M6" s="52" t="s">
        <v>275</v>
      </c>
      <c r="N6" s="52" t="s">
        <v>275</v>
      </c>
      <c r="O6" s="52" t="s">
        <v>275</v>
      </c>
      <c r="P6" s="52" t="s">
        <v>275</v>
      </c>
      <c r="Q6" s="52" t="s">
        <v>274</v>
      </c>
      <c r="R6" s="52" t="s">
        <v>274</v>
      </c>
      <c r="S6" s="52" t="s">
        <v>274</v>
      </c>
      <c r="T6" s="52" t="s">
        <v>230</v>
      </c>
      <c r="U6" s="52" t="s">
        <v>230</v>
      </c>
      <c r="V6" s="52" t="s">
        <v>231</v>
      </c>
      <c r="W6" s="52" t="s">
        <v>271</v>
      </c>
      <c r="X6" s="52" t="s">
        <v>271</v>
      </c>
      <c r="Y6" s="52" t="s">
        <v>274</v>
      </c>
      <c r="Z6" s="52" t="s">
        <v>274</v>
      </c>
      <c r="AA6" s="52" t="s">
        <v>274</v>
      </c>
      <c r="AB6" s="52" t="s">
        <v>230</v>
      </c>
      <c r="AC6" s="52" t="s">
        <v>230</v>
      </c>
      <c r="AD6" s="52" t="s">
        <v>231</v>
      </c>
      <c r="AE6" s="52" t="s">
        <v>271</v>
      </c>
      <c r="AF6" s="52" t="s">
        <v>271</v>
      </c>
      <c r="AG6" s="52" t="s">
        <v>274</v>
      </c>
      <c r="AH6" s="52" t="s">
        <v>274</v>
      </c>
      <c r="AI6" s="52" t="s">
        <v>274</v>
      </c>
      <c r="AJ6" s="52" t="s">
        <v>230</v>
      </c>
      <c r="AL6" s="51">
        <f t="shared" si="0"/>
        <v>0</v>
      </c>
      <c r="AM6" s="51">
        <f t="shared" si="1"/>
        <v>5</v>
      </c>
      <c r="AN6" s="51">
        <f t="shared" si="2"/>
        <v>2</v>
      </c>
      <c r="AO6" s="51">
        <f t="shared" si="3"/>
        <v>4</v>
      </c>
      <c r="AP6" s="51">
        <f t="shared" si="4"/>
        <v>9</v>
      </c>
    </row>
    <row r="7" spans="2:42" ht="18.75" x14ac:dyDescent="0.25">
      <c r="B7" s="37">
        <v>3</v>
      </c>
      <c r="C7" s="147" t="s">
        <v>150</v>
      </c>
      <c r="D7" s="147"/>
      <c r="F7" s="52" t="s">
        <v>231</v>
      </c>
      <c r="G7" s="52" t="s">
        <v>271</v>
      </c>
      <c r="H7" s="52" t="s">
        <v>274</v>
      </c>
      <c r="I7" s="52" t="s">
        <v>274</v>
      </c>
      <c r="J7" s="52" t="s">
        <v>274</v>
      </c>
      <c r="K7" s="52" t="s">
        <v>230</v>
      </c>
      <c r="L7" s="52" t="s">
        <v>231</v>
      </c>
      <c r="M7" s="52" t="s">
        <v>231</v>
      </c>
      <c r="N7" s="52" t="s">
        <v>271</v>
      </c>
      <c r="O7" s="52" t="s">
        <v>271</v>
      </c>
      <c r="P7" s="52" t="s">
        <v>274</v>
      </c>
      <c r="Q7" s="52" t="s">
        <v>274</v>
      </c>
      <c r="R7" s="52" t="s">
        <v>274</v>
      </c>
      <c r="S7" s="52" t="s">
        <v>230</v>
      </c>
      <c r="T7" s="52" t="s">
        <v>231</v>
      </c>
      <c r="U7" s="52" t="s">
        <v>231</v>
      </c>
      <c r="V7" s="52" t="s">
        <v>271</v>
      </c>
      <c r="W7" s="52" t="s">
        <v>271</v>
      </c>
      <c r="X7" s="52" t="s">
        <v>274</v>
      </c>
      <c r="Y7" s="52" t="s">
        <v>274</v>
      </c>
      <c r="Z7" s="52" t="s">
        <v>274</v>
      </c>
      <c r="AA7" s="52" t="s">
        <v>230</v>
      </c>
      <c r="AB7" s="52" t="s">
        <v>230</v>
      </c>
      <c r="AC7" s="52" t="s">
        <v>144</v>
      </c>
      <c r="AD7" s="52" t="s">
        <v>271</v>
      </c>
      <c r="AE7" s="52" t="s">
        <v>271</v>
      </c>
      <c r="AF7" s="52" t="s">
        <v>274</v>
      </c>
      <c r="AG7" s="52" t="s">
        <v>274</v>
      </c>
      <c r="AH7" s="52" t="s">
        <v>274</v>
      </c>
      <c r="AI7" s="52" t="s">
        <v>230</v>
      </c>
      <c r="AJ7" s="52" t="s">
        <v>231</v>
      </c>
      <c r="AL7" s="51">
        <f t="shared" si="0"/>
        <v>0</v>
      </c>
      <c r="AM7" s="51">
        <f t="shared" si="1"/>
        <v>5</v>
      </c>
      <c r="AN7" s="51">
        <f t="shared" si="2"/>
        <v>6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47" t="s">
        <v>151</v>
      </c>
      <c r="D8" s="147"/>
      <c r="F8" s="52" t="s">
        <v>271</v>
      </c>
      <c r="G8" s="52" t="s">
        <v>274</v>
      </c>
      <c r="H8" s="52" t="s">
        <v>274</v>
      </c>
      <c r="I8" s="52" t="s">
        <v>274</v>
      </c>
      <c r="J8" s="52" t="s">
        <v>230</v>
      </c>
      <c r="K8" s="52" t="s">
        <v>230</v>
      </c>
      <c r="L8" s="52" t="s">
        <v>231</v>
      </c>
      <c r="M8" s="52" t="s">
        <v>231</v>
      </c>
      <c r="N8" s="52" t="s">
        <v>271</v>
      </c>
      <c r="O8" s="52" t="s">
        <v>274</v>
      </c>
      <c r="P8" s="52" t="s">
        <v>274</v>
      </c>
      <c r="Q8" s="52" t="s">
        <v>274</v>
      </c>
      <c r="R8" s="57" t="s">
        <v>275</v>
      </c>
      <c r="S8" s="57" t="s">
        <v>275</v>
      </c>
      <c r="T8" s="57" t="s">
        <v>275</v>
      </c>
      <c r="U8" s="57" t="s">
        <v>275</v>
      </c>
      <c r="V8" s="57" t="s">
        <v>275</v>
      </c>
      <c r="W8" s="57" t="s">
        <v>275</v>
      </c>
      <c r="X8" s="57" t="s">
        <v>274</v>
      </c>
      <c r="Y8" s="57" t="s">
        <v>274</v>
      </c>
      <c r="Z8" s="52" t="s">
        <v>230</v>
      </c>
      <c r="AA8" s="52" t="s">
        <v>230</v>
      </c>
      <c r="AB8" s="52" t="s">
        <v>231</v>
      </c>
      <c r="AC8" s="52" t="s">
        <v>271</v>
      </c>
      <c r="AD8" s="52" t="s">
        <v>271</v>
      </c>
      <c r="AE8" s="52" t="s">
        <v>274</v>
      </c>
      <c r="AF8" s="52" t="s">
        <v>274</v>
      </c>
      <c r="AG8" s="52" t="s">
        <v>274</v>
      </c>
      <c r="AH8" s="52" t="s">
        <v>230</v>
      </c>
      <c r="AI8" s="52" t="s">
        <v>230</v>
      </c>
      <c r="AJ8" s="52" t="s">
        <v>231</v>
      </c>
      <c r="AL8" s="51">
        <f t="shared" si="0"/>
        <v>0</v>
      </c>
      <c r="AM8" s="51">
        <f t="shared" si="1"/>
        <v>6</v>
      </c>
      <c r="AN8" s="51">
        <f t="shared" si="2"/>
        <v>4</v>
      </c>
      <c r="AO8" s="51">
        <f t="shared" si="3"/>
        <v>4</v>
      </c>
      <c r="AP8" s="51">
        <f t="shared" si="4"/>
        <v>11</v>
      </c>
    </row>
    <row r="9" spans="2:42" ht="18.75" x14ac:dyDescent="0.25">
      <c r="B9" s="37">
        <v>5</v>
      </c>
      <c r="C9" s="147" t="s">
        <v>152</v>
      </c>
      <c r="D9" s="147"/>
      <c r="F9" s="52" t="s">
        <v>274</v>
      </c>
      <c r="G9" s="52" t="s">
        <v>274</v>
      </c>
      <c r="H9" s="52" t="s">
        <v>274</v>
      </c>
      <c r="I9" s="52" t="s">
        <v>230</v>
      </c>
      <c r="J9" s="52" t="s">
        <v>231</v>
      </c>
      <c r="K9" s="52" t="s">
        <v>231</v>
      </c>
      <c r="L9" s="52" t="s">
        <v>271</v>
      </c>
      <c r="M9" s="52" t="s">
        <v>271</v>
      </c>
      <c r="N9" s="52" t="s">
        <v>274</v>
      </c>
      <c r="O9" s="52" t="s">
        <v>274</v>
      </c>
      <c r="P9" s="52" t="s">
        <v>274</v>
      </c>
      <c r="Q9" s="52" t="s">
        <v>230</v>
      </c>
      <c r="R9" s="52" t="s">
        <v>230</v>
      </c>
      <c r="S9" s="52" t="s">
        <v>231</v>
      </c>
      <c r="T9" s="52" t="s">
        <v>271</v>
      </c>
      <c r="U9" s="52" t="s">
        <v>271</v>
      </c>
      <c r="V9" s="52" t="s">
        <v>274</v>
      </c>
      <c r="W9" s="52" t="s">
        <v>274</v>
      </c>
      <c r="X9" s="52" t="s">
        <v>274</v>
      </c>
      <c r="Y9" s="52" t="s">
        <v>230</v>
      </c>
      <c r="Z9" s="52" t="s">
        <v>230</v>
      </c>
      <c r="AA9" s="52" t="s">
        <v>231</v>
      </c>
      <c r="AB9" s="52" t="s">
        <v>271</v>
      </c>
      <c r="AC9" s="52" t="s">
        <v>271</v>
      </c>
      <c r="AD9" s="52" t="s">
        <v>274</v>
      </c>
      <c r="AE9" s="52" t="s">
        <v>274</v>
      </c>
      <c r="AF9" s="52" t="s">
        <v>274</v>
      </c>
      <c r="AG9" s="52" t="s">
        <v>230</v>
      </c>
      <c r="AH9" s="52" t="s">
        <v>231</v>
      </c>
      <c r="AI9" s="52" t="s">
        <v>271</v>
      </c>
      <c r="AJ9" s="52" t="s">
        <v>271</v>
      </c>
      <c r="AL9" s="51">
        <f t="shared" si="0"/>
        <v>0</v>
      </c>
      <c r="AM9" s="51">
        <f t="shared" si="1"/>
        <v>6</v>
      </c>
      <c r="AN9" s="51">
        <f t="shared" si="2"/>
        <v>5</v>
      </c>
      <c r="AO9" s="51">
        <f t="shared" si="3"/>
        <v>8</v>
      </c>
      <c r="AP9" s="51">
        <f t="shared" si="4"/>
        <v>12</v>
      </c>
    </row>
    <row r="10" spans="2:42" ht="18.75" x14ac:dyDescent="0.25">
      <c r="B10" s="37">
        <v>6</v>
      </c>
      <c r="C10" s="147" t="s">
        <v>153</v>
      </c>
      <c r="D10" s="147"/>
      <c r="F10" s="52" t="s">
        <v>274</v>
      </c>
      <c r="G10" s="52" t="s">
        <v>274</v>
      </c>
      <c r="H10" s="52" t="s">
        <v>144</v>
      </c>
      <c r="I10" s="52" t="s">
        <v>144</v>
      </c>
      <c r="J10" s="52" t="s">
        <v>231</v>
      </c>
      <c r="K10" s="52" t="s">
        <v>271</v>
      </c>
      <c r="L10" s="52" t="s">
        <v>271</v>
      </c>
      <c r="M10" s="52" t="s">
        <v>274</v>
      </c>
      <c r="N10" s="52" t="s">
        <v>274</v>
      </c>
      <c r="O10" s="52" t="s">
        <v>274</v>
      </c>
      <c r="P10" s="52" t="s">
        <v>230</v>
      </c>
      <c r="Q10" s="52" t="s">
        <v>231</v>
      </c>
      <c r="R10" s="52" t="s">
        <v>231</v>
      </c>
      <c r="S10" s="52" t="s">
        <v>271</v>
      </c>
      <c r="T10" s="52" t="s">
        <v>271</v>
      </c>
      <c r="U10" s="52" t="s">
        <v>274</v>
      </c>
      <c r="V10" s="52" t="s">
        <v>274</v>
      </c>
      <c r="W10" s="52" t="s">
        <v>274</v>
      </c>
      <c r="X10" s="52" t="s">
        <v>230</v>
      </c>
      <c r="Y10" s="52" t="s">
        <v>231</v>
      </c>
      <c r="Z10" s="52" t="s">
        <v>231</v>
      </c>
      <c r="AA10" s="52" t="s">
        <v>271</v>
      </c>
      <c r="AB10" s="52" t="s">
        <v>271</v>
      </c>
      <c r="AC10" s="52" t="s">
        <v>274</v>
      </c>
      <c r="AD10" s="52" t="s">
        <v>274</v>
      </c>
      <c r="AE10" s="52" t="s">
        <v>274</v>
      </c>
      <c r="AF10" s="52" t="s">
        <v>275</v>
      </c>
      <c r="AG10" s="52" t="s">
        <v>275</v>
      </c>
      <c r="AH10" s="52" t="s">
        <v>275</v>
      </c>
      <c r="AI10" s="52" t="s">
        <v>275</v>
      </c>
      <c r="AJ10" s="52" t="s">
        <v>275</v>
      </c>
      <c r="AL10" s="51">
        <f t="shared" si="0"/>
        <v>0</v>
      </c>
      <c r="AM10" s="51">
        <f t="shared" si="1"/>
        <v>2</v>
      </c>
      <c r="AN10" s="51">
        <f t="shared" si="2"/>
        <v>5</v>
      </c>
      <c r="AO10" s="51">
        <f t="shared" si="3"/>
        <v>6</v>
      </c>
      <c r="AP10" s="51">
        <f t="shared" si="4"/>
        <v>11</v>
      </c>
    </row>
    <row r="11" spans="2:42" ht="18.75" x14ac:dyDescent="0.25">
      <c r="B11" s="37">
        <v>7</v>
      </c>
      <c r="C11" s="147" t="s">
        <v>154</v>
      </c>
      <c r="D11" s="147"/>
      <c r="F11" s="52" t="s">
        <v>274</v>
      </c>
      <c r="G11" s="52" t="s">
        <v>230</v>
      </c>
      <c r="H11" s="52" t="s">
        <v>231</v>
      </c>
      <c r="I11" s="52" t="s">
        <v>231</v>
      </c>
      <c r="J11" s="52" t="s">
        <v>271</v>
      </c>
      <c r="K11" s="52" t="s">
        <v>271</v>
      </c>
      <c r="L11" s="52" t="s">
        <v>274</v>
      </c>
      <c r="M11" s="52" t="s">
        <v>274</v>
      </c>
      <c r="N11" s="52" t="s">
        <v>274</v>
      </c>
      <c r="O11" s="52" t="s">
        <v>230</v>
      </c>
      <c r="P11" s="52" t="s">
        <v>270</v>
      </c>
      <c r="Q11" s="52" t="s">
        <v>231</v>
      </c>
      <c r="R11" s="52" t="s">
        <v>231</v>
      </c>
      <c r="S11" s="52" t="s">
        <v>271</v>
      </c>
      <c r="T11" s="52" t="s">
        <v>274</v>
      </c>
      <c r="U11" s="52" t="s">
        <v>274</v>
      </c>
      <c r="V11" s="52" t="s">
        <v>274</v>
      </c>
      <c r="W11" s="130" t="s">
        <v>275</v>
      </c>
      <c r="X11" s="130" t="s">
        <v>275</v>
      </c>
      <c r="Y11" s="130" t="s">
        <v>275</v>
      </c>
      <c r="Z11" s="130" t="s">
        <v>275</v>
      </c>
      <c r="AA11" s="130" t="s">
        <v>275</v>
      </c>
      <c r="AB11" s="130" t="s">
        <v>275</v>
      </c>
      <c r="AC11" s="130" t="s">
        <v>275</v>
      </c>
      <c r="AD11" s="130" t="s">
        <v>275</v>
      </c>
      <c r="AE11" s="130" t="s">
        <v>275</v>
      </c>
      <c r="AF11" s="130" t="s">
        <v>275</v>
      </c>
      <c r="AG11" s="130" t="s">
        <v>275</v>
      </c>
      <c r="AH11" s="130" t="s">
        <v>275</v>
      </c>
      <c r="AI11" s="130" t="s">
        <v>275</v>
      </c>
      <c r="AJ11" s="52" t="s">
        <v>274</v>
      </c>
      <c r="AL11" s="51">
        <f t="shared" si="0"/>
        <v>1</v>
      </c>
      <c r="AM11" s="51">
        <f t="shared" si="1"/>
        <v>2</v>
      </c>
      <c r="AN11" s="51">
        <f t="shared" si="2"/>
        <v>4</v>
      </c>
      <c r="AO11" s="51">
        <f t="shared" si="3"/>
        <v>3</v>
      </c>
      <c r="AP11" s="51">
        <f t="shared" si="4"/>
        <v>8</v>
      </c>
    </row>
    <row r="12" spans="2:42" ht="18.75" x14ac:dyDescent="0.25">
      <c r="B12" s="37">
        <v>8</v>
      </c>
      <c r="C12" s="147" t="s">
        <v>155</v>
      </c>
      <c r="D12" s="147"/>
      <c r="F12" s="52" t="s">
        <v>230</v>
      </c>
      <c r="G12" s="52" t="s">
        <v>231</v>
      </c>
      <c r="H12" s="52" t="s">
        <v>231</v>
      </c>
      <c r="I12" s="52" t="s">
        <v>271</v>
      </c>
      <c r="J12" s="52" t="s">
        <v>271</v>
      </c>
      <c r="K12" s="52" t="s">
        <v>274</v>
      </c>
      <c r="L12" s="52" t="s">
        <v>274</v>
      </c>
      <c r="M12" s="52" t="s">
        <v>274</v>
      </c>
      <c r="N12" s="52" t="s">
        <v>230</v>
      </c>
      <c r="O12" s="52" t="s">
        <v>231</v>
      </c>
      <c r="P12" s="52" t="s">
        <v>231</v>
      </c>
      <c r="Q12" s="52" t="s">
        <v>271</v>
      </c>
      <c r="R12" s="52" t="s">
        <v>271</v>
      </c>
      <c r="S12" s="52" t="s">
        <v>274</v>
      </c>
      <c r="T12" s="52" t="s">
        <v>274</v>
      </c>
      <c r="U12" s="52" t="s">
        <v>274</v>
      </c>
      <c r="V12" s="105" t="s">
        <v>230</v>
      </c>
      <c r="W12" s="106" t="s">
        <v>230</v>
      </c>
      <c r="X12" s="106" t="s">
        <v>231</v>
      </c>
      <c r="Y12" s="106" t="s">
        <v>271</v>
      </c>
      <c r="Z12" s="106" t="s">
        <v>271</v>
      </c>
      <c r="AA12" s="57" t="s">
        <v>274</v>
      </c>
      <c r="AB12" s="57" t="s">
        <v>274</v>
      </c>
      <c r="AC12" s="58" t="s">
        <v>274</v>
      </c>
      <c r="AD12" s="52" t="s">
        <v>230</v>
      </c>
      <c r="AE12" s="52" t="s">
        <v>230</v>
      </c>
      <c r="AF12" s="52" t="s">
        <v>231</v>
      </c>
      <c r="AG12" s="52" t="s">
        <v>231</v>
      </c>
      <c r="AH12" s="52" t="s">
        <v>271</v>
      </c>
      <c r="AI12" s="52" t="s">
        <v>274</v>
      </c>
      <c r="AJ12" s="52" t="s">
        <v>274</v>
      </c>
      <c r="AL12" s="51">
        <f t="shared" si="0"/>
        <v>0</v>
      </c>
      <c r="AM12" s="51">
        <f t="shared" si="1"/>
        <v>6</v>
      </c>
      <c r="AN12" s="51">
        <f t="shared" si="2"/>
        <v>7</v>
      </c>
      <c r="AO12" s="51">
        <f t="shared" si="3"/>
        <v>7</v>
      </c>
      <c r="AP12" s="51">
        <f t="shared" si="4"/>
        <v>11</v>
      </c>
    </row>
    <row r="13" spans="2:42" ht="18.75" x14ac:dyDescent="0.25">
      <c r="B13" s="37">
        <v>9</v>
      </c>
      <c r="C13" s="147" t="s">
        <v>156</v>
      </c>
      <c r="D13" s="147"/>
      <c r="F13" s="52" t="s">
        <v>230</v>
      </c>
      <c r="G13" s="52" t="s">
        <v>231</v>
      </c>
      <c r="H13" s="52" t="s">
        <v>271</v>
      </c>
      <c r="I13" s="52" t="s">
        <v>271</v>
      </c>
      <c r="J13" s="52" t="s">
        <v>274</v>
      </c>
      <c r="K13" s="52" t="s">
        <v>274</v>
      </c>
      <c r="L13" s="52" t="s">
        <v>274</v>
      </c>
      <c r="M13" s="52" t="s">
        <v>230</v>
      </c>
      <c r="N13" s="52" t="s">
        <v>231</v>
      </c>
      <c r="O13" s="52" t="s">
        <v>231</v>
      </c>
      <c r="P13" s="52" t="s">
        <v>271</v>
      </c>
      <c r="Q13" s="52" t="s">
        <v>271</v>
      </c>
      <c r="R13" s="52" t="s">
        <v>274</v>
      </c>
      <c r="S13" s="52" t="s">
        <v>274</v>
      </c>
      <c r="T13" s="52" t="s">
        <v>274</v>
      </c>
      <c r="U13" s="105" t="s">
        <v>230</v>
      </c>
      <c r="V13" s="106" t="s">
        <v>144</v>
      </c>
      <c r="W13" s="106" t="s">
        <v>231</v>
      </c>
      <c r="X13" s="106" t="s">
        <v>271</v>
      </c>
      <c r="Y13" s="106" t="s">
        <v>271</v>
      </c>
      <c r="Z13" s="57" t="s">
        <v>274</v>
      </c>
      <c r="AA13" s="57" t="s">
        <v>274</v>
      </c>
      <c r="AB13" s="57" t="s">
        <v>274</v>
      </c>
      <c r="AC13" s="52" t="s">
        <v>230</v>
      </c>
      <c r="AD13" s="52" t="s">
        <v>231</v>
      </c>
      <c r="AE13" s="52" t="s">
        <v>231</v>
      </c>
      <c r="AF13" s="52" t="s">
        <v>231</v>
      </c>
      <c r="AG13" s="52" t="s">
        <v>271</v>
      </c>
      <c r="AH13" s="52" t="s">
        <v>274</v>
      </c>
      <c r="AI13" s="52" t="s">
        <v>274</v>
      </c>
      <c r="AJ13" s="52" t="s">
        <v>274</v>
      </c>
      <c r="AL13" s="51">
        <f t="shared" si="0"/>
        <v>0</v>
      </c>
      <c r="AM13" s="51">
        <f t="shared" si="1"/>
        <v>4</v>
      </c>
      <c r="AN13" s="51">
        <f t="shared" si="2"/>
        <v>7</v>
      </c>
      <c r="AO13" s="51">
        <f t="shared" si="3"/>
        <v>7</v>
      </c>
      <c r="AP13" s="51">
        <f t="shared" si="4"/>
        <v>12</v>
      </c>
    </row>
    <row r="14" spans="2:42" ht="18.75" x14ac:dyDescent="0.25">
      <c r="B14" s="37">
        <v>10</v>
      </c>
      <c r="C14" s="147" t="s">
        <v>157</v>
      </c>
      <c r="D14" s="147"/>
      <c r="F14" s="52" t="s">
        <v>231</v>
      </c>
      <c r="G14" s="52" t="s">
        <v>271</v>
      </c>
      <c r="H14" s="52" t="s">
        <v>271</v>
      </c>
      <c r="I14" s="52" t="s">
        <v>274</v>
      </c>
      <c r="J14" s="52" t="s">
        <v>274</v>
      </c>
      <c r="K14" s="52" t="s">
        <v>274</v>
      </c>
      <c r="L14" s="52" t="s">
        <v>230</v>
      </c>
      <c r="M14" s="52" t="s">
        <v>230</v>
      </c>
      <c r="N14" s="52" t="s">
        <v>231</v>
      </c>
      <c r="O14" s="52" t="s">
        <v>271</v>
      </c>
      <c r="P14" s="52" t="s">
        <v>271</v>
      </c>
      <c r="Q14" s="52" t="s">
        <v>274</v>
      </c>
      <c r="R14" s="52" t="s">
        <v>274</v>
      </c>
      <c r="S14" s="52" t="s">
        <v>274</v>
      </c>
      <c r="T14" s="105" t="s">
        <v>275</v>
      </c>
      <c r="U14" s="106" t="s">
        <v>275</v>
      </c>
      <c r="V14" s="106" t="s">
        <v>275</v>
      </c>
      <c r="W14" s="106" t="s">
        <v>275</v>
      </c>
      <c r="X14" s="106" t="s">
        <v>275</v>
      </c>
      <c r="Y14" s="52" t="s">
        <v>275</v>
      </c>
      <c r="Z14" s="52" t="s">
        <v>275</v>
      </c>
      <c r="AA14" s="52" t="s">
        <v>275</v>
      </c>
      <c r="AB14" s="52" t="s">
        <v>275</v>
      </c>
      <c r="AC14" s="52" t="s">
        <v>275</v>
      </c>
      <c r="AD14" s="52" t="s">
        <v>275</v>
      </c>
      <c r="AE14" s="52" t="s">
        <v>275</v>
      </c>
      <c r="AF14" s="52" t="s">
        <v>275</v>
      </c>
      <c r="AG14" s="52" t="s">
        <v>275</v>
      </c>
      <c r="AH14" s="52" t="s">
        <v>274</v>
      </c>
      <c r="AI14" s="52" t="s">
        <v>274</v>
      </c>
      <c r="AJ14" s="52" t="s">
        <v>230</v>
      </c>
      <c r="AL14" s="51">
        <f t="shared" si="0"/>
        <v>0</v>
      </c>
      <c r="AM14" s="51">
        <f t="shared" si="1"/>
        <v>3</v>
      </c>
      <c r="AN14" s="51">
        <f t="shared" si="2"/>
        <v>2</v>
      </c>
      <c r="AO14" s="51">
        <f t="shared" si="3"/>
        <v>4</v>
      </c>
      <c r="AP14" s="51">
        <f t="shared" si="4"/>
        <v>8</v>
      </c>
    </row>
    <row r="15" spans="2:42" ht="18.75" x14ac:dyDescent="0.25">
      <c r="B15" s="37">
        <v>11</v>
      </c>
      <c r="C15" s="147" t="s">
        <v>158</v>
      </c>
      <c r="D15" s="147"/>
      <c r="F15" s="52" t="s">
        <v>231</v>
      </c>
      <c r="G15" s="52" t="s">
        <v>271</v>
      </c>
      <c r="H15" s="52" t="s">
        <v>274</v>
      </c>
      <c r="I15" s="52" t="s">
        <v>274</v>
      </c>
      <c r="J15" s="52" t="s">
        <v>274</v>
      </c>
      <c r="K15" s="52" t="s">
        <v>230</v>
      </c>
      <c r="L15" s="52" t="s">
        <v>231</v>
      </c>
      <c r="M15" s="52" t="s">
        <v>231</v>
      </c>
      <c r="N15" s="52" t="s">
        <v>144</v>
      </c>
      <c r="O15" s="52" t="s">
        <v>271</v>
      </c>
      <c r="P15" s="52" t="s">
        <v>274</v>
      </c>
      <c r="Q15" s="52" t="s">
        <v>274</v>
      </c>
      <c r="R15" s="52" t="s">
        <v>274</v>
      </c>
      <c r="S15" s="52" t="s">
        <v>230</v>
      </c>
      <c r="T15" s="52" t="s">
        <v>231</v>
      </c>
      <c r="U15" s="52" t="s">
        <v>231</v>
      </c>
      <c r="V15" s="52" t="s">
        <v>231</v>
      </c>
      <c r="W15" s="52" t="s">
        <v>271</v>
      </c>
      <c r="X15" s="52" t="s">
        <v>274</v>
      </c>
      <c r="Y15" s="52" t="s">
        <v>274</v>
      </c>
      <c r="Z15" s="52" t="s">
        <v>274</v>
      </c>
      <c r="AA15" s="52" t="s">
        <v>144</v>
      </c>
      <c r="AB15" s="52" t="s">
        <v>231</v>
      </c>
      <c r="AC15" s="119" t="s">
        <v>231</v>
      </c>
      <c r="AD15" s="52" t="s">
        <v>231</v>
      </c>
      <c r="AE15" s="52" t="s">
        <v>271</v>
      </c>
      <c r="AF15" s="52" t="s">
        <v>274</v>
      </c>
      <c r="AG15" s="52" t="s">
        <v>274</v>
      </c>
      <c r="AH15" s="52" t="s">
        <v>274</v>
      </c>
      <c r="AI15" s="52" t="s">
        <v>230</v>
      </c>
      <c r="AJ15" s="52" t="s">
        <v>231</v>
      </c>
      <c r="AL15" s="51">
        <f t="shared" si="0"/>
        <v>0</v>
      </c>
      <c r="AM15" s="51">
        <f t="shared" si="1"/>
        <v>3</v>
      </c>
      <c r="AN15" s="51">
        <f t="shared" si="2"/>
        <v>10</v>
      </c>
      <c r="AO15" s="51">
        <f t="shared" si="3"/>
        <v>4</v>
      </c>
      <c r="AP15" s="51">
        <f t="shared" si="4"/>
        <v>12</v>
      </c>
    </row>
    <row r="16" spans="2:42" ht="18.75" x14ac:dyDescent="0.25">
      <c r="B16" s="37">
        <v>12</v>
      </c>
      <c r="C16" s="147" t="s">
        <v>166</v>
      </c>
      <c r="D16" s="147"/>
      <c r="F16" s="52" t="s">
        <v>271</v>
      </c>
      <c r="G16" s="52" t="s">
        <v>274</v>
      </c>
      <c r="H16" s="52" t="s">
        <v>274</v>
      </c>
      <c r="I16" s="52" t="s">
        <v>274</v>
      </c>
      <c r="J16" s="52" t="s">
        <v>230</v>
      </c>
      <c r="K16" s="52" t="s">
        <v>231</v>
      </c>
      <c r="L16" s="52" t="s">
        <v>231</v>
      </c>
      <c r="M16" s="52" t="s">
        <v>271</v>
      </c>
      <c r="N16" s="52" t="s">
        <v>271</v>
      </c>
      <c r="O16" s="52" t="s">
        <v>274</v>
      </c>
      <c r="P16" s="52" t="s">
        <v>274</v>
      </c>
      <c r="Q16" s="52" t="s">
        <v>274</v>
      </c>
      <c r="R16" s="52" t="s">
        <v>230</v>
      </c>
      <c r="S16" s="52" t="s">
        <v>231</v>
      </c>
      <c r="T16" s="52" t="s">
        <v>231</v>
      </c>
      <c r="U16" s="52" t="s">
        <v>271</v>
      </c>
      <c r="V16" s="52" t="s">
        <v>271</v>
      </c>
      <c r="W16" s="52" t="s">
        <v>274</v>
      </c>
      <c r="X16" s="52" t="s">
        <v>274</v>
      </c>
      <c r="Y16" s="52" t="s">
        <v>274</v>
      </c>
      <c r="Z16" s="52" t="s">
        <v>230</v>
      </c>
      <c r="AA16" s="52" t="s">
        <v>231</v>
      </c>
      <c r="AB16" s="52" t="s">
        <v>231</v>
      </c>
      <c r="AC16" s="52" t="s">
        <v>271</v>
      </c>
      <c r="AD16" s="52" t="s">
        <v>271</v>
      </c>
      <c r="AE16" s="52" t="s">
        <v>274</v>
      </c>
      <c r="AF16" s="52" t="s">
        <v>274</v>
      </c>
      <c r="AG16" s="52" t="s">
        <v>274</v>
      </c>
      <c r="AH16" s="52" t="s">
        <v>230</v>
      </c>
      <c r="AI16" s="52" t="s">
        <v>231</v>
      </c>
      <c r="AJ16" s="52" t="s">
        <v>231</v>
      </c>
      <c r="AL16" s="51">
        <f t="shared" si="0"/>
        <v>0</v>
      </c>
      <c r="AM16" s="51">
        <f t="shared" si="1"/>
        <v>4</v>
      </c>
      <c r="AN16" s="51">
        <f t="shared" si="2"/>
        <v>8</v>
      </c>
      <c r="AO16" s="51">
        <f t="shared" si="3"/>
        <v>7</v>
      </c>
      <c r="AP16" s="51">
        <f t="shared" si="4"/>
        <v>12</v>
      </c>
    </row>
    <row r="17" spans="2:42" ht="18.75" x14ac:dyDescent="0.25">
      <c r="B17" s="37">
        <v>13</v>
      </c>
      <c r="C17" s="147" t="s">
        <v>159</v>
      </c>
      <c r="D17" s="147"/>
      <c r="F17" s="52" t="s">
        <v>274</v>
      </c>
      <c r="G17" s="52" t="s">
        <v>274</v>
      </c>
      <c r="H17" s="52" t="s">
        <v>274</v>
      </c>
      <c r="I17" s="52" t="s">
        <v>230</v>
      </c>
      <c r="J17" s="52" t="s">
        <v>230</v>
      </c>
      <c r="K17" s="52" t="s">
        <v>231</v>
      </c>
      <c r="L17" s="52" t="s">
        <v>271</v>
      </c>
      <c r="M17" s="52" t="s">
        <v>271</v>
      </c>
      <c r="N17" s="52" t="s">
        <v>274</v>
      </c>
      <c r="O17" s="52" t="s">
        <v>274</v>
      </c>
      <c r="P17" s="52" t="s">
        <v>274</v>
      </c>
      <c r="Q17" s="52" t="s">
        <v>230</v>
      </c>
      <c r="R17" s="52" t="s">
        <v>230</v>
      </c>
      <c r="S17" s="52" t="s">
        <v>231</v>
      </c>
      <c r="T17" s="52" t="s">
        <v>231</v>
      </c>
      <c r="U17" s="52" t="s">
        <v>271</v>
      </c>
      <c r="V17" s="52" t="s">
        <v>274</v>
      </c>
      <c r="W17" s="52" t="s">
        <v>274</v>
      </c>
      <c r="X17" s="52" t="s">
        <v>274</v>
      </c>
      <c r="Y17" s="52" t="s">
        <v>230</v>
      </c>
      <c r="Z17" s="52" t="s">
        <v>230</v>
      </c>
      <c r="AA17" s="52" t="s">
        <v>230</v>
      </c>
      <c r="AB17" s="52" t="s">
        <v>271</v>
      </c>
      <c r="AC17" s="52" t="s">
        <v>271</v>
      </c>
      <c r="AD17" s="52" t="s">
        <v>274</v>
      </c>
      <c r="AE17" s="52" t="s">
        <v>274</v>
      </c>
      <c r="AF17" s="52" t="s">
        <v>274</v>
      </c>
      <c r="AG17" s="52" t="s">
        <v>230</v>
      </c>
      <c r="AH17" s="52" t="s">
        <v>230</v>
      </c>
      <c r="AI17" s="52" t="s">
        <v>231</v>
      </c>
      <c r="AJ17" s="52" t="s">
        <v>271</v>
      </c>
      <c r="AL17" s="51">
        <f t="shared" si="0"/>
        <v>0</v>
      </c>
      <c r="AM17" s="51">
        <f t="shared" si="1"/>
        <v>9</v>
      </c>
      <c r="AN17" s="51">
        <f t="shared" si="2"/>
        <v>4</v>
      </c>
      <c r="AO17" s="51">
        <f t="shared" si="3"/>
        <v>6</v>
      </c>
      <c r="AP17" s="51">
        <f t="shared" si="4"/>
        <v>12</v>
      </c>
    </row>
    <row r="18" spans="2:42" ht="18.75" x14ac:dyDescent="0.25">
      <c r="B18" s="37">
        <v>14</v>
      </c>
      <c r="C18" s="147" t="s">
        <v>160</v>
      </c>
      <c r="D18" s="147"/>
      <c r="F18" s="52" t="s">
        <v>274</v>
      </c>
      <c r="G18" s="52" t="s">
        <v>274</v>
      </c>
      <c r="H18" s="52" t="s">
        <v>230</v>
      </c>
      <c r="I18" s="52" t="s">
        <v>231</v>
      </c>
      <c r="J18" s="52" t="s">
        <v>231</v>
      </c>
      <c r="K18" s="52" t="s">
        <v>271</v>
      </c>
      <c r="L18" s="52" t="s">
        <v>271</v>
      </c>
      <c r="M18" s="52" t="s">
        <v>274</v>
      </c>
      <c r="N18" s="52" t="s">
        <v>274</v>
      </c>
      <c r="O18" s="52" t="s">
        <v>274</v>
      </c>
      <c r="P18" s="52" t="s">
        <v>230</v>
      </c>
      <c r="Q18" s="52" t="s">
        <v>230</v>
      </c>
      <c r="R18" s="52" t="s">
        <v>231</v>
      </c>
      <c r="S18" s="52" t="s">
        <v>231</v>
      </c>
      <c r="T18" s="52" t="s">
        <v>271</v>
      </c>
      <c r="U18" s="52" t="s">
        <v>274</v>
      </c>
      <c r="V18" s="52" t="s">
        <v>274</v>
      </c>
      <c r="W18" s="52" t="s">
        <v>274</v>
      </c>
      <c r="X18" s="52" t="s">
        <v>230</v>
      </c>
      <c r="Y18" s="52" t="s">
        <v>230</v>
      </c>
      <c r="Z18" s="52" t="s">
        <v>231</v>
      </c>
      <c r="AA18" s="52" t="s">
        <v>231</v>
      </c>
      <c r="AB18" s="52" t="s">
        <v>271</v>
      </c>
      <c r="AC18" s="52" t="s">
        <v>274</v>
      </c>
      <c r="AD18" s="52" t="s">
        <v>274</v>
      </c>
      <c r="AE18" s="52" t="s">
        <v>274</v>
      </c>
      <c r="AF18" s="52" t="s">
        <v>230</v>
      </c>
      <c r="AG18" s="52" t="s">
        <v>230</v>
      </c>
      <c r="AH18" s="52" t="s">
        <v>231</v>
      </c>
      <c r="AI18" s="52" t="s">
        <v>231</v>
      </c>
      <c r="AJ18" s="52" t="s">
        <v>144</v>
      </c>
      <c r="AL18" s="51">
        <f t="shared" si="0"/>
        <v>0</v>
      </c>
      <c r="AM18" s="51">
        <f t="shared" si="1"/>
        <v>7</v>
      </c>
      <c r="AN18" s="51">
        <f t="shared" si="2"/>
        <v>8</v>
      </c>
      <c r="AO18" s="51">
        <f t="shared" si="3"/>
        <v>4</v>
      </c>
      <c r="AP18" s="51">
        <f t="shared" si="4"/>
        <v>11</v>
      </c>
    </row>
    <row r="19" spans="2:42" ht="18.75" x14ac:dyDescent="0.25">
      <c r="B19" s="37">
        <v>15</v>
      </c>
      <c r="C19" s="147" t="s">
        <v>161</v>
      </c>
      <c r="D19" s="147"/>
      <c r="F19" s="52" t="s">
        <v>274</v>
      </c>
      <c r="G19" s="52" t="s">
        <v>230</v>
      </c>
      <c r="H19" s="52" t="s">
        <v>230</v>
      </c>
      <c r="I19" s="52" t="s">
        <v>231</v>
      </c>
      <c r="J19" s="52" t="s">
        <v>231</v>
      </c>
      <c r="K19" s="52" t="s">
        <v>271</v>
      </c>
      <c r="L19" s="52" t="s">
        <v>274</v>
      </c>
      <c r="M19" s="52" t="s">
        <v>274</v>
      </c>
      <c r="N19" s="52" t="s">
        <v>274</v>
      </c>
      <c r="O19" s="52" t="s">
        <v>275</v>
      </c>
      <c r="P19" s="52" t="s">
        <v>275</v>
      </c>
      <c r="Q19" s="52" t="s">
        <v>275</v>
      </c>
      <c r="R19" s="52" t="s">
        <v>275</v>
      </c>
      <c r="S19" s="52" t="s">
        <v>275</v>
      </c>
      <c r="T19" s="52" t="s">
        <v>275</v>
      </c>
      <c r="U19" s="52" t="s">
        <v>274</v>
      </c>
      <c r="V19" s="52" t="s">
        <v>274</v>
      </c>
      <c r="W19" s="52" t="s">
        <v>230</v>
      </c>
      <c r="X19" s="52" t="s">
        <v>230</v>
      </c>
      <c r="Y19" s="52" t="s">
        <v>231</v>
      </c>
      <c r="Z19" s="52" t="s">
        <v>231</v>
      </c>
      <c r="AA19" s="52" t="s">
        <v>271</v>
      </c>
      <c r="AB19" s="52" t="s">
        <v>274</v>
      </c>
      <c r="AC19" s="52" t="s">
        <v>274</v>
      </c>
      <c r="AD19" s="52" t="s">
        <v>274</v>
      </c>
      <c r="AE19" s="52" t="s">
        <v>230</v>
      </c>
      <c r="AF19" s="52" t="s">
        <v>230</v>
      </c>
      <c r="AG19" s="52" t="s">
        <v>231</v>
      </c>
      <c r="AH19" s="52" t="s">
        <v>271</v>
      </c>
      <c r="AI19" s="52" t="s">
        <v>271</v>
      </c>
      <c r="AJ19" s="52" t="s">
        <v>274</v>
      </c>
      <c r="AL19" s="51">
        <f t="shared" si="0"/>
        <v>0</v>
      </c>
      <c r="AM19" s="51">
        <f t="shared" si="1"/>
        <v>6</v>
      </c>
      <c r="AN19" s="51">
        <f t="shared" si="2"/>
        <v>5</v>
      </c>
      <c r="AO19" s="51">
        <f t="shared" si="3"/>
        <v>4</v>
      </c>
      <c r="AP19" s="51">
        <f t="shared" si="4"/>
        <v>10</v>
      </c>
    </row>
    <row r="20" spans="2:42" ht="18.75" x14ac:dyDescent="0.25">
      <c r="B20" s="37">
        <v>16</v>
      </c>
      <c r="C20" s="147" t="s">
        <v>162</v>
      </c>
      <c r="D20" s="147"/>
      <c r="F20" s="105" t="s">
        <v>230</v>
      </c>
      <c r="G20" s="106" t="s">
        <v>275</v>
      </c>
      <c r="H20" s="106" t="s">
        <v>275</v>
      </c>
      <c r="I20" s="106" t="s">
        <v>271</v>
      </c>
      <c r="J20" s="106" t="s">
        <v>271</v>
      </c>
      <c r="K20" s="105" t="s">
        <v>274</v>
      </c>
      <c r="L20" s="106" t="s">
        <v>274</v>
      </c>
      <c r="M20" s="106" t="s">
        <v>274</v>
      </c>
      <c r="N20" s="52" t="s">
        <v>230</v>
      </c>
      <c r="O20" s="52" t="s">
        <v>230</v>
      </c>
      <c r="P20" s="52" t="s">
        <v>231</v>
      </c>
      <c r="Q20" s="52" t="s">
        <v>271</v>
      </c>
      <c r="R20" s="52" t="s">
        <v>271</v>
      </c>
      <c r="S20" s="52" t="s">
        <v>274</v>
      </c>
      <c r="T20" s="52" t="s">
        <v>274</v>
      </c>
      <c r="U20" s="52" t="s">
        <v>274</v>
      </c>
      <c r="V20" s="52" t="s">
        <v>230</v>
      </c>
      <c r="W20" s="52" t="s">
        <v>231</v>
      </c>
      <c r="X20" s="52" t="s">
        <v>231</v>
      </c>
      <c r="Y20" s="52" t="s">
        <v>271</v>
      </c>
      <c r="Z20" s="52" t="s">
        <v>271</v>
      </c>
      <c r="AA20" s="52" t="s">
        <v>274</v>
      </c>
      <c r="AB20" s="52" t="s">
        <v>274</v>
      </c>
      <c r="AC20" s="52" t="s">
        <v>274</v>
      </c>
      <c r="AD20" s="105" t="s">
        <v>230</v>
      </c>
      <c r="AE20" s="106" t="s">
        <v>231</v>
      </c>
      <c r="AF20" s="106" t="s">
        <v>231</v>
      </c>
      <c r="AG20" s="106" t="s">
        <v>271</v>
      </c>
      <c r="AH20" s="106" t="s">
        <v>271</v>
      </c>
      <c r="AI20" s="105" t="s">
        <v>274</v>
      </c>
      <c r="AJ20" s="106" t="s">
        <v>274</v>
      </c>
      <c r="AL20" s="51">
        <f t="shared" si="0"/>
        <v>0</v>
      </c>
      <c r="AM20" s="51">
        <f t="shared" si="1"/>
        <v>5</v>
      </c>
      <c r="AN20" s="51">
        <f t="shared" si="2"/>
        <v>5</v>
      </c>
      <c r="AO20" s="51">
        <f t="shared" si="3"/>
        <v>8</v>
      </c>
      <c r="AP20" s="51">
        <f t="shared" si="4"/>
        <v>11</v>
      </c>
    </row>
    <row r="21" spans="2:42" ht="18.75" x14ac:dyDescent="0.25">
      <c r="B21" s="37">
        <v>17</v>
      </c>
      <c r="C21" s="147" t="s">
        <v>163</v>
      </c>
      <c r="D21" s="147"/>
      <c r="F21" s="52" t="s">
        <v>275</v>
      </c>
      <c r="G21" s="52" t="s">
        <v>275</v>
      </c>
      <c r="H21" s="52" t="s">
        <v>275</v>
      </c>
      <c r="I21" s="52" t="s">
        <v>275</v>
      </c>
      <c r="J21" s="52" t="s">
        <v>275</v>
      </c>
      <c r="K21" s="52" t="s">
        <v>275</v>
      </c>
      <c r="L21" s="52" t="s">
        <v>275</v>
      </c>
      <c r="M21" s="52" t="s">
        <v>275</v>
      </c>
      <c r="N21" s="52" t="s">
        <v>275</v>
      </c>
      <c r="O21" s="52" t="s">
        <v>275</v>
      </c>
      <c r="P21" s="52" t="s">
        <v>275</v>
      </c>
      <c r="Q21" s="52" t="s">
        <v>275</v>
      </c>
      <c r="R21" s="52" t="s">
        <v>275</v>
      </c>
      <c r="S21" s="52" t="s">
        <v>274</v>
      </c>
      <c r="T21" s="52" t="s">
        <v>274</v>
      </c>
      <c r="U21" s="52" t="s">
        <v>230</v>
      </c>
      <c r="V21" s="52" t="s">
        <v>231</v>
      </c>
      <c r="W21" s="52" t="s">
        <v>231</v>
      </c>
      <c r="X21" s="52" t="s">
        <v>271</v>
      </c>
      <c r="Y21" s="52" t="s">
        <v>271</v>
      </c>
      <c r="Z21" s="52" t="s">
        <v>274</v>
      </c>
      <c r="AA21" s="52" t="s">
        <v>274</v>
      </c>
      <c r="AB21" s="52" t="s">
        <v>274</v>
      </c>
      <c r="AC21" s="58" t="s">
        <v>144</v>
      </c>
      <c r="AD21" s="52" t="s">
        <v>231</v>
      </c>
      <c r="AE21" s="52" t="s">
        <v>231</v>
      </c>
      <c r="AF21" s="52" t="s">
        <v>271</v>
      </c>
      <c r="AG21" s="52" t="s">
        <v>271</v>
      </c>
      <c r="AH21" s="52" t="s">
        <v>274</v>
      </c>
      <c r="AI21" s="52" t="s">
        <v>274</v>
      </c>
      <c r="AJ21" s="52" t="s">
        <v>274</v>
      </c>
      <c r="AL21" s="51">
        <f t="shared" si="0"/>
        <v>0</v>
      </c>
      <c r="AM21" s="51">
        <f t="shared" si="1"/>
        <v>1</v>
      </c>
      <c r="AN21" s="51">
        <f t="shared" si="2"/>
        <v>4</v>
      </c>
      <c r="AO21" s="51">
        <f t="shared" si="3"/>
        <v>4</v>
      </c>
      <c r="AP21" s="51">
        <f t="shared" si="4"/>
        <v>8</v>
      </c>
    </row>
    <row r="22" spans="2:42" ht="18.75" x14ac:dyDescent="0.25">
      <c r="B22" s="37">
        <v>18</v>
      </c>
      <c r="C22" s="147" t="s">
        <v>164</v>
      </c>
      <c r="D22" s="147"/>
      <c r="F22" s="52" t="s">
        <v>271</v>
      </c>
      <c r="G22" s="52" t="s">
        <v>271</v>
      </c>
      <c r="H22" s="52" t="s">
        <v>274</v>
      </c>
      <c r="I22" s="52" t="s">
        <v>274</v>
      </c>
      <c r="J22" s="52" t="s">
        <v>274</v>
      </c>
      <c r="K22" s="52" t="s">
        <v>230</v>
      </c>
      <c r="L22" s="52" t="s">
        <v>230</v>
      </c>
      <c r="M22" s="52" t="s">
        <v>231</v>
      </c>
      <c r="N22" s="52" t="s">
        <v>231</v>
      </c>
      <c r="O22" s="52" t="s">
        <v>271</v>
      </c>
      <c r="P22" s="52" t="s">
        <v>274</v>
      </c>
      <c r="Q22" s="52" t="s">
        <v>274</v>
      </c>
      <c r="R22" s="52" t="s">
        <v>274</v>
      </c>
      <c r="S22" s="52" t="s">
        <v>230</v>
      </c>
      <c r="T22" s="52" t="s">
        <v>231</v>
      </c>
      <c r="U22" s="52" t="s">
        <v>271</v>
      </c>
      <c r="V22" s="52" t="s">
        <v>271</v>
      </c>
      <c r="W22" s="52" t="s">
        <v>271</v>
      </c>
      <c r="X22" s="52" t="s">
        <v>274</v>
      </c>
      <c r="Y22" s="52" t="s">
        <v>274</v>
      </c>
      <c r="Z22" s="52" t="s">
        <v>274</v>
      </c>
      <c r="AA22" s="52" t="s">
        <v>230</v>
      </c>
      <c r="AB22" s="52" t="s">
        <v>231</v>
      </c>
      <c r="AC22" s="52" t="s">
        <v>231</v>
      </c>
      <c r="AD22" s="52" t="s">
        <v>271</v>
      </c>
      <c r="AE22" s="52" t="s">
        <v>271</v>
      </c>
      <c r="AF22" s="52" t="s">
        <v>274</v>
      </c>
      <c r="AG22" s="52" t="s">
        <v>274</v>
      </c>
      <c r="AH22" s="52" t="s">
        <v>274</v>
      </c>
      <c r="AI22" s="52" t="s">
        <v>275</v>
      </c>
      <c r="AJ22" s="52" t="s">
        <v>275</v>
      </c>
      <c r="AL22" s="51">
        <f t="shared" si="0"/>
        <v>0</v>
      </c>
      <c r="AM22" s="51">
        <f t="shared" si="1"/>
        <v>4</v>
      </c>
      <c r="AN22" s="51">
        <f t="shared" si="2"/>
        <v>5</v>
      </c>
      <c r="AO22" s="51">
        <f t="shared" si="3"/>
        <v>8</v>
      </c>
      <c r="AP22" s="51">
        <f t="shared" si="4"/>
        <v>12</v>
      </c>
    </row>
    <row r="23" spans="2:42" ht="18.75" x14ac:dyDescent="0.25">
      <c r="B23" s="37">
        <v>19</v>
      </c>
      <c r="C23" s="147" t="s">
        <v>165</v>
      </c>
      <c r="D23" s="147"/>
      <c r="F23" s="52" t="s">
        <v>271</v>
      </c>
      <c r="G23" s="52" t="s">
        <v>274</v>
      </c>
      <c r="H23" s="52" t="s">
        <v>274</v>
      </c>
      <c r="I23" s="52" t="s">
        <v>274</v>
      </c>
      <c r="J23" s="52" t="s">
        <v>230</v>
      </c>
      <c r="K23" s="52" t="s">
        <v>231</v>
      </c>
      <c r="L23" s="52" t="s">
        <v>231</v>
      </c>
      <c r="M23" s="52" t="s">
        <v>271</v>
      </c>
      <c r="N23" s="52" t="s">
        <v>271</v>
      </c>
      <c r="O23" s="52" t="s">
        <v>274</v>
      </c>
      <c r="P23" s="52" t="s">
        <v>274</v>
      </c>
      <c r="Q23" s="52" t="s">
        <v>274</v>
      </c>
      <c r="R23" s="52" t="s">
        <v>275</v>
      </c>
      <c r="S23" s="52" t="s">
        <v>275</v>
      </c>
      <c r="T23" s="52" t="s">
        <v>275</v>
      </c>
      <c r="U23" s="52" t="s">
        <v>275</v>
      </c>
      <c r="V23" s="52" t="s">
        <v>275</v>
      </c>
      <c r="W23" s="52" t="s">
        <v>275</v>
      </c>
      <c r="X23" s="52" t="s">
        <v>275</v>
      </c>
      <c r="Y23" s="52" t="s">
        <v>275</v>
      </c>
      <c r="Z23" s="52" t="s">
        <v>275</v>
      </c>
      <c r="AA23" s="52" t="s">
        <v>275</v>
      </c>
      <c r="AB23" s="52" t="s">
        <v>275</v>
      </c>
      <c r="AC23" s="52" t="s">
        <v>275</v>
      </c>
      <c r="AD23" s="52" t="s">
        <v>275</v>
      </c>
      <c r="AE23" s="52" t="s">
        <v>275</v>
      </c>
      <c r="AF23" s="52" t="s">
        <v>275</v>
      </c>
      <c r="AG23" s="52" t="s">
        <v>275</v>
      </c>
      <c r="AH23" s="52" t="s">
        <v>275</v>
      </c>
      <c r="AI23" s="52" t="s">
        <v>275</v>
      </c>
      <c r="AJ23" s="52" t="s">
        <v>275</v>
      </c>
      <c r="AL23" s="51">
        <f t="shared" si="0"/>
        <v>0</v>
      </c>
      <c r="AM23" s="51">
        <f t="shared" si="1"/>
        <v>1</v>
      </c>
      <c r="AN23" s="51">
        <f t="shared" si="2"/>
        <v>2</v>
      </c>
      <c r="AO23" s="51">
        <f t="shared" si="3"/>
        <v>3</v>
      </c>
      <c r="AP23" s="51">
        <f t="shared" si="4"/>
        <v>6</v>
      </c>
    </row>
    <row r="24" spans="2:42" ht="18.75" x14ac:dyDescent="0.25">
      <c r="B24" s="37">
        <v>20</v>
      </c>
      <c r="C24" s="147" t="s">
        <v>167</v>
      </c>
      <c r="D24" s="147"/>
      <c r="F24" s="106" t="s">
        <v>274</v>
      </c>
      <c r="G24" s="106" t="s">
        <v>274</v>
      </c>
      <c r="H24" s="106" t="s">
        <v>230</v>
      </c>
      <c r="I24" s="106" t="s">
        <v>230</v>
      </c>
      <c r="J24" s="105" t="s">
        <v>231</v>
      </c>
      <c r="K24" s="106" t="s">
        <v>271</v>
      </c>
      <c r="L24" s="106" t="s">
        <v>271</v>
      </c>
      <c r="M24" s="106" t="s">
        <v>274</v>
      </c>
      <c r="N24" s="106" t="s">
        <v>274</v>
      </c>
      <c r="O24" s="105" t="s">
        <v>274</v>
      </c>
      <c r="P24" s="106" t="s">
        <v>230</v>
      </c>
      <c r="Q24" s="106" t="s">
        <v>231</v>
      </c>
      <c r="R24" s="106" t="s">
        <v>231</v>
      </c>
      <c r="S24" s="106" t="s">
        <v>271</v>
      </c>
      <c r="T24" s="105" t="s">
        <v>271</v>
      </c>
      <c r="U24" s="106" t="s">
        <v>274</v>
      </c>
      <c r="V24" s="106" t="s">
        <v>274</v>
      </c>
      <c r="W24" s="106" t="s">
        <v>274</v>
      </c>
      <c r="X24" s="106" t="s">
        <v>230</v>
      </c>
      <c r="Y24" s="105" t="s">
        <v>231</v>
      </c>
      <c r="Z24" s="106" t="s">
        <v>231</v>
      </c>
      <c r="AA24" s="106" t="s">
        <v>271</v>
      </c>
      <c r="AB24" s="106" t="s">
        <v>271</v>
      </c>
      <c r="AC24" s="106" t="s">
        <v>274</v>
      </c>
      <c r="AD24" s="106" t="s">
        <v>274</v>
      </c>
      <c r="AE24" s="106" t="s">
        <v>274</v>
      </c>
      <c r="AF24" s="106" t="s">
        <v>230</v>
      </c>
      <c r="AG24" s="106" t="s">
        <v>231</v>
      </c>
      <c r="AH24" s="105" t="s">
        <v>231</v>
      </c>
      <c r="AI24" s="106" t="s">
        <v>271</v>
      </c>
      <c r="AJ24" s="106" t="s">
        <v>271</v>
      </c>
      <c r="AL24" s="51">
        <f t="shared" si="0"/>
        <v>0</v>
      </c>
      <c r="AM24" s="51">
        <f t="shared" si="1"/>
        <v>5</v>
      </c>
      <c r="AN24" s="51">
        <f t="shared" si="2"/>
        <v>7</v>
      </c>
      <c r="AO24" s="51">
        <f t="shared" si="3"/>
        <v>8</v>
      </c>
      <c r="AP24" s="51">
        <f t="shared" si="4"/>
        <v>11</v>
      </c>
    </row>
    <row r="25" spans="2:42" ht="18.75" x14ac:dyDescent="0.25">
      <c r="B25" s="37">
        <v>21</v>
      </c>
      <c r="C25" s="147" t="s">
        <v>168</v>
      </c>
      <c r="D25" s="147"/>
      <c r="F25" s="52" t="s">
        <v>274</v>
      </c>
      <c r="G25" s="105" t="s">
        <v>230</v>
      </c>
      <c r="H25" s="106" t="s">
        <v>231</v>
      </c>
      <c r="I25" s="106" t="s">
        <v>231</v>
      </c>
      <c r="J25" s="106" t="s">
        <v>271</v>
      </c>
      <c r="K25" s="106" t="s">
        <v>271</v>
      </c>
      <c r="L25" s="105" t="s">
        <v>274</v>
      </c>
      <c r="M25" s="106" t="s">
        <v>274</v>
      </c>
      <c r="N25" s="106" t="s">
        <v>274</v>
      </c>
      <c r="O25" s="106" t="s">
        <v>230</v>
      </c>
      <c r="P25" s="106" t="s">
        <v>231</v>
      </c>
      <c r="Q25" s="57" t="s">
        <v>231</v>
      </c>
      <c r="R25" s="57" t="s">
        <v>271</v>
      </c>
      <c r="S25" s="57" t="s">
        <v>271</v>
      </c>
      <c r="T25" s="57" t="s">
        <v>274</v>
      </c>
      <c r="U25" s="52" t="s">
        <v>274</v>
      </c>
      <c r="V25" s="52" t="s">
        <v>274</v>
      </c>
      <c r="W25" s="52" t="s">
        <v>270</v>
      </c>
      <c r="X25" s="52" t="s">
        <v>231</v>
      </c>
      <c r="Y25" s="52" t="s">
        <v>231</v>
      </c>
      <c r="Z25" s="52" t="s">
        <v>271</v>
      </c>
      <c r="AA25" s="52" t="s">
        <v>271</v>
      </c>
      <c r="AB25" s="52" t="s">
        <v>274</v>
      </c>
      <c r="AC25" s="52" t="s">
        <v>274</v>
      </c>
      <c r="AD25" s="52" t="s">
        <v>274</v>
      </c>
      <c r="AE25" s="105" t="s">
        <v>230</v>
      </c>
      <c r="AF25" s="106" t="s">
        <v>231</v>
      </c>
      <c r="AG25" s="106" t="s">
        <v>231</v>
      </c>
      <c r="AH25" s="106" t="s">
        <v>271</v>
      </c>
      <c r="AI25" s="106" t="s">
        <v>271</v>
      </c>
      <c r="AJ25" s="105" t="s">
        <v>274</v>
      </c>
      <c r="AL25" s="51">
        <f t="shared" si="0"/>
        <v>1</v>
      </c>
      <c r="AM25" s="51">
        <f t="shared" si="1"/>
        <v>3</v>
      </c>
      <c r="AN25" s="51">
        <f t="shared" si="2"/>
        <v>8</v>
      </c>
      <c r="AO25" s="51">
        <f t="shared" si="3"/>
        <v>8</v>
      </c>
      <c r="AP25" s="51">
        <f t="shared" si="4"/>
        <v>11</v>
      </c>
    </row>
    <row r="26" spans="2:42" ht="18.75" x14ac:dyDescent="0.25">
      <c r="B26" s="37">
        <v>22</v>
      </c>
      <c r="C26" s="147" t="s">
        <v>169</v>
      </c>
      <c r="D26" s="147"/>
      <c r="F26" s="52" t="s">
        <v>230</v>
      </c>
      <c r="G26" s="52" t="s">
        <v>231</v>
      </c>
      <c r="H26" s="52" t="s">
        <v>231</v>
      </c>
      <c r="I26" s="52" t="s">
        <v>271</v>
      </c>
      <c r="J26" s="52" t="s">
        <v>271</v>
      </c>
      <c r="K26" s="52" t="s">
        <v>274</v>
      </c>
      <c r="L26" s="52" t="s">
        <v>274</v>
      </c>
      <c r="M26" s="52" t="s">
        <v>274</v>
      </c>
      <c r="N26" s="52" t="s">
        <v>230</v>
      </c>
      <c r="O26" s="52" t="s">
        <v>231</v>
      </c>
      <c r="P26" s="52" t="s">
        <v>231</v>
      </c>
      <c r="Q26" s="52" t="s">
        <v>271</v>
      </c>
      <c r="R26" s="52" t="s">
        <v>271</v>
      </c>
      <c r="S26" s="52" t="s">
        <v>274</v>
      </c>
      <c r="T26" s="52" t="s">
        <v>274</v>
      </c>
      <c r="U26" s="52" t="s">
        <v>274</v>
      </c>
      <c r="V26" s="52" t="s">
        <v>230</v>
      </c>
      <c r="W26" s="52" t="s">
        <v>230</v>
      </c>
      <c r="X26" s="52" t="s">
        <v>231</v>
      </c>
      <c r="Y26" s="52" t="s">
        <v>273</v>
      </c>
      <c r="Z26" s="52" t="s">
        <v>271</v>
      </c>
      <c r="AA26" s="52" t="s">
        <v>274</v>
      </c>
      <c r="AB26" s="52" t="s">
        <v>274</v>
      </c>
      <c r="AC26" s="52" t="s">
        <v>274</v>
      </c>
      <c r="AD26" s="52" t="s">
        <v>230</v>
      </c>
      <c r="AE26" s="52" t="s">
        <v>231</v>
      </c>
      <c r="AF26" s="52" t="s">
        <v>231</v>
      </c>
      <c r="AG26" s="52" t="s">
        <v>271</v>
      </c>
      <c r="AH26" s="52" t="s">
        <v>271</v>
      </c>
      <c r="AI26" s="52" t="s">
        <v>274</v>
      </c>
      <c r="AJ26" s="52" t="s">
        <v>274</v>
      </c>
      <c r="AL26" s="51">
        <f t="shared" si="0"/>
        <v>1</v>
      </c>
      <c r="AM26" s="51">
        <f t="shared" si="1"/>
        <v>5</v>
      </c>
      <c r="AN26" s="51">
        <f t="shared" si="2"/>
        <v>7</v>
      </c>
      <c r="AO26" s="51">
        <f t="shared" si="3"/>
        <v>7</v>
      </c>
      <c r="AP26" s="51">
        <f t="shared" si="4"/>
        <v>11</v>
      </c>
    </row>
    <row r="27" spans="2:42" ht="18.75" x14ac:dyDescent="0.25">
      <c r="B27" s="37">
        <v>23</v>
      </c>
      <c r="C27" s="147" t="s">
        <v>148</v>
      </c>
      <c r="D27" s="147"/>
      <c r="F27" s="106" t="s">
        <v>231</v>
      </c>
      <c r="G27" s="106" t="s">
        <v>231</v>
      </c>
      <c r="H27" s="106" t="s">
        <v>271</v>
      </c>
      <c r="I27" s="106" t="s">
        <v>271</v>
      </c>
      <c r="J27" s="52" t="s">
        <v>274</v>
      </c>
      <c r="K27" s="52" t="s">
        <v>274</v>
      </c>
      <c r="L27" s="52" t="s">
        <v>274</v>
      </c>
      <c r="M27" s="52" t="s">
        <v>230</v>
      </c>
      <c r="N27" s="52" t="s">
        <v>231</v>
      </c>
      <c r="O27" s="52" t="s">
        <v>231</v>
      </c>
      <c r="P27" s="52" t="s">
        <v>271</v>
      </c>
      <c r="Q27" s="52" t="s">
        <v>271</v>
      </c>
      <c r="R27" s="52" t="s">
        <v>274</v>
      </c>
      <c r="S27" s="52" t="s">
        <v>274</v>
      </c>
      <c r="T27" s="52" t="s">
        <v>274</v>
      </c>
      <c r="U27" s="52" t="s">
        <v>230</v>
      </c>
      <c r="V27" s="52" t="s">
        <v>231</v>
      </c>
      <c r="W27" s="52" t="s">
        <v>231</v>
      </c>
      <c r="X27" s="52" t="s">
        <v>271</v>
      </c>
      <c r="Y27" s="52" t="s">
        <v>271</v>
      </c>
      <c r="Z27" s="52" t="s">
        <v>274</v>
      </c>
      <c r="AA27" s="52" t="s">
        <v>274</v>
      </c>
      <c r="AB27" s="52" t="s">
        <v>274</v>
      </c>
      <c r="AC27" s="52" t="s">
        <v>230</v>
      </c>
      <c r="AD27" s="106" t="s">
        <v>231</v>
      </c>
      <c r="AE27" s="106" t="s">
        <v>231</v>
      </c>
      <c r="AF27" s="106" t="s">
        <v>271</v>
      </c>
      <c r="AG27" s="106" t="s">
        <v>271</v>
      </c>
      <c r="AH27" s="52" t="s">
        <v>274</v>
      </c>
      <c r="AI27" s="52" t="s">
        <v>274</v>
      </c>
      <c r="AJ27" s="52" t="s">
        <v>274</v>
      </c>
      <c r="AL27" s="51">
        <f t="shared" si="0"/>
        <v>0</v>
      </c>
      <c r="AM27" s="51">
        <f t="shared" si="1"/>
        <v>3</v>
      </c>
      <c r="AN27" s="51">
        <f t="shared" si="2"/>
        <v>8</v>
      </c>
      <c r="AO27" s="51">
        <f t="shared" si="3"/>
        <v>8</v>
      </c>
      <c r="AP27" s="51">
        <f t="shared" si="4"/>
        <v>12</v>
      </c>
    </row>
    <row r="28" spans="2:42" ht="18.75" x14ac:dyDescent="0.25">
      <c r="B28" s="37">
        <v>24</v>
      </c>
      <c r="C28" s="147" t="s">
        <v>171</v>
      </c>
      <c r="D28" s="147"/>
      <c r="F28" s="52" t="s">
        <v>231</v>
      </c>
      <c r="G28" s="52" t="s">
        <v>271</v>
      </c>
      <c r="H28" s="52" t="s">
        <v>271</v>
      </c>
      <c r="I28" s="52" t="s">
        <v>274</v>
      </c>
      <c r="J28" s="52" t="s">
        <v>274</v>
      </c>
      <c r="K28" s="52" t="s">
        <v>274</v>
      </c>
      <c r="L28" s="52" t="s">
        <v>230</v>
      </c>
      <c r="M28" s="52" t="s">
        <v>231</v>
      </c>
      <c r="N28" s="52" t="s">
        <v>231</v>
      </c>
      <c r="O28" s="52" t="s">
        <v>144</v>
      </c>
      <c r="P28" s="52" t="s">
        <v>271</v>
      </c>
      <c r="Q28" s="52" t="s">
        <v>274</v>
      </c>
      <c r="R28" s="52" t="s">
        <v>274</v>
      </c>
      <c r="S28" s="52" t="s">
        <v>274</v>
      </c>
      <c r="T28" s="52" t="s">
        <v>275</v>
      </c>
      <c r="U28" s="52" t="s">
        <v>275</v>
      </c>
      <c r="V28" s="52" t="s">
        <v>275</v>
      </c>
      <c r="W28" s="52" t="s">
        <v>275</v>
      </c>
      <c r="X28" s="52" t="s">
        <v>275</v>
      </c>
      <c r="Y28" s="52" t="s">
        <v>274</v>
      </c>
      <c r="Z28" s="52" t="s">
        <v>274</v>
      </c>
      <c r="AA28" s="52" t="s">
        <v>274</v>
      </c>
      <c r="AB28" s="52" t="s">
        <v>230</v>
      </c>
      <c r="AC28" s="52" t="s">
        <v>231</v>
      </c>
      <c r="AD28" s="52" t="s">
        <v>231</v>
      </c>
      <c r="AE28" s="52" t="s">
        <v>231</v>
      </c>
      <c r="AF28" s="52" t="s">
        <v>271</v>
      </c>
      <c r="AG28" s="52" t="s">
        <v>274</v>
      </c>
      <c r="AH28" s="52" t="s">
        <v>274</v>
      </c>
      <c r="AI28" s="52" t="s">
        <v>274</v>
      </c>
      <c r="AJ28" s="52" t="s">
        <v>230</v>
      </c>
      <c r="AL28" s="51">
        <f t="shared" si="0"/>
        <v>0</v>
      </c>
      <c r="AM28" s="51">
        <f t="shared" si="1"/>
        <v>3</v>
      </c>
      <c r="AN28" s="51">
        <f t="shared" si="2"/>
        <v>6</v>
      </c>
      <c r="AO28" s="51">
        <f t="shared" si="3"/>
        <v>4</v>
      </c>
      <c r="AP28" s="51">
        <f t="shared" si="4"/>
        <v>12</v>
      </c>
    </row>
    <row r="29" spans="2:42" ht="18.75" x14ac:dyDescent="0.25">
      <c r="B29" s="37">
        <v>25</v>
      </c>
      <c r="C29" s="147" t="s">
        <v>172</v>
      </c>
      <c r="D29" s="147"/>
      <c r="F29" s="52" t="s">
        <v>271</v>
      </c>
      <c r="G29" s="52" t="s">
        <v>271</v>
      </c>
      <c r="H29" s="52" t="s">
        <v>274</v>
      </c>
      <c r="I29" s="52" t="s">
        <v>274</v>
      </c>
      <c r="J29" s="52" t="s">
        <v>274</v>
      </c>
      <c r="K29" s="52" t="s">
        <v>275</v>
      </c>
      <c r="L29" s="52" t="s">
        <v>275</v>
      </c>
      <c r="M29" s="52" t="s">
        <v>275</v>
      </c>
      <c r="N29" s="52" t="s">
        <v>275</v>
      </c>
      <c r="O29" s="52" t="s">
        <v>275</v>
      </c>
      <c r="P29" s="52" t="s">
        <v>274</v>
      </c>
      <c r="Q29" s="52" t="s">
        <v>274</v>
      </c>
      <c r="R29" s="52" t="s">
        <v>274</v>
      </c>
      <c r="S29" s="52" t="s">
        <v>230</v>
      </c>
      <c r="T29" s="52" t="s">
        <v>230</v>
      </c>
      <c r="U29" s="52" t="s">
        <v>231</v>
      </c>
      <c r="V29" s="52" t="s">
        <v>271</v>
      </c>
      <c r="W29" s="52" t="s">
        <v>271</v>
      </c>
      <c r="X29" s="52" t="s">
        <v>274</v>
      </c>
      <c r="Y29" s="52" t="s">
        <v>274</v>
      </c>
      <c r="Z29" s="52" t="s">
        <v>274</v>
      </c>
      <c r="AA29" s="52" t="s">
        <v>230</v>
      </c>
      <c r="AB29" s="52" t="s">
        <v>230</v>
      </c>
      <c r="AC29" s="52" t="s">
        <v>231</v>
      </c>
      <c r="AD29" s="52" t="s">
        <v>271</v>
      </c>
      <c r="AE29" s="52" t="s">
        <v>271</v>
      </c>
      <c r="AF29" s="52" t="s">
        <v>274</v>
      </c>
      <c r="AG29" s="52" t="s">
        <v>274</v>
      </c>
      <c r="AH29" s="52" t="s">
        <v>274</v>
      </c>
      <c r="AI29" s="52" t="s">
        <v>230</v>
      </c>
      <c r="AJ29" s="52" t="s">
        <v>231</v>
      </c>
      <c r="AL29" s="51">
        <f t="shared" si="0"/>
        <v>0</v>
      </c>
      <c r="AM29" s="51">
        <f t="shared" si="1"/>
        <v>5</v>
      </c>
      <c r="AN29" s="51">
        <f t="shared" si="2"/>
        <v>3</v>
      </c>
      <c r="AO29" s="51">
        <f t="shared" si="3"/>
        <v>6</v>
      </c>
      <c r="AP29" s="51">
        <f t="shared" si="4"/>
        <v>12</v>
      </c>
    </row>
    <row r="30" spans="2:42" ht="18.75" x14ac:dyDescent="0.25">
      <c r="B30" s="37">
        <v>26</v>
      </c>
      <c r="C30" s="148" t="s">
        <v>173</v>
      </c>
      <c r="D30" s="153"/>
      <c r="F30" s="52" t="s">
        <v>271</v>
      </c>
      <c r="G30" s="52" t="s">
        <v>274</v>
      </c>
      <c r="H30" s="52" t="s">
        <v>274</v>
      </c>
      <c r="I30" s="52" t="s">
        <v>274</v>
      </c>
      <c r="J30" s="52" t="s">
        <v>230</v>
      </c>
      <c r="K30" s="52" t="s">
        <v>231</v>
      </c>
      <c r="L30" s="52" t="s">
        <v>231</v>
      </c>
      <c r="M30" s="52" t="s">
        <v>271</v>
      </c>
      <c r="N30" s="52" t="s">
        <v>271</v>
      </c>
      <c r="O30" s="52" t="s">
        <v>274</v>
      </c>
      <c r="P30" s="52" t="s">
        <v>274</v>
      </c>
      <c r="Q30" s="52" t="s">
        <v>274</v>
      </c>
      <c r="R30" s="52" t="s">
        <v>230</v>
      </c>
      <c r="S30" s="52" t="s">
        <v>231</v>
      </c>
      <c r="T30" s="52" t="s">
        <v>231</v>
      </c>
      <c r="U30" s="52" t="s">
        <v>271</v>
      </c>
      <c r="V30" s="52" t="s">
        <v>271</v>
      </c>
      <c r="W30" s="52" t="s">
        <v>274</v>
      </c>
      <c r="X30" s="52" t="s">
        <v>274</v>
      </c>
      <c r="Y30" s="52" t="s">
        <v>274</v>
      </c>
      <c r="Z30" s="52" t="s">
        <v>230</v>
      </c>
      <c r="AA30" s="52" t="s">
        <v>231</v>
      </c>
      <c r="AB30" s="52" t="s">
        <v>231</v>
      </c>
      <c r="AC30" s="52" t="s">
        <v>271</v>
      </c>
      <c r="AD30" s="52" t="s">
        <v>271</v>
      </c>
      <c r="AE30" s="52" t="s">
        <v>274</v>
      </c>
      <c r="AF30" s="52" t="s">
        <v>274</v>
      </c>
      <c r="AG30" s="52" t="s">
        <v>274</v>
      </c>
      <c r="AH30" s="52" t="s">
        <v>230</v>
      </c>
      <c r="AI30" s="52" t="s">
        <v>231</v>
      </c>
      <c r="AJ30" s="52" t="s">
        <v>271</v>
      </c>
      <c r="AL30" s="51">
        <f t="shared" si="0"/>
        <v>0</v>
      </c>
      <c r="AM30" s="51">
        <f t="shared" si="1"/>
        <v>4</v>
      </c>
      <c r="AN30" s="51">
        <f t="shared" si="2"/>
        <v>7</v>
      </c>
      <c r="AO30" s="51">
        <f t="shared" si="3"/>
        <v>8</v>
      </c>
      <c r="AP30" s="51">
        <f t="shared" si="4"/>
        <v>12</v>
      </c>
    </row>
    <row r="31" spans="2:42" ht="18.75" x14ac:dyDescent="0.25">
      <c r="B31" s="37">
        <v>27</v>
      </c>
      <c r="C31" s="148" t="s">
        <v>212</v>
      </c>
      <c r="D31" s="153"/>
      <c r="F31" s="52" t="s">
        <v>274</v>
      </c>
      <c r="G31" s="52" t="s">
        <v>274</v>
      </c>
      <c r="H31" s="52" t="s">
        <v>274</v>
      </c>
      <c r="I31" s="52" t="s">
        <v>230</v>
      </c>
      <c r="J31" s="52" t="s">
        <v>270</v>
      </c>
      <c r="K31" s="52" t="s">
        <v>231</v>
      </c>
      <c r="L31" s="52" t="s">
        <v>271</v>
      </c>
      <c r="M31" s="52" t="s">
        <v>271</v>
      </c>
      <c r="N31" s="52" t="s">
        <v>274</v>
      </c>
      <c r="O31" s="52" t="s">
        <v>274</v>
      </c>
      <c r="P31" s="52" t="s">
        <v>274</v>
      </c>
      <c r="Q31" s="52" t="s">
        <v>230</v>
      </c>
      <c r="R31" s="52" t="s">
        <v>230</v>
      </c>
      <c r="S31" s="52" t="s">
        <v>144</v>
      </c>
      <c r="T31" s="52" t="s">
        <v>271</v>
      </c>
      <c r="U31" s="52" t="s">
        <v>271</v>
      </c>
      <c r="V31" s="52" t="s">
        <v>274</v>
      </c>
      <c r="W31" s="52" t="s">
        <v>274</v>
      </c>
      <c r="X31" s="52" t="s">
        <v>274</v>
      </c>
      <c r="Y31" s="52" t="s">
        <v>230</v>
      </c>
      <c r="Z31" s="52" t="s">
        <v>231</v>
      </c>
      <c r="AA31" s="52" t="s">
        <v>231</v>
      </c>
      <c r="AB31" s="52" t="s">
        <v>271</v>
      </c>
      <c r="AC31" s="52" t="s">
        <v>271</v>
      </c>
      <c r="AD31" s="52" t="s">
        <v>274</v>
      </c>
      <c r="AE31" s="52" t="s">
        <v>274</v>
      </c>
      <c r="AF31" s="52" t="s">
        <v>274</v>
      </c>
      <c r="AG31" s="52" t="s">
        <v>230</v>
      </c>
      <c r="AH31" s="52" t="s">
        <v>231</v>
      </c>
      <c r="AI31" s="52" t="s">
        <v>231</v>
      </c>
      <c r="AJ31" s="52" t="s">
        <v>271</v>
      </c>
      <c r="AL31" s="51">
        <f t="shared" si="0"/>
        <v>1</v>
      </c>
      <c r="AM31" s="51">
        <f t="shared" si="1"/>
        <v>5</v>
      </c>
      <c r="AN31" s="51">
        <f t="shared" si="2"/>
        <v>5</v>
      </c>
      <c r="AO31" s="51">
        <f t="shared" si="3"/>
        <v>7</v>
      </c>
      <c r="AP31" s="51">
        <f t="shared" si="4"/>
        <v>12</v>
      </c>
    </row>
    <row r="32" spans="2:42" ht="18.75" x14ac:dyDescent="0.25">
      <c r="B32" s="37">
        <v>28</v>
      </c>
      <c r="C32" s="148" t="s">
        <v>214</v>
      </c>
      <c r="D32" s="153"/>
      <c r="F32" s="52" t="s">
        <v>274</v>
      </c>
      <c r="G32" s="52" t="s">
        <v>274</v>
      </c>
      <c r="H32" s="52" t="s">
        <v>230</v>
      </c>
      <c r="I32" s="52" t="s">
        <v>230</v>
      </c>
      <c r="J32" s="52" t="s">
        <v>231</v>
      </c>
      <c r="K32" s="52" t="s">
        <v>273</v>
      </c>
      <c r="L32" s="52" t="s">
        <v>271</v>
      </c>
      <c r="M32" s="52" t="s">
        <v>274</v>
      </c>
      <c r="N32" s="52" t="s">
        <v>274</v>
      </c>
      <c r="O32" s="52" t="s">
        <v>274</v>
      </c>
      <c r="P32" s="52" t="s">
        <v>230</v>
      </c>
      <c r="Q32" s="52" t="s">
        <v>230</v>
      </c>
      <c r="R32" s="52" t="s">
        <v>231</v>
      </c>
      <c r="S32" s="52" t="s">
        <v>231</v>
      </c>
      <c r="T32" s="52" t="s">
        <v>271</v>
      </c>
      <c r="U32" s="52" t="s">
        <v>274</v>
      </c>
      <c r="V32" s="52" t="s">
        <v>274</v>
      </c>
      <c r="W32" s="52" t="s">
        <v>274</v>
      </c>
      <c r="X32" s="52" t="s">
        <v>230</v>
      </c>
      <c r="Y32" s="52" t="s">
        <v>230</v>
      </c>
      <c r="Z32" s="52" t="s">
        <v>231</v>
      </c>
      <c r="AA32" s="52" t="s">
        <v>231</v>
      </c>
      <c r="AB32" s="52" t="s">
        <v>271</v>
      </c>
      <c r="AC32" s="52" t="s">
        <v>274</v>
      </c>
      <c r="AD32" s="52" t="s">
        <v>274</v>
      </c>
      <c r="AE32" s="52" t="s">
        <v>274</v>
      </c>
      <c r="AF32" s="52" t="s">
        <v>230</v>
      </c>
      <c r="AG32" s="52" t="s">
        <v>230</v>
      </c>
      <c r="AH32" s="52" t="s">
        <v>231</v>
      </c>
      <c r="AI32" s="52" t="s">
        <v>271</v>
      </c>
      <c r="AJ32" s="52" t="s">
        <v>271</v>
      </c>
      <c r="AL32" s="51">
        <f t="shared" si="0"/>
        <v>1</v>
      </c>
      <c r="AM32" s="51">
        <f t="shared" si="1"/>
        <v>8</v>
      </c>
      <c r="AN32" s="51">
        <f t="shared" si="2"/>
        <v>6</v>
      </c>
      <c r="AO32" s="51">
        <f t="shared" si="3"/>
        <v>5</v>
      </c>
      <c r="AP32" s="51">
        <f t="shared" si="4"/>
        <v>11</v>
      </c>
    </row>
    <row r="33" spans="2:42" ht="18.75" x14ac:dyDescent="0.25">
      <c r="B33" s="37">
        <v>29</v>
      </c>
      <c r="C33" s="148" t="s">
        <v>213</v>
      </c>
      <c r="D33" s="153"/>
      <c r="F33" s="52" t="s">
        <v>274</v>
      </c>
      <c r="G33" s="52" t="s">
        <v>230</v>
      </c>
      <c r="H33" s="52" t="s">
        <v>230</v>
      </c>
      <c r="I33" s="52" t="s">
        <v>231</v>
      </c>
      <c r="J33" s="52" t="s">
        <v>271</v>
      </c>
      <c r="K33" s="52" t="s">
        <v>271</v>
      </c>
      <c r="L33" s="52" t="s">
        <v>274</v>
      </c>
      <c r="M33" s="52" t="s">
        <v>274</v>
      </c>
      <c r="N33" s="52" t="s">
        <v>274</v>
      </c>
      <c r="O33" s="52" t="s">
        <v>230</v>
      </c>
      <c r="P33" s="52" t="s">
        <v>231</v>
      </c>
      <c r="Q33" s="52" t="s">
        <v>231</v>
      </c>
      <c r="R33" s="52" t="s">
        <v>271</v>
      </c>
      <c r="S33" s="52" t="s">
        <v>271</v>
      </c>
      <c r="T33" s="52" t="s">
        <v>274</v>
      </c>
      <c r="U33" s="52" t="s">
        <v>274</v>
      </c>
      <c r="V33" s="52" t="s">
        <v>274</v>
      </c>
      <c r="W33" s="52" t="s">
        <v>230</v>
      </c>
      <c r="X33" s="52" t="s">
        <v>272</v>
      </c>
      <c r="Y33" s="52" t="s">
        <v>231</v>
      </c>
      <c r="Z33" s="52" t="s">
        <v>271</v>
      </c>
      <c r="AA33" s="52" t="s">
        <v>271</v>
      </c>
      <c r="AB33" s="52" t="s">
        <v>274</v>
      </c>
      <c r="AC33" s="52" t="s">
        <v>274</v>
      </c>
      <c r="AD33" s="52" t="s">
        <v>274</v>
      </c>
      <c r="AE33" s="52" t="s">
        <v>230</v>
      </c>
      <c r="AF33" s="52" t="s">
        <v>230</v>
      </c>
      <c r="AG33" s="52" t="s">
        <v>231</v>
      </c>
      <c r="AH33" s="52" t="s">
        <v>231</v>
      </c>
      <c r="AI33" s="52" t="s">
        <v>271</v>
      </c>
      <c r="AJ33" s="52" t="s">
        <v>274</v>
      </c>
      <c r="AL33" s="51">
        <f t="shared" si="0"/>
        <v>1</v>
      </c>
      <c r="AM33" s="51">
        <f t="shared" si="1"/>
        <v>6</v>
      </c>
      <c r="AN33" s="51">
        <f t="shared" si="2"/>
        <v>6</v>
      </c>
      <c r="AO33" s="51">
        <f t="shared" si="3"/>
        <v>7</v>
      </c>
      <c r="AP33" s="51">
        <f t="shared" si="4"/>
        <v>11</v>
      </c>
    </row>
    <row r="34" spans="2:42" ht="18.75" x14ac:dyDescent="0.25">
      <c r="B34" s="37">
        <v>30</v>
      </c>
      <c r="C34" s="147" t="s">
        <v>174</v>
      </c>
      <c r="D34" s="147"/>
      <c r="F34" s="52" t="s">
        <v>230</v>
      </c>
      <c r="G34" s="52" t="s">
        <v>230</v>
      </c>
      <c r="H34" s="52" t="s">
        <v>231</v>
      </c>
      <c r="I34" s="52" t="s">
        <v>231</v>
      </c>
      <c r="J34" s="52" t="s">
        <v>271</v>
      </c>
      <c r="K34" s="52" t="s">
        <v>274</v>
      </c>
      <c r="L34" s="52" t="s">
        <v>274</v>
      </c>
      <c r="M34" s="52" t="s">
        <v>274</v>
      </c>
      <c r="N34" s="52" t="s">
        <v>230</v>
      </c>
      <c r="O34" s="52" t="s">
        <v>231</v>
      </c>
      <c r="P34" s="52" t="s">
        <v>231</v>
      </c>
      <c r="Q34" s="52" t="s">
        <v>271</v>
      </c>
      <c r="R34" s="52" t="s">
        <v>271</v>
      </c>
      <c r="S34" s="52" t="s">
        <v>274</v>
      </c>
      <c r="T34" s="52" t="s">
        <v>274</v>
      </c>
      <c r="U34" s="52" t="s">
        <v>274</v>
      </c>
      <c r="V34" s="105" t="s">
        <v>230</v>
      </c>
      <c r="W34" s="106" t="s">
        <v>231</v>
      </c>
      <c r="X34" s="106" t="s">
        <v>231</v>
      </c>
      <c r="Y34" s="106" t="s">
        <v>271</v>
      </c>
      <c r="Z34" s="106" t="s">
        <v>271</v>
      </c>
      <c r="AA34" s="52" t="s">
        <v>274</v>
      </c>
      <c r="AB34" s="52" t="s">
        <v>274</v>
      </c>
      <c r="AC34" s="52" t="s">
        <v>274</v>
      </c>
      <c r="AD34" s="52" t="s">
        <v>230</v>
      </c>
      <c r="AE34" s="52" t="s">
        <v>230</v>
      </c>
      <c r="AF34" s="52" t="s">
        <v>231</v>
      </c>
      <c r="AG34" s="52" t="s">
        <v>231</v>
      </c>
      <c r="AH34" s="52" t="s">
        <v>271</v>
      </c>
      <c r="AI34" s="52" t="s">
        <v>274</v>
      </c>
      <c r="AJ34" s="52" t="s">
        <v>274</v>
      </c>
      <c r="AL34" s="51">
        <f t="shared" si="0"/>
        <v>0</v>
      </c>
      <c r="AM34" s="51">
        <f t="shared" si="1"/>
        <v>6</v>
      </c>
      <c r="AN34" s="51">
        <f t="shared" si="2"/>
        <v>8</v>
      </c>
      <c r="AO34" s="51">
        <f t="shared" si="3"/>
        <v>6</v>
      </c>
      <c r="AP34" s="51">
        <f t="shared" si="4"/>
        <v>11</v>
      </c>
    </row>
    <row r="35" spans="2:42" ht="18.75" x14ac:dyDescent="0.25">
      <c r="B35" s="37">
        <v>31</v>
      </c>
      <c r="C35" s="147" t="s">
        <v>175</v>
      </c>
      <c r="D35" s="147"/>
      <c r="F35" s="52" t="s">
        <v>270</v>
      </c>
      <c r="G35" s="52" t="s">
        <v>231</v>
      </c>
      <c r="H35" s="52" t="s">
        <v>271</v>
      </c>
      <c r="I35" s="52" t="s">
        <v>271</v>
      </c>
      <c r="J35" s="52" t="s">
        <v>274</v>
      </c>
      <c r="K35" s="52" t="s">
        <v>274</v>
      </c>
      <c r="L35" s="52" t="s">
        <v>274</v>
      </c>
      <c r="M35" s="52" t="s">
        <v>230</v>
      </c>
      <c r="N35" s="52" t="s">
        <v>230</v>
      </c>
      <c r="O35" s="52" t="s">
        <v>231</v>
      </c>
      <c r="P35" s="52" t="s">
        <v>271</v>
      </c>
      <c r="Q35" s="52" t="s">
        <v>271</v>
      </c>
      <c r="R35" s="52" t="s">
        <v>274</v>
      </c>
      <c r="S35" s="52" t="s">
        <v>274</v>
      </c>
      <c r="T35" s="52" t="s">
        <v>274</v>
      </c>
      <c r="U35" s="52" t="s">
        <v>230</v>
      </c>
      <c r="V35" s="52" t="s">
        <v>230</v>
      </c>
      <c r="W35" s="52" t="s">
        <v>231</v>
      </c>
      <c r="X35" s="52" t="s">
        <v>271</v>
      </c>
      <c r="Y35" s="52" t="s">
        <v>271</v>
      </c>
      <c r="Z35" s="52" t="s">
        <v>274</v>
      </c>
      <c r="AA35" s="52" t="s">
        <v>274</v>
      </c>
      <c r="AB35" s="52" t="s">
        <v>274</v>
      </c>
      <c r="AC35" s="52" t="s">
        <v>230</v>
      </c>
      <c r="AD35" s="52" t="s">
        <v>230</v>
      </c>
      <c r="AE35" s="52" t="s">
        <v>231</v>
      </c>
      <c r="AF35" s="52" t="s">
        <v>271</v>
      </c>
      <c r="AG35" s="52" t="s">
        <v>271</v>
      </c>
      <c r="AH35" s="52" t="s">
        <v>274</v>
      </c>
      <c r="AI35" s="52" t="s">
        <v>274</v>
      </c>
      <c r="AJ35" s="52" t="s">
        <v>274</v>
      </c>
      <c r="AL35" s="51">
        <f t="shared" si="0"/>
        <v>1</v>
      </c>
      <c r="AM35" s="51">
        <f t="shared" si="1"/>
        <v>6</v>
      </c>
      <c r="AN35" s="51">
        <f t="shared" si="2"/>
        <v>4</v>
      </c>
      <c r="AO35" s="51">
        <f t="shared" si="3"/>
        <v>8</v>
      </c>
      <c r="AP35" s="51">
        <f t="shared" si="4"/>
        <v>12</v>
      </c>
    </row>
    <row r="36" spans="2:42" ht="18.75" x14ac:dyDescent="0.25">
      <c r="B36" s="37">
        <v>32</v>
      </c>
      <c r="C36" s="148" t="s">
        <v>176</v>
      </c>
      <c r="D36" s="153"/>
      <c r="F36" s="52" t="s">
        <v>231</v>
      </c>
      <c r="G36" s="52" t="s">
        <v>231</v>
      </c>
      <c r="H36" s="52" t="s">
        <v>271</v>
      </c>
      <c r="I36" s="52" t="s">
        <v>274</v>
      </c>
      <c r="J36" s="52" t="s">
        <v>274</v>
      </c>
      <c r="K36" s="52" t="s">
        <v>274</v>
      </c>
      <c r="L36" s="52" t="s">
        <v>230</v>
      </c>
      <c r="M36" s="52" t="s">
        <v>231</v>
      </c>
      <c r="N36" s="52" t="s">
        <v>231</v>
      </c>
      <c r="O36" s="52" t="s">
        <v>271</v>
      </c>
      <c r="P36" s="52" t="s">
        <v>271</v>
      </c>
      <c r="Q36" s="52" t="s">
        <v>274</v>
      </c>
      <c r="R36" s="52" t="s">
        <v>274</v>
      </c>
      <c r="S36" s="52" t="s">
        <v>274</v>
      </c>
      <c r="T36" s="52" t="s">
        <v>230</v>
      </c>
      <c r="U36" s="52" t="s">
        <v>231</v>
      </c>
      <c r="V36" s="52" t="s">
        <v>231</v>
      </c>
      <c r="W36" s="52" t="s">
        <v>271</v>
      </c>
      <c r="X36" s="52" t="s">
        <v>271</v>
      </c>
      <c r="Y36" s="52" t="s">
        <v>274</v>
      </c>
      <c r="Z36" s="52" t="s">
        <v>274</v>
      </c>
      <c r="AA36" s="52" t="s">
        <v>274</v>
      </c>
      <c r="AB36" s="52" t="s">
        <v>230</v>
      </c>
      <c r="AC36" s="52" t="s">
        <v>230</v>
      </c>
      <c r="AD36" s="52" t="s">
        <v>231</v>
      </c>
      <c r="AE36" s="52" t="s">
        <v>271</v>
      </c>
      <c r="AF36" s="52" t="s">
        <v>271</v>
      </c>
      <c r="AG36" s="52" t="s">
        <v>274</v>
      </c>
      <c r="AH36" s="52" t="s">
        <v>274</v>
      </c>
      <c r="AI36" s="52" t="s">
        <v>274</v>
      </c>
      <c r="AJ36" s="52" t="s">
        <v>230</v>
      </c>
      <c r="AL36" s="51">
        <f t="shared" si="0"/>
        <v>0</v>
      </c>
      <c r="AM36" s="51">
        <f t="shared" si="1"/>
        <v>5</v>
      </c>
      <c r="AN36" s="51">
        <f t="shared" si="2"/>
        <v>7</v>
      </c>
      <c r="AO36" s="51">
        <f t="shared" si="3"/>
        <v>7</v>
      </c>
      <c r="AP36" s="51">
        <f t="shared" si="4"/>
        <v>12</v>
      </c>
    </row>
    <row r="37" spans="2:42" ht="18.75" x14ac:dyDescent="0.25">
      <c r="B37" s="37">
        <v>33</v>
      </c>
      <c r="C37" s="147" t="s">
        <v>177</v>
      </c>
      <c r="D37" s="147"/>
      <c r="F37" s="52" t="s">
        <v>271</v>
      </c>
      <c r="G37" s="52" t="s">
        <v>271</v>
      </c>
      <c r="H37" s="52" t="s">
        <v>274</v>
      </c>
      <c r="I37" s="52" t="s">
        <v>274</v>
      </c>
      <c r="J37" s="52" t="s">
        <v>274</v>
      </c>
      <c r="K37" s="52" t="s">
        <v>230</v>
      </c>
      <c r="L37" s="52" t="s">
        <v>230</v>
      </c>
      <c r="M37" s="52" t="s">
        <v>144</v>
      </c>
      <c r="N37" s="52" t="s">
        <v>271</v>
      </c>
      <c r="O37" s="52" t="s">
        <v>271</v>
      </c>
      <c r="P37" s="52" t="s">
        <v>274</v>
      </c>
      <c r="Q37" s="52" t="s">
        <v>274</v>
      </c>
      <c r="R37" s="52" t="s">
        <v>274</v>
      </c>
      <c r="S37" s="52" t="s">
        <v>230</v>
      </c>
      <c r="T37" s="52" t="s">
        <v>230</v>
      </c>
      <c r="U37" s="52" t="s">
        <v>231</v>
      </c>
      <c r="V37" s="52" t="s">
        <v>271</v>
      </c>
      <c r="W37" s="52" t="s">
        <v>271</v>
      </c>
      <c r="X37" s="52" t="s">
        <v>274</v>
      </c>
      <c r="Y37" s="52" t="s">
        <v>274</v>
      </c>
      <c r="Z37" s="52" t="s">
        <v>274</v>
      </c>
      <c r="AA37" s="52" t="s">
        <v>144</v>
      </c>
      <c r="AB37" s="52" t="s">
        <v>231</v>
      </c>
      <c r="AC37" s="119" t="s">
        <v>231</v>
      </c>
      <c r="AD37" s="52" t="s">
        <v>271</v>
      </c>
      <c r="AE37" s="52" t="s">
        <v>271</v>
      </c>
      <c r="AF37" s="52" t="s">
        <v>274</v>
      </c>
      <c r="AG37" s="52" t="s">
        <v>274</v>
      </c>
      <c r="AH37" s="52" t="s">
        <v>274</v>
      </c>
      <c r="AI37" s="52" t="s">
        <v>230</v>
      </c>
      <c r="AJ37" s="52" t="s">
        <v>230</v>
      </c>
      <c r="AL37" s="51">
        <f t="shared" si="0"/>
        <v>0</v>
      </c>
      <c r="AM37" s="51">
        <f t="shared" si="1"/>
        <v>6</v>
      </c>
      <c r="AN37" s="51">
        <f t="shared" si="2"/>
        <v>3</v>
      </c>
      <c r="AO37" s="51">
        <f t="shared" si="3"/>
        <v>8</v>
      </c>
      <c r="AP37" s="51">
        <f t="shared" si="4"/>
        <v>12</v>
      </c>
    </row>
    <row r="38" spans="2:42" ht="18.75" x14ac:dyDescent="0.25">
      <c r="B38" s="37">
        <v>34</v>
      </c>
      <c r="C38" s="231" t="s">
        <v>184</v>
      </c>
      <c r="D38" s="232"/>
      <c r="F38" s="52" t="s">
        <v>230</v>
      </c>
      <c r="G38" s="52" t="s">
        <v>230</v>
      </c>
      <c r="H38" s="52" t="s">
        <v>231</v>
      </c>
      <c r="I38" s="52" t="s">
        <v>231</v>
      </c>
      <c r="J38" s="52" t="s">
        <v>274</v>
      </c>
      <c r="K38" s="52" t="s">
        <v>274</v>
      </c>
      <c r="L38" s="52" t="s">
        <v>230</v>
      </c>
      <c r="M38" s="52" t="s">
        <v>230</v>
      </c>
      <c r="N38" s="52" t="s">
        <v>230</v>
      </c>
      <c r="O38" s="52" t="s">
        <v>231</v>
      </c>
      <c r="P38" s="52" t="s">
        <v>231</v>
      </c>
      <c r="Q38" s="52" t="s">
        <v>274</v>
      </c>
      <c r="R38" s="52" t="s">
        <v>274</v>
      </c>
      <c r="S38" s="52" t="s">
        <v>230</v>
      </c>
      <c r="T38" s="52" t="s">
        <v>230</v>
      </c>
      <c r="U38" s="52" t="s">
        <v>230</v>
      </c>
      <c r="V38" s="52" t="s">
        <v>231</v>
      </c>
      <c r="W38" s="52" t="s">
        <v>231</v>
      </c>
      <c r="X38" s="52" t="s">
        <v>274</v>
      </c>
      <c r="Y38" s="52" t="s">
        <v>274</v>
      </c>
      <c r="Z38" s="52" t="s">
        <v>230</v>
      </c>
      <c r="AA38" s="52" t="s">
        <v>230</v>
      </c>
      <c r="AB38" s="52" t="s">
        <v>230</v>
      </c>
      <c r="AC38" s="52" t="s">
        <v>231</v>
      </c>
      <c r="AD38" s="52" t="s">
        <v>231</v>
      </c>
      <c r="AE38" s="52" t="s">
        <v>274</v>
      </c>
      <c r="AF38" s="52" t="s">
        <v>274</v>
      </c>
      <c r="AG38" s="52" t="s">
        <v>230</v>
      </c>
      <c r="AH38" s="52" t="s">
        <v>144</v>
      </c>
      <c r="AI38" s="52" t="s">
        <v>230</v>
      </c>
      <c r="AJ38" s="52" t="s">
        <v>231</v>
      </c>
      <c r="AL38" s="51">
        <f t="shared" si="0"/>
        <v>0</v>
      </c>
      <c r="AM38" s="51">
        <f t="shared" si="1"/>
        <v>13</v>
      </c>
      <c r="AN38" s="51">
        <f t="shared" si="2"/>
        <v>9</v>
      </c>
      <c r="AO38" s="51">
        <f t="shared" si="3"/>
        <v>0</v>
      </c>
      <c r="AP38" s="51">
        <f t="shared" si="4"/>
        <v>8</v>
      </c>
    </row>
    <row r="39" spans="2:42" ht="18.75" x14ac:dyDescent="0.25">
      <c r="B39" s="37">
        <v>35</v>
      </c>
      <c r="C39" s="231" t="s">
        <v>185</v>
      </c>
      <c r="D39" s="232"/>
      <c r="F39" s="52" t="s">
        <v>231</v>
      </c>
      <c r="G39" s="52" t="s">
        <v>231</v>
      </c>
      <c r="H39" s="52" t="s">
        <v>230</v>
      </c>
      <c r="I39" s="52" t="s">
        <v>230</v>
      </c>
      <c r="J39" s="52" t="s">
        <v>274</v>
      </c>
      <c r="K39" s="52" t="s">
        <v>274</v>
      </c>
      <c r="L39" s="52" t="s">
        <v>231</v>
      </c>
      <c r="M39" s="52" t="s">
        <v>231</v>
      </c>
      <c r="N39" s="52" t="s">
        <v>231</v>
      </c>
      <c r="O39" s="52" t="s">
        <v>230</v>
      </c>
      <c r="P39" s="52" t="s">
        <v>230</v>
      </c>
      <c r="Q39" s="52" t="s">
        <v>274</v>
      </c>
      <c r="R39" s="52" t="s">
        <v>274</v>
      </c>
      <c r="S39" s="52" t="s">
        <v>231</v>
      </c>
      <c r="T39" s="52" t="s">
        <v>231</v>
      </c>
      <c r="U39" s="52" t="s">
        <v>231</v>
      </c>
      <c r="V39" s="52" t="s">
        <v>230</v>
      </c>
      <c r="W39" s="52" t="s">
        <v>230</v>
      </c>
      <c r="X39" s="52" t="s">
        <v>274</v>
      </c>
      <c r="Y39" s="52" t="s">
        <v>274</v>
      </c>
      <c r="Z39" s="52" t="s">
        <v>231</v>
      </c>
      <c r="AA39" s="52" t="s">
        <v>231</v>
      </c>
      <c r="AB39" s="52" t="s">
        <v>231</v>
      </c>
      <c r="AC39" s="52" t="s">
        <v>230</v>
      </c>
      <c r="AD39" s="52" t="s">
        <v>230</v>
      </c>
      <c r="AE39" s="52" t="s">
        <v>274</v>
      </c>
      <c r="AF39" s="52" t="s">
        <v>274</v>
      </c>
      <c r="AG39" s="52" t="s">
        <v>231</v>
      </c>
      <c r="AH39" s="52" t="s">
        <v>231</v>
      </c>
      <c r="AI39" s="52" t="s">
        <v>231</v>
      </c>
      <c r="AJ39" s="52" t="s">
        <v>230</v>
      </c>
      <c r="AL39" s="51">
        <f t="shared" si="0"/>
        <v>0</v>
      </c>
      <c r="AM39" s="51">
        <f t="shared" si="1"/>
        <v>9</v>
      </c>
      <c r="AN39" s="51">
        <f t="shared" si="2"/>
        <v>14</v>
      </c>
      <c r="AO39" s="51">
        <f t="shared" si="3"/>
        <v>0</v>
      </c>
      <c r="AP39" s="51">
        <f t="shared" si="4"/>
        <v>8</v>
      </c>
    </row>
    <row r="40" spans="2:42" ht="19.5" thickBot="1" x14ac:dyDescent="0.3">
      <c r="B40" s="37">
        <v>36</v>
      </c>
      <c r="C40" s="233" t="s">
        <v>186</v>
      </c>
      <c r="D40" s="233"/>
      <c r="F40" s="65" t="s">
        <v>240</v>
      </c>
      <c r="G40" s="65" t="s">
        <v>230</v>
      </c>
      <c r="H40" s="65" t="s">
        <v>230</v>
      </c>
      <c r="I40" s="65" t="s">
        <v>274</v>
      </c>
      <c r="J40" s="65" t="s">
        <v>274</v>
      </c>
      <c r="K40" s="65" t="s">
        <v>240</v>
      </c>
      <c r="L40" s="65" t="s">
        <v>240</v>
      </c>
      <c r="M40" s="65" t="s">
        <v>240</v>
      </c>
      <c r="N40" s="65" t="s">
        <v>230</v>
      </c>
      <c r="O40" s="65" t="s">
        <v>230</v>
      </c>
      <c r="P40" s="65" t="s">
        <v>274</v>
      </c>
      <c r="Q40" s="65" t="s">
        <v>274</v>
      </c>
      <c r="R40" s="65" t="s">
        <v>240</v>
      </c>
      <c r="S40" s="65" t="s">
        <v>240</v>
      </c>
      <c r="T40" s="65" t="s">
        <v>240</v>
      </c>
      <c r="U40" s="65" t="s">
        <v>230</v>
      </c>
      <c r="V40" s="65" t="s">
        <v>230</v>
      </c>
      <c r="W40" s="65" t="s">
        <v>274</v>
      </c>
      <c r="X40" s="65" t="s">
        <v>274</v>
      </c>
      <c r="Y40" s="65" t="s">
        <v>240</v>
      </c>
      <c r="Z40" s="65" t="s">
        <v>240</v>
      </c>
      <c r="AA40" s="65" t="s">
        <v>240</v>
      </c>
      <c r="AB40" s="65" t="s">
        <v>230</v>
      </c>
      <c r="AC40" s="65" t="s">
        <v>230</v>
      </c>
      <c r="AD40" s="65" t="s">
        <v>274</v>
      </c>
      <c r="AE40" s="65" t="s">
        <v>274</v>
      </c>
      <c r="AF40" s="65" t="s">
        <v>240</v>
      </c>
      <c r="AG40" s="65" t="s">
        <v>240</v>
      </c>
      <c r="AH40" s="65" t="s">
        <v>240</v>
      </c>
      <c r="AI40" s="65" t="s">
        <v>230</v>
      </c>
      <c r="AJ40" s="65" t="s">
        <v>230</v>
      </c>
      <c r="AL40" s="51">
        <f t="shared" si="0"/>
        <v>0</v>
      </c>
      <c r="AM40" s="51">
        <f t="shared" si="1"/>
        <v>23</v>
      </c>
      <c r="AN40" s="51">
        <f t="shared" si="2"/>
        <v>0</v>
      </c>
      <c r="AO40" s="51">
        <f t="shared" si="3"/>
        <v>0</v>
      </c>
      <c r="AP40" s="51">
        <f t="shared" si="4"/>
        <v>8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3" t="s">
        <v>91</v>
      </c>
      <c r="D42" s="183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5</v>
      </c>
      <c r="L42" s="37">
        <f t="shared" si="5"/>
        <v>5</v>
      </c>
      <c r="M42" s="37">
        <f t="shared" si="5"/>
        <v>4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5</v>
      </c>
      <c r="R42" s="37">
        <f t="shared" si="5"/>
        <v>5</v>
      </c>
      <c r="S42" s="37">
        <f t="shared" si="5"/>
        <v>5</v>
      </c>
      <c r="T42" s="37">
        <f t="shared" si="5"/>
        <v>4</v>
      </c>
      <c r="U42" s="37">
        <f t="shared" si="5"/>
        <v>5</v>
      </c>
      <c r="V42" s="37">
        <f t="shared" si="5"/>
        <v>5</v>
      </c>
      <c r="W42" s="37">
        <f>COUNTIF(W$5:W$37,"M*")</f>
        <v>5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5</v>
      </c>
      <c r="AC42" s="37">
        <f t="shared" si="5"/>
        <v>5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4</v>
      </c>
      <c r="AI42" s="37">
        <f t="shared" si="5"/>
        <v>5</v>
      </c>
      <c r="AJ42" s="37">
        <f t="shared" si="5"/>
        <v>5</v>
      </c>
    </row>
    <row r="43" spans="2:42" ht="18.75" x14ac:dyDescent="0.3">
      <c r="C43" s="183" t="s">
        <v>92</v>
      </c>
      <c r="D43" s="183"/>
      <c r="E43" s="36"/>
      <c r="F43" s="37">
        <f>COUNTIF(F$5:F$37,"A*")</f>
        <v>6</v>
      </c>
      <c r="G43" s="37">
        <f t="shared" ref="G43:AJ43" si="6">COUNTIF(G$5:G$37,"A*")</f>
        <v>6</v>
      </c>
      <c r="H43" s="37">
        <f t="shared" si="6"/>
        <v>5</v>
      </c>
      <c r="I43" s="37">
        <f t="shared" si="6"/>
        <v>6</v>
      </c>
      <c r="J43" s="37">
        <f t="shared" si="6"/>
        <v>6</v>
      </c>
      <c r="K43" s="37">
        <f t="shared" si="6"/>
        <v>6</v>
      </c>
      <c r="L43" s="37">
        <f t="shared" si="6"/>
        <v>6</v>
      </c>
      <c r="M43" s="37">
        <f t="shared" si="6"/>
        <v>6</v>
      </c>
      <c r="N43" s="37">
        <f t="shared" si="6"/>
        <v>6</v>
      </c>
      <c r="O43" s="37">
        <f t="shared" si="6"/>
        <v>6</v>
      </c>
      <c r="P43" s="37">
        <f t="shared" si="6"/>
        <v>6</v>
      </c>
      <c r="Q43" s="37">
        <f t="shared" si="6"/>
        <v>6</v>
      </c>
      <c r="R43" s="37">
        <f t="shared" si="6"/>
        <v>6</v>
      </c>
      <c r="S43" s="37">
        <f t="shared" si="6"/>
        <v>6</v>
      </c>
      <c r="T43" s="37">
        <f t="shared" si="6"/>
        <v>6</v>
      </c>
      <c r="U43" s="37">
        <f t="shared" si="6"/>
        <v>5</v>
      </c>
      <c r="V43" s="37">
        <f t="shared" si="6"/>
        <v>5</v>
      </c>
      <c r="W43" s="37">
        <f t="shared" si="6"/>
        <v>6</v>
      </c>
      <c r="X43" s="37">
        <f t="shared" si="6"/>
        <v>6</v>
      </c>
      <c r="Y43" s="37">
        <f t="shared" si="6"/>
        <v>6</v>
      </c>
      <c r="Z43" s="37">
        <f t="shared" si="6"/>
        <v>6</v>
      </c>
      <c r="AA43" s="37">
        <f t="shared" si="6"/>
        <v>6</v>
      </c>
      <c r="AB43" s="37">
        <f t="shared" si="6"/>
        <v>6</v>
      </c>
      <c r="AC43" s="37">
        <f t="shared" si="6"/>
        <v>5</v>
      </c>
      <c r="AD43" s="37">
        <f t="shared" si="6"/>
        <v>7</v>
      </c>
      <c r="AE43" s="37">
        <f t="shared" si="6"/>
        <v>7</v>
      </c>
      <c r="AF43" s="37">
        <f t="shared" si="6"/>
        <v>6</v>
      </c>
      <c r="AG43" s="37">
        <f t="shared" si="6"/>
        <v>6</v>
      </c>
      <c r="AH43" s="37">
        <f t="shared" si="6"/>
        <v>6</v>
      </c>
      <c r="AI43" s="37">
        <f t="shared" si="6"/>
        <v>5</v>
      </c>
      <c r="AJ43" s="37">
        <f t="shared" si="6"/>
        <v>5</v>
      </c>
    </row>
    <row r="44" spans="2:42" ht="18.75" x14ac:dyDescent="0.3">
      <c r="C44" s="183" t="s">
        <v>72</v>
      </c>
      <c r="D44" s="183"/>
      <c r="E44" s="36"/>
      <c r="F44" s="37">
        <f>COUNTIF(F$5:F$37,"N*")</f>
        <v>7</v>
      </c>
      <c r="G44" s="37">
        <f t="shared" ref="G44:AJ44" si="7">COUNTIF(G$5:G$37,"N*")</f>
        <v>7</v>
      </c>
      <c r="H44" s="37">
        <f t="shared" si="7"/>
        <v>6</v>
      </c>
      <c r="I44" s="37">
        <f t="shared" si="7"/>
        <v>6</v>
      </c>
      <c r="J44" s="37">
        <f t="shared" si="7"/>
        <v>7</v>
      </c>
      <c r="K44" s="37">
        <f t="shared" si="7"/>
        <v>7</v>
      </c>
      <c r="L44" s="37">
        <f t="shared" si="7"/>
        <v>7</v>
      </c>
      <c r="M44" s="37">
        <f t="shared" si="7"/>
        <v>6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7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6</v>
      </c>
      <c r="W44" s="37">
        <f t="shared" si="7"/>
        <v>7</v>
      </c>
      <c r="X44" s="37">
        <f t="shared" si="7"/>
        <v>6</v>
      </c>
      <c r="Y44" s="37">
        <f t="shared" si="7"/>
        <v>7</v>
      </c>
      <c r="Z44" s="37">
        <f t="shared" si="7"/>
        <v>7</v>
      </c>
      <c r="AA44" s="37">
        <f t="shared" si="7"/>
        <v>6</v>
      </c>
      <c r="AB44" s="37">
        <f t="shared" si="7"/>
        <v>7</v>
      </c>
      <c r="AC44" s="37">
        <f t="shared" si="7"/>
        <v>6</v>
      </c>
      <c r="AD44" s="37">
        <f t="shared" si="7"/>
        <v>7</v>
      </c>
      <c r="AE44" s="37">
        <f t="shared" si="7"/>
        <v>7</v>
      </c>
      <c r="AF44" s="37">
        <f t="shared" si="7"/>
        <v>6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6</v>
      </c>
    </row>
    <row r="45" spans="2:42" ht="18.75" x14ac:dyDescent="0.3">
      <c r="C45" s="183" t="s">
        <v>73</v>
      </c>
      <c r="D45" s="183"/>
      <c r="E45" s="36"/>
      <c r="F45" s="37">
        <f t="shared" ref="F45:AJ45" si="8">COUNTIF(F$5:F$40,"O*")</f>
        <v>12</v>
      </c>
      <c r="G45" s="37">
        <f t="shared" si="8"/>
        <v>11</v>
      </c>
      <c r="H45" s="37">
        <f t="shared" si="8"/>
        <v>12</v>
      </c>
      <c r="I45" s="37">
        <f t="shared" si="8"/>
        <v>13</v>
      </c>
      <c r="J45" s="37">
        <f t="shared" si="8"/>
        <v>14</v>
      </c>
      <c r="K45" s="37">
        <f t="shared" si="8"/>
        <v>12</v>
      </c>
      <c r="L45" s="37">
        <f t="shared" si="8"/>
        <v>12</v>
      </c>
      <c r="M45" s="37">
        <f t="shared" si="8"/>
        <v>13</v>
      </c>
      <c r="N45" s="37">
        <f t="shared" si="8"/>
        <v>12</v>
      </c>
      <c r="O45" s="37">
        <f t="shared" si="8"/>
        <v>11</v>
      </c>
      <c r="P45" s="37">
        <f t="shared" si="8"/>
        <v>13</v>
      </c>
      <c r="Q45" s="37">
        <f t="shared" si="8"/>
        <v>16</v>
      </c>
      <c r="R45" s="37">
        <f t="shared" si="8"/>
        <v>14</v>
      </c>
      <c r="S45" s="37">
        <f t="shared" si="8"/>
        <v>12</v>
      </c>
      <c r="T45" s="37">
        <f t="shared" si="8"/>
        <v>12</v>
      </c>
      <c r="U45" s="37">
        <f t="shared" si="8"/>
        <v>13</v>
      </c>
      <c r="V45" s="37">
        <f t="shared" si="8"/>
        <v>12</v>
      </c>
      <c r="W45" s="37">
        <f t="shared" si="8"/>
        <v>10</v>
      </c>
      <c r="X45" s="37">
        <f t="shared" si="8"/>
        <v>14</v>
      </c>
      <c r="Y45" s="37">
        <f t="shared" si="8"/>
        <v>13</v>
      </c>
      <c r="Z45" s="37">
        <f t="shared" si="8"/>
        <v>12</v>
      </c>
      <c r="AA45" s="37">
        <f t="shared" si="8"/>
        <v>11</v>
      </c>
      <c r="AB45" s="37">
        <f t="shared" si="8"/>
        <v>12</v>
      </c>
      <c r="AC45" s="37">
        <f t="shared" si="8"/>
        <v>12</v>
      </c>
      <c r="AD45" s="37">
        <f t="shared" si="8"/>
        <v>12</v>
      </c>
      <c r="AE45" s="37">
        <f t="shared" si="8"/>
        <v>13</v>
      </c>
      <c r="AF45" s="37">
        <f t="shared" si="8"/>
        <v>13</v>
      </c>
      <c r="AG45" s="37">
        <f t="shared" si="8"/>
        <v>11</v>
      </c>
      <c r="AH45" s="37">
        <f t="shared" si="8"/>
        <v>13</v>
      </c>
      <c r="AI45" s="37">
        <f t="shared" si="8"/>
        <v>12</v>
      </c>
      <c r="AJ45" s="37">
        <f t="shared" si="8"/>
        <v>13</v>
      </c>
    </row>
    <row r="46" spans="2:42" ht="18.75" x14ac:dyDescent="0.3">
      <c r="C46" s="179" t="s">
        <v>143</v>
      </c>
      <c r="D46" s="180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1</v>
      </c>
      <c r="I46" s="37">
        <f t="shared" si="9"/>
        <v>1</v>
      </c>
      <c r="J46" s="37">
        <f t="shared" si="9"/>
        <v>0</v>
      </c>
      <c r="K46" s="37">
        <f t="shared" si="9"/>
        <v>0</v>
      </c>
      <c r="L46" s="37">
        <f t="shared" si="9"/>
        <v>0</v>
      </c>
      <c r="M46" s="37">
        <f t="shared" si="9"/>
        <v>1</v>
      </c>
      <c r="N46" s="37">
        <f t="shared" si="9"/>
        <v>1</v>
      </c>
      <c r="O46" s="37">
        <f t="shared" si="9"/>
        <v>1</v>
      </c>
      <c r="P46" s="37">
        <f t="shared" si="9"/>
        <v>0</v>
      </c>
      <c r="Q46" s="37">
        <f t="shared" si="9"/>
        <v>0</v>
      </c>
      <c r="R46" s="37">
        <f t="shared" si="9"/>
        <v>0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1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0</v>
      </c>
      <c r="AA46" s="37">
        <f t="shared" si="9"/>
        <v>2</v>
      </c>
      <c r="AB46" s="37">
        <f t="shared" si="9"/>
        <v>0</v>
      </c>
      <c r="AC46" s="37">
        <f t="shared" si="9"/>
        <v>2</v>
      </c>
      <c r="AD46" s="37">
        <f t="shared" si="9"/>
        <v>0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1</v>
      </c>
      <c r="AI46" s="37">
        <f t="shared" si="9"/>
        <v>0</v>
      </c>
      <c r="AJ46" s="37">
        <f t="shared" si="9"/>
        <v>1</v>
      </c>
    </row>
    <row r="47" spans="2:42" ht="18.75" x14ac:dyDescent="0.3">
      <c r="C47" s="179" t="s">
        <v>106</v>
      </c>
      <c r="D47" s="180"/>
      <c r="E47" s="36"/>
      <c r="F47" s="37">
        <f t="shared" ref="F47:AJ47" si="10">COUNTIF(F$5:F$39,"ST*")</f>
        <v>1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1</v>
      </c>
      <c r="K47" s="37">
        <f t="shared" si="10"/>
        <v>1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1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1</v>
      </c>
      <c r="X47" s="37">
        <f t="shared" si="10"/>
        <v>1</v>
      </c>
      <c r="Y47" s="37">
        <f t="shared" si="10"/>
        <v>1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81" t="s">
        <v>104</v>
      </c>
      <c r="D48" s="181"/>
      <c r="E48" s="38"/>
      <c r="F48" s="54">
        <f>F50-F51</f>
        <v>0</v>
      </c>
      <c r="G48" s="54">
        <f t="shared" ref="G48:AJ48" si="11">G50-G51</f>
        <v>0</v>
      </c>
      <c r="H48" s="54">
        <f t="shared" si="11"/>
        <v>-2</v>
      </c>
      <c r="I48" s="54">
        <f t="shared" si="11"/>
        <v>-1</v>
      </c>
      <c r="J48" s="54">
        <f t="shared" si="11"/>
        <v>0</v>
      </c>
      <c r="K48" s="54">
        <f t="shared" si="11"/>
        <v>0</v>
      </c>
      <c r="L48" s="54">
        <f t="shared" si="11"/>
        <v>0</v>
      </c>
      <c r="M48" s="54">
        <f t="shared" si="11"/>
        <v>-2</v>
      </c>
      <c r="N48" s="54">
        <f t="shared" si="11"/>
        <v>-1</v>
      </c>
      <c r="O48" s="54">
        <f t="shared" si="11"/>
        <v>-1</v>
      </c>
      <c r="P48" s="54">
        <f t="shared" si="11"/>
        <v>-1</v>
      </c>
      <c r="Q48" s="54">
        <f t="shared" si="11"/>
        <v>0</v>
      </c>
      <c r="R48" s="54">
        <f t="shared" si="11"/>
        <v>-1</v>
      </c>
      <c r="S48" s="54">
        <f t="shared" si="11"/>
        <v>-1</v>
      </c>
      <c r="T48" s="54">
        <f t="shared" si="11"/>
        <v>-2</v>
      </c>
      <c r="U48" s="54">
        <f t="shared" si="11"/>
        <v>-2</v>
      </c>
      <c r="V48" s="54">
        <f t="shared" si="11"/>
        <v>-2</v>
      </c>
      <c r="W48" s="54">
        <f t="shared" si="11"/>
        <v>0</v>
      </c>
      <c r="X48" s="54">
        <f t="shared" si="11"/>
        <v>-1</v>
      </c>
      <c r="Y48" s="54">
        <f t="shared" si="11"/>
        <v>0</v>
      </c>
      <c r="Z48" s="54">
        <f t="shared" si="11"/>
        <v>0</v>
      </c>
      <c r="AA48" s="54">
        <f t="shared" si="11"/>
        <v>-1</v>
      </c>
      <c r="AB48" s="54">
        <f t="shared" si="11"/>
        <v>0</v>
      </c>
      <c r="AC48" s="54">
        <f t="shared" si="11"/>
        <v>-2</v>
      </c>
      <c r="AD48" s="54">
        <f t="shared" si="11"/>
        <v>1</v>
      </c>
      <c r="AE48" s="54">
        <f t="shared" si="11"/>
        <v>1</v>
      </c>
      <c r="AF48" s="54">
        <f t="shared" si="11"/>
        <v>-1</v>
      </c>
      <c r="AG48" s="54">
        <f t="shared" si="11"/>
        <v>-1</v>
      </c>
      <c r="AH48" s="54">
        <f t="shared" si="11"/>
        <v>-2</v>
      </c>
      <c r="AI48" s="54">
        <f t="shared" si="11"/>
        <v>-2</v>
      </c>
      <c r="AJ48" s="54">
        <f t="shared" si="11"/>
        <v>0</v>
      </c>
    </row>
    <row r="49" spans="3:36" ht="9.75" customHeight="1" x14ac:dyDescent="0.3">
      <c r="C49" s="40"/>
      <c r="D49" s="40"/>
      <c r="E49" s="36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</row>
    <row r="50" spans="3:36" ht="18.75" x14ac:dyDescent="0.3">
      <c r="C50" s="183" t="s">
        <v>102</v>
      </c>
      <c r="D50" s="183"/>
      <c r="E50" s="36"/>
      <c r="F50" s="41">
        <f>SUM(F42:F44)</f>
        <v>18</v>
      </c>
      <c r="G50" s="41">
        <f t="shared" ref="G50:AI50" si="12">SUM(G42:G44)</f>
        <v>18</v>
      </c>
      <c r="H50" s="41">
        <f t="shared" si="12"/>
        <v>16</v>
      </c>
      <c r="I50" s="41">
        <f t="shared" si="12"/>
        <v>17</v>
      </c>
      <c r="J50" s="41">
        <f t="shared" si="12"/>
        <v>18</v>
      </c>
      <c r="K50" s="41">
        <f t="shared" si="12"/>
        <v>18</v>
      </c>
      <c r="L50" s="41">
        <f t="shared" si="12"/>
        <v>18</v>
      </c>
      <c r="M50" s="41">
        <f t="shared" si="12"/>
        <v>16</v>
      </c>
      <c r="N50" s="41">
        <f t="shared" si="12"/>
        <v>17</v>
      </c>
      <c r="O50" s="41">
        <f t="shared" si="12"/>
        <v>17</v>
      </c>
      <c r="P50" s="41">
        <f t="shared" si="12"/>
        <v>17</v>
      </c>
      <c r="Q50" s="41">
        <f t="shared" si="12"/>
        <v>18</v>
      </c>
      <c r="R50" s="41">
        <f t="shared" si="12"/>
        <v>17</v>
      </c>
      <c r="S50" s="41">
        <f t="shared" si="12"/>
        <v>17</v>
      </c>
      <c r="T50" s="41">
        <f t="shared" si="12"/>
        <v>16</v>
      </c>
      <c r="U50" s="41">
        <f t="shared" si="12"/>
        <v>16</v>
      </c>
      <c r="V50" s="41">
        <f t="shared" si="12"/>
        <v>16</v>
      </c>
      <c r="W50" s="41">
        <f t="shared" si="12"/>
        <v>18</v>
      </c>
      <c r="X50" s="41">
        <f t="shared" si="12"/>
        <v>17</v>
      </c>
      <c r="Y50" s="41">
        <f t="shared" si="12"/>
        <v>18</v>
      </c>
      <c r="Z50" s="41">
        <f t="shared" si="12"/>
        <v>18</v>
      </c>
      <c r="AA50" s="41">
        <f t="shared" si="12"/>
        <v>17</v>
      </c>
      <c r="AB50" s="41">
        <f t="shared" si="12"/>
        <v>18</v>
      </c>
      <c r="AC50" s="41">
        <f t="shared" si="12"/>
        <v>16</v>
      </c>
      <c r="AD50" s="41">
        <f t="shared" si="12"/>
        <v>19</v>
      </c>
      <c r="AE50" s="41">
        <f t="shared" si="12"/>
        <v>19</v>
      </c>
      <c r="AF50" s="41">
        <f t="shared" si="12"/>
        <v>17</v>
      </c>
      <c r="AG50" s="41">
        <f t="shared" si="12"/>
        <v>17</v>
      </c>
      <c r="AH50" s="41">
        <f t="shared" si="12"/>
        <v>16</v>
      </c>
      <c r="AI50" s="41">
        <f t="shared" si="12"/>
        <v>16</v>
      </c>
      <c r="AJ50" s="41">
        <v>18</v>
      </c>
    </row>
    <row r="51" spans="3:36" ht="18.75" x14ac:dyDescent="0.3">
      <c r="C51" s="183" t="s">
        <v>90</v>
      </c>
      <c r="D51" s="183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3" t="s">
        <v>103</v>
      </c>
      <c r="D52" s="183"/>
      <c r="E52" s="36"/>
      <c r="F52" s="37">
        <f>SUM(F42,F43,F44,F45,F47)</f>
        <v>31</v>
      </c>
      <c r="G52" s="37">
        <f t="shared" ref="G52:AI52" si="13">SUM(G42,G43,G44,G45,G47)</f>
        <v>29</v>
      </c>
      <c r="H52" s="37">
        <f t="shared" si="13"/>
        <v>28</v>
      </c>
      <c r="I52" s="37">
        <f t="shared" si="13"/>
        <v>30</v>
      </c>
      <c r="J52" s="37">
        <f t="shared" si="13"/>
        <v>33</v>
      </c>
      <c r="K52" s="37">
        <f t="shared" si="13"/>
        <v>31</v>
      </c>
      <c r="L52" s="37">
        <f t="shared" si="13"/>
        <v>30</v>
      </c>
      <c r="M52" s="37">
        <f t="shared" si="13"/>
        <v>29</v>
      </c>
      <c r="N52" s="37">
        <f t="shared" si="13"/>
        <v>29</v>
      </c>
      <c r="O52" s="37">
        <f t="shared" si="13"/>
        <v>28</v>
      </c>
      <c r="P52" s="37">
        <f t="shared" si="13"/>
        <v>31</v>
      </c>
      <c r="Q52" s="37">
        <f t="shared" si="13"/>
        <v>34</v>
      </c>
      <c r="R52" s="37">
        <f t="shared" si="13"/>
        <v>31</v>
      </c>
      <c r="S52" s="37">
        <f t="shared" si="13"/>
        <v>29</v>
      </c>
      <c r="T52" s="37">
        <f t="shared" si="13"/>
        <v>28</v>
      </c>
      <c r="U52" s="37">
        <f t="shared" si="13"/>
        <v>29</v>
      </c>
      <c r="V52" s="37">
        <f t="shared" si="13"/>
        <v>28</v>
      </c>
      <c r="W52" s="37">
        <f t="shared" si="13"/>
        <v>29</v>
      </c>
      <c r="X52" s="37">
        <f t="shared" si="13"/>
        <v>32</v>
      </c>
      <c r="Y52" s="37">
        <f t="shared" si="13"/>
        <v>32</v>
      </c>
      <c r="Z52" s="37">
        <f t="shared" si="13"/>
        <v>30</v>
      </c>
      <c r="AA52" s="37">
        <f t="shared" si="13"/>
        <v>28</v>
      </c>
      <c r="AB52" s="37">
        <f t="shared" si="13"/>
        <v>30</v>
      </c>
      <c r="AC52" s="37">
        <f t="shared" si="13"/>
        <v>28</v>
      </c>
      <c r="AD52" s="37">
        <f t="shared" si="13"/>
        <v>31</v>
      </c>
      <c r="AE52" s="37">
        <f t="shared" si="13"/>
        <v>32</v>
      </c>
      <c r="AF52" s="37">
        <f t="shared" si="13"/>
        <v>30</v>
      </c>
      <c r="AG52" s="37">
        <f t="shared" si="13"/>
        <v>28</v>
      </c>
      <c r="AH52" s="37">
        <f t="shared" si="13"/>
        <v>29</v>
      </c>
      <c r="AI52" s="37">
        <f t="shared" si="13"/>
        <v>28</v>
      </c>
      <c r="AJ52" s="37">
        <v>35</v>
      </c>
    </row>
    <row r="53" spans="3:36" ht="16.5" thickBot="1" x14ac:dyDescent="0.3"/>
    <row r="54" spans="3:36" ht="16.5" thickBot="1" x14ac:dyDescent="0.3">
      <c r="F54" s="224" t="s">
        <v>233</v>
      </c>
      <c r="G54" s="225"/>
      <c r="H54" s="225"/>
      <c r="I54" s="225"/>
      <c r="J54" s="225"/>
      <c r="K54" s="226"/>
    </row>
    <row r="55" spans="3:36" x14ac:dyDescent="0.25">
      <c r="F55" s="71" t="s">
        <v>142</v>
      </c>
      <c r="G55" s="218" t="s">
        <v>229</v>
      </c>
      <c r="H55" s="219"/>
      <c r="I55" s="84" t="s">
        <v>230</v>
      </c>
      <c r="J55" s="85" t="s">
        <v>241</v>
      </c>
      <c r="K55" s="86"/>
    </row>
    <row r="56" spans="3:36" x14ac:dyDescent="0.25">
      <c r="F56" s="72" t="s">
        <v>119</v>
      </c>
      <c r="G56" s="220" t="s">
        <v>230</v>
      </c>
      <c r="H56" s="221"/>
      <c r="I56" s="84" t="s">
        <v>240</v>
      </c>
      <c r="J56" s="197" t="s">
        <v>242</v>
      </c>
      <c r="K56" s="204"/>
    </row>
    <row r="57" spans="3:36" x14ac:dyDescent="0.25">
      <c r="F57" s="73" t="s">
        <v>227</v>
      </c>
      <c r="G57" s="205" t="s">
        <v>231</v>
      </c>
      <c r="H57" s="222"/>
      <c r="I57" s="87" t="s">
        <v>236</v>
      </c>
      <c r="J57" s="227" t="s">
        <v>243</v>
      </c>
      <c r="K57" s="228"/>
    </row>
    <row r="58" spans="3:36" x14ac:dyDescent="0.25">
      <c r="F58" s="74" t="s">
        <v>228</v>
      </c>
      <c r="G58" s="207" t="s">
        <v>271</v>
      </c>
      <c r="H58" s="223"/>
      <c r="I58" s="26"/>
      <c r="J58" s="229"/>
      <c r="K58" s="230"/>
    </row>
    <row r="59" spans="3:36" x14ac:dyDescent="0.25">
      <c r="F59" s="75" t="s">
        <v>144</v>
      </c>
      <c r="G59" s="191" t="s">
        <v>235</v>
      </c>
      <c r="H59" s="214"/>
      <c r="I59" s="19"/>
      <c r="J59" s="209"/>
      <c r="K59" s="210"/>
    </row>
    <row r="60" spans="3:36" ht="16.5" thickBot="1" x14ac:dyDescent="0.3">
      <c r="F60" s="82" t="s">
        <v>275</v>
      </c>
      <c r="G60" s="215" t="s">
        <v>234</v>
      </c>
      <c r="H60" s="216"/>
      <c r="I60" s="83"/>
      <c r="J60" s="211"/>
      <c r="K60" s="212"/>
    </row>
  </sheetData>
  <dataConsolidate/>
  <mergeCells count="66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8:D48"/>
    <mergeCell ref="F49:AJ49"/>
    <mergeCell ref="C50:D50"/>
    <mergeCell ref="C51:D51"/>
    <mergeCell ref="C52:D52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</mergeCells>
  <phoneticPr fontId="14" type="noConversion"/>
  <conditionalFormatting sqref="F5:AJ40">
    <cfRule type="containsText" dxfId="134" priority="1" operator="containsText" text="MN12">
      <formula>NOT(ISERROR(SEARCH("MN12",F5)))</formula>
    </cfRule>
    <cfRule type="containsText" dxfId="133" priority="2" operator="containsText" text="STNN21">
      <formula>NOT(ISERROR(SEARCH("STNN21",F5)))</formula>
    </cfRule>
    <cfRule type="containsText" dxfId="132" priority="3" operator="containsText" text="STAN13">
      <formula>NOT(ISERROR(SEARCH("STAN13",F5)))</formula>
    </cfRule>
    <cfRule type="containsText" dxfId="131" priority="4" operator="containsText" text="STMN06">
      <formula>NOT(ISERROR(SEARCH("STMN06",F5)))</formula>
    </cfRule>
    <cfRule type="containsText" dxfId="130" priority="5" operator="containsText" text="LV">
      <formula>NOT(ISERROR(SEARCH("LV",F5)))</formula>
    </cfRule>
    <cfRule type="containsText" dxfId="129" priority="6" operator="containsText" text="TR">
      <formula>NOT(ISERROR(SEARCH("TR",F5)))</formula>
    </cfRule>
    <cfRule type="containsText" dxfId="128" priority="7" operator="containsText" text="NN21">
      <formula>NOT(ISERROR(SEARCH("NN21",F5)))</formula>
    </cfRule>
    <cfRule type="containsText" dxfId="127" priority="8" operator="containsText" text="AN13">
      <formula>NOT(ISERROR(SEARCH("AN13",F5)))</formula>
    </cfRule>
    <cfRule type="containsText" dxfId="126" priority="9" operator="containsText" text="MN06">
      <formula>NOT(ISERROR(SEARCH("MN06",F5)))</formula>
    </cfRule>
    <cfRule type="containsText" dxfId="125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23">
        <v>82658</v>
      </c>
      <c r="D2" s="123">
        <v>82673</v>
      </c>
      <c r="E2" s="123">
        <v>82464</v>
      </c>
      <c r="F2" s="123">
        <v>82649</v>
      </c>
      <c r="G2" s="123">
        <v>990465</v>
      </c>
      <c r="H2" s="123">
        <v>82659</v>
      </c>
      <c r="I2" s="123">
        <v>82545</v>
      </c>
      <c r="J2" s="123">
        <v>82671</v>
      </c>
      <c r="K2" s="123">
        <v>82615</v>
      </c>
      <c r="L2" s="123">
        <v>82672</v>
      </c>
      <c r="M2" s="123">
        <v>8930</v>
      </c>
      <c r="N2" s="123">
        <v>82283</v>
      </c>
      <c r="O2" s="123">
        <v>82587</v>
      </c>
      <c r="P2" s="123">
        <v>80270</v>
      </c>
      <c r="Q2" s="123">
        <v>990752</v>
      </c>
      <c r="R2" s="123">
        <v>81393</v>
      </c>
      <c r="S2" s="123">
        <v>80482</v>
      </c>
      <c r="T2" s="123">
        <v>82645</v>
      </c>
      <c r="U2" s="123">
        <v>82574</v>
      </c>
      <c r="V2" s="123">
        <v>82578</v>
      </c>
      <c r="W2" s="123">
        <v>82674</v>
      </c>
      <c r="X2" s="123">
        <v>8611</v>
      </c>
      <c r="Y2" s="123">
        <v>82666</v>
      </c>
      <c r="Z2" s="123">
        <v>82547</v>
      </c>
      <c r="AA2" s="123">
        <v>82577</v>
      </c>
      <c r="AB2" s="123">
        <v>80695</v>
      </c>
      <c r="AC2" s="123">
        <v>8646</v>
      </c>
      <c r="AD2" s="123">
        <v>82555</v>
      </c>
      <c r="AE2" s="123">
        <v>82424</v>
      </c>
      <c r="AF2" s="123">
        <v>82616</v>
      </c>
      <c r="AG2" s="123">
        <v>82439</v>
      </c>
      <c r="AH2" s="123">
        <v>82661</v>
      </c>
      <c r="AI2" s="123">
        <v>8715</v>
      </c>
      <c r="AJ2" s="123">
        <v>8584</v>
      </c>
      <c r="AK2" s="123">
        <v>81832</v>
      </c>
      <c r="AL2" s="123">
        <v>82670</v>
      </c>
    </row>
    <row r="3" spans="2:38" ht="15.75" x14ac:dyDescent="0.25">
      <c r="B3" s="125">
        <v>45992</v>
      </c>
      <c r="C3" s="124" t="s">
        <v>274</v>
      </c>
      <c r="D3" s="124" t="s">
        <v>231</v>
      </c>
      <c r="E3" s="124" t="s">
        <v>271</v>
      </c>
      <c r="F3" s="124" t="s">
        <v>271</v>
      </c>
      <c r="G3" s="124" t="s">
        <v>274</v>
      </c>
      <c r="H3" s="124" t="s">
        <v>274</v>
      </c>
      <c r="I3" s="124" t="s">
        <v>274</v>
      </c>
      <c r="J3" s="124" t="s">
        <v>230</v>
      </c>
      <c r="K3" s="124" t="s">
        <v>230</v>
      </c>
      <c r="L3" s="124" t="s">
        <v>231</v>
      </c>
      <c r="M3" s="124" t="s">
        <v>271</v>
      </c>
      <c r="N3" s="124" t="s">
        <v>271</v>
      </c>
      <c r="O3" s="124" t="s">
        <v>274</v>
      </c>
      <c r="P3" s="124" t="s">
        <v>274</v>
      </c>
      <c r="Q3" s="124" t="s">
        <v>274</v>
      </c>
      <c r="R3" s="124" t="s">
        <v>230</v>
      </c>
      <c r="S3" s="124" t="s">
        <v>231</v>
      </c>
      <c r="T3" s="124" t="s">
        <v>271</v>
      </c>
      <c r="U3" s="124" t="s">
        <v>271</v>
      </c>
      <c r="V3" s="124" t="s">
        <v>274</v>
      </c>
      <c r="W3" s="124" t="s">
        <v>274</v>
      </c>
      <c r="X3" s="124" t="s">
        <v>230</v>
      </c>
      <c r="Y3" s="124" t="s">
        <v>231</v>
      </c>
      <c r="Z3" s="124" t="s">
        <v>231</v>
      </c>
      <c r="AA3" s="124" t="s">
        <v>271</v>
      </c>
      <c r="AB3" s="124" t="s">
        <v>271</v>
      </c>
      <c r="AC3" s="124" t="s">
        <v>274</v>
      </c>
      <c r="AD3" s="124" t="s">
        <v>274</v>
      </c>
      <c r="AE3" s="124" t="s">
        <v>274</v>
      </c>
      <c r="AF3" s="124" t="s">
        <v>230</v>
      </c>
      <c r="AG3" s="124" t="s">
        <v>230</v>
      </c>
      <c r="AH3" s="124" t="s">
        <v>231</v>
      </c>
      <c r="AI3" s="124" t="s">
        <v>271</v>
      </c>
      <c r="AJ3" s="124" t="s">
        <v>230</v>
      </c>
      <c r="AK3" s="124" t="s">
        <v>231</v>
      </c>
      <c r="AL3" s="124" t="s">
        <v>240</v>
      </c>
    </row>
    <row r="4" spans="2:38" ht="15.75" x14ac:dyDescent="0.25">
      <c r="B4" s="125">
        <v>45993</v>
      </c>
      <c r="C4" s="124" t="s">
        <v>230</v>
      </c>
      <c r="D4" s="124" t="s">
        <v>271</v>
      </c>
      <c r="E4" s="124" t="s">
        <v>271</v>
      </c>
      <c r="F4" s="124" t="s">
        <v>274</v>
      </c>
      <c r="G4" s="124" t="s">
        <v>274</v>
      </c>
      <c r="H4" s="124" t="s">
        <v>274</v>
      </c>
      <c r="I4" s="124" t="s">
        <v>230</v>
      </c>
      <c r="J4" s="124" t="s">
        <v>231</v>
      </c>
      <c r="K4" s="124" t="s">
        <v>231</v>
      </c>
      <c r="L4" s="124" t="s">
        <v>271</v>
      </c>
      <c r="M4" s="124" t="s">
        <v>271</v>
      </c>
      <c r="N4" s="124" t="s">
        <v>274</v>
      </c>
      <c r="O4" s="124" t="s">
        <v>274</v>
      </c>
      <c r="P4" s="124" t="s">
        <v>274</v>
      </c>
      <c r="Q4" s="124" t="s">
        <v>230</v>
      </c>
      <c r="R4" s="124" t="s">
        <v>231</v>
      </c>
      <c r="S4" s="124" t="s">
        <v>231</v>
      </c>
      <c r="T4" s="124" t="s">
        <v>271</v>
      </c>
      <c r="U4" s="124" t="s">
        <v>274</v>
      </c>
      <c r="V4" s="124" t="s">
        <v>274</v>
      </c>
      <c r="W4" s="124" t="s">
        <v>230</v>
      </c>
      <c r="X4" s="124" t="s">
        <v>231</v>
      </c>
      <c r="Y4" s="124" t="s">
        <v>231</v>
      </c>
      <c r="Z4" s="124" t="s">
        <v>271</v>
      </c>
      <c r="AA4" s="124" t="s">
        <v>271</v>
      </c>
      <c r="AB4" s="124" t="s">
        <v>274</v>
      </c>
      <c r="AC4" s="124" t="s">
        <v>274</v>
      </c>
      <c r="AD4" s="124" t="s">
        <v>274</v>
      </c>
      <c r="AE4" s="124" t="s">
        <v>230</v>
      </c>
      <c r="AF4" s="124" t="s">
        <v>230</v>
      </c>
      <c r="AG4" s="124" t="s">
        <v>231</v>
      </c>
      <c r="AH4" s="124" t="s">
        <v>271</v>
      </c>
      <c r="AI4" s="124" t="s">
        <v>271</v>
      </c>
      <c r="AJ4" s="124" t="s">
        <v>230</v>
      </c>
      <c r="AK4" s="124" t="s">
        <v>231</v>
      </c>
      <c r="AL4" s="124" t="s">
        <v>230</v>
      </c>
    </row>
    <row r="5" spans="2:38" ht="15.75" x14ac:dyDescent="0.25">
      <c r="B5" s="125">
        <v>45994</v>
      </c>
      <c r="C5" s="124" t="s">
        <v>231</v>
      </c>
      <c r="D5" s="124" t="s">
        <v>271</v>
      </c>
      <c r="E5" s="124" t="s">
        <v>274</v>
      </c>
      <c r="F5" s="124" t="s">
        <v>274</v>
      </c>
      <c r="G5" s="124" t="s">
        <v>274</v>
      </c>
      <c r="H5" s="124" t="s">
        <v>230</v>
      </c>
      <c r="I5" s="124" t="s">
        <v>231</v>
      </c>
      <c r="J5" s="124" t="s">
        <v>231</v>
      </c>
      <c r="K5" s="124" t="s">
        <v>271</v>
      </c>
      <c r="L5" s="124" t="s">
        <v>271</v>
      </c>
      <c r="M5" s="124" t="s">
        <v>274</v>
      </c>
      <c r="N5" s="124" t="s">
        <v>274</v>
      </c>
      <c r="O5" s="124" t="s">
        <v>274</v>
      </c>
      <c r="P5" s="124" t="s">
        <v>230</v>
      </c>
      <c r="Q5" s="124" t="s">
        <v>230</v>
      </c>
      <c r="R5" s="124" t="s">
        <v>231</v>
      </c>
      <c r="S5" s="124" t="s">
        <v>271</v>
      </c>
      <c r="T5" s="124" t="s">
        <v>274</v>
      </c>
      <c r="U5" s="124" t="s">
        <v>274</v>
      </c>
      <c r="V5" s="124" t="s">
        <v>230</v>
      </c>
      <c r="W5" s="124" t="s">
        <v>231</v>
      </c>
      <c r="X5" s="124" t="s">
        <v>231</v>
      </c>
      <c r="Y5" s="124" t="s">
        <v>271</v>
      </c>
      <c r="Z5" s="124" t="s">
        <v>271</v>
      </c>
      <c r="AA5" s="124" t="s">
        <v>274</v>
      </c>
      <c r="AB5" s="124" t="s">
        <v>274</v>
      </c>
      <c r="AC5" s="124" t="s">
        <v>274</v>
      </c>
      <c r="AD5" s="124" t="s">
        <v>230</v>
      </c>
      <c r="AE5" s="124" t="s">
        <v>230</v>
      </c>
      <c r="AF5" s="124" t="s">
        <v>231</v>
      </c>
      <c r="AG5" s="124" t="s">
        <v>271</v>
      </c>
      <c r="AH5" s="124" t="s">
        <v>271</v>
      </c>
      <c r="AI5" s="124" t="s">
        <v>274</v>
      </c>
      <c r="AJ5" s="124" t="s">
        <v>231</v>
      </c>
      <c r="AK5" s="124" t="s">
        <v>230</v>
      </c>
      <c r="AL5" s="124" t="s">
        <v>230</v>
      </c>
    </row>
    <row r="6" spans="2:38" ht="15.75" x14ac:dyDescent="0.25">
      <c r="B6" s="125">
        <v>45995</v>
      </c>
      <c r="C6" s="124" t="s">
        <v>231</v>
      </c>
      <c r="D6" s="124" t="s">
        <v>274</v>
      </c>
      <c r="E6" s="124" t="s">
        <v>274</v>
      </c>
      <c r="F6" s="124" t="s">
        <v>274</v>
      </c>
      <c r="G6" s="124" t="s">
        <v>230</v>
      </c>
      <c r="H6" s="124" t="s">
        <v>231</v>
      </c>
      <c r="I6" s="124" t="s">
        <v>231</v>
      </c>
      <c r="J6" s="124" t="s">
        <v>271</v>
      </c>
      <c r="K6" s="124" t="s">
        <v>271</v>
      </c>
      <c r="L6" s="124" t="s">
        <v>274</v>
      </c>
      <c r="M6" s="124" t="s">
        <v>274</v>
      </c>
      <c r="N6" s="124" t="s">
        <v>274</v>
      </c>
      <c r="O6" s="124" t="s">
        <v>230</v>
      </c>
      <c r="P6" s="124" t="s">
        <v>230</v>
      </c>
      <c r="Q6" s="124" t="s">
        <v>231</v>
      </c>
      <c r="R6" s="124" t="s">
        <v>271</v>
      </c>
      <c r="S6" s="124" t="s">
        <v>271</v>
      </c>
      <c r="T6" s="124" t="s">
        <v>274</v>
      </c>
      <c r="U6" s="124" t="s">
        <v>274</v>
      </c>
      <c r="V6" s="124" t="s">
        <v>231</v>
      </c>
      <c r="W6" s="124" t="s">
        <v>231</v>
      </c>
      <c r="X6" s="124" t="s">
        <v>271</v>
      </c>
      <c r="Y6" s="124" t="s">
        <v>271</v>
      </c>
      <c r="Z6" s="124" t="s">
        <v>274</v>
      </c>
      <c r="AA6" s="124" t="s">
        <v>274</v>
      </c>
      <c r="AB6" s="124" t="s">
        <v>274</v>
      </c>
      <c r="AC6" s="124" t="s">
        <v>230</v>
      </c>
      <c r="AD6" s="124" t="s">
        <v>230</v>
      </c>
      <c r="AE6" s="124" t="s">
        <v>231</v>
      </c>
      <c r="AF6" s="124" t="s">
        <v>271</v>
      </c>
      <c r="AG6" s="124" t="s">
        <v>271</v>
      </c>
      <c r="AH6" s="124" t="s">
        <v>274</v>
      </c>
      <c r="AI6" s="124" t="s">
        <v>274</v>
      </c>
      <c r="AJ6" s="124" t="s">
        <v>231</v>
      </c>
      <c r="AK6" s="124" t="s">
        <v>230</v>
      </c>
      <c r="AL6" s="124" t="s">
        <v>274</v>
      </c>
    </row>
    <row r="7" spans="2:38" ht="15.75" x14ac:dyDescent="0.25">
      <c r="B7" s="125">
        <v>45996</v>
      </c>
      <c r="C7" s="124" t="s">
        <v>271</v>
      </c>
      <c r="D7" s="124" t="s">
        <v>274</v>
      </c>
      <c r="E7" s="124" t="s">
        <v>274</v>
      </c>
      <c r="F7" s="124" t="s">
        <v>230</v>
      </c>
      <c r="G7" s="124" t="s">
        <v>231</v>
      </c>
      <c r="H7" s="124" t="s">
        <v>231</v>
      </c>
      <c r="I7" s="124" t="s">
        <v>271</v>
      </c>
      <c r="J7" s="124" t="s">
        <v>271</v>
      </c>
      <c r="K7" s="124" t="s">
        <v>274</v>
      </c>
      <c r="L7" s="124" t="s">
        <v>274</v>
      </c>
      <c r="M7" s="124" t="s">
        <v>274</v>
      </c>
      <c r="N7" s="124" t="s">
        <v>230</v>
      </c>
      <c r="O7" s="124" t="s">
        <v>230</v>
      </c>
      <c r="P7" s="124" t="s">
        <v>231</v>
      </c>
      <c r="Q7" s="124" t="s">
        <v>271</v>
      </c>
      <c r="R7" s="124" t="s">
        <v>271</v>
      </c>
      <c r="S7" s="124" t="s">
        <v>274</v>
      </c>
      <c r="T7" s="124" t="s">
        <v>274</v>
      </c>
      <c r="U7" s="124" t="s">
        <v>230</v>
      </c>
      <c r="V7" s="124" t="s">
        <v>231</v>
      </c>
      <c r="W7" s="124" t="s">
        <v>271</v>
      </c>
      <c r="X7" s="124" t="s">
        <v>271</v>
      </c>
      <c r="Y7" s="124" t="s">
        <v>274</v>
      </c>
      <c r="Z7" s="124" t="s">
        <v>274</v>
      </c>
      <c r="AA7" s="124" t="s">
        <v>274</v>
      </c>
      <c r="AB7" s="124" t="s">
        <v>230</v>
      </c>
      <c r="AC7" s="124" t="s">
        <v>230</v>
      </c>
      <c r="AD7" s="124" t="s">
        <v>231</v>
      </c>
      <c r="AE7" s="124" t="s">
        <v>271</v>
      </c>
      <c r="AF7" s="124" t="s">
        <v>271</v>
      </c>
      <c r="AG7" s="124" t="s">
        <v>274</v>
      </c>
      <c r="AH7" s="124" t="s">
        <v>274</v>
      </c>
      <c r="AI7" s="124" t="s">
        <v>274</v>
      </c>
      <c r="AJ7" s="124" t="s">
        <v>274</v>
      </c>
      <c r="AK7" s="124" t="s">
        <v>274</v>
      </c>
      <c r="AL7" s="124" t="s">
        <v>274</v>
      </c>
    </row>
    <row r="8" spans="2:38" ht="15.75" x14ac:dyDescent="0.25">
      <c r="B8" s="125">
        <v>45997</v>
      </c>
      <c r="C8" s="124" t="s">
        <v>271</v>
      </c>
      <c r="D8" s="124" t="s">
        <v>274</v>
      </c>
      <c r="E8" s="124" t="s">
        <v>230</v>
      </c>
      <c r="F8" s="124" t="s">
        <v>231</v>
      </c>
      <c r="G8" s="124" t="s">
        <v>271</v>
      </c>
      <c r="H8" s="124" t="s">
        <v>271</v>
      </c>
      <c r="I8" s="124" t="s">
        <v>271</v>
      </c>
      <c r="J8" s="124" t="s">
        <v>274</v>
      </c>
      <c r="K8" s="124" t="s">
        <v>274</v>
      </c>
      <c r="L8" s="124" t="s">
        <v>274</v>
      </c>
      <c r="M8" s="124" t="s">
        <v>230</v>
      </c>
      <c r="N8" s="124" t="s">
        <v>231</v>
      </c>
      <c r="O8" s="124" t="s">
        <v>231</v>
      </c>
      <c r="P8" s="124" t="s">
        <v>271</v>
      </c>
      <c r="Q8" s="124" t="s">
        <v>271</v>
      </c>
      <c r="R8" s="124" t="s">
        <v>274</v>
      </c>
      <c r="S8" s="124" t="s">
        <v>274</v>
      </c>
      <c r="T8" s="124" t="s">
        <v>230</v>
      </c>
      <c r="U8" s="124" t="s">
        <v>231</v>
      </c>
      <c r="V8" s="124" t="s">
        <v>271</v>
      </c>
      <c r="W8" s="124" t="s">
        <v>271</v>
      </c>
      <c r="X8" s="124" t="s">
        <v>274</v>
      </c>
      <c r="Y8" s="124" t="s">
        <v>274</v>
      </c>
      <c r="Z8" s="124" t="s">
        <v>274</v>
      </c>
      <c r="AA8" s="124" t="s">
        <v>230</v>
      </c>
      <c r="AB8" s="124" t="s">
        <v>231</v>
      </c>
      <c r="AC8" s="124" t="s">
        <v>231</v>
      </c>
      <c r="AD8" s="124" t="s">
        <v>271</v>
      </c>
      <c r="AE8" s="124" t="s">
        <v>271</v>
      </c>
      <c r="AF8" s="124" t="s">
        <v>274</v>
      </c>
      <c r="AG8" s="124" t="s">
        <v>274</v>
      </c>
      <c r="AH8" s="124" t="s">
        <v>274</v>
      </c>
      <c r="AI8" s="124" t="s">
        <v>230</v>
      </c>
      <c r="AJ8" s="124" t="s">
        <v>274</v>
      </c>
      <c r="AK8" s="124" t="s">
        <v>274</v>
      </c>
      <c r="AL8" s="124" t="s">
        <v>240</v>
      </c>
    </row>
    <row r="9" spans="2:38" ht="15.75" x14ac:dyDescent="0.25">
      <c r="B9" s="125">
        <v>45998</v>
      </c>
      <c r="C9" s="124" t="s">
        <v>274</v>
      </c>
      <c r="D9" s="124" t="s">
        <v>230</v>
      </c>
      <c r="E9" s="124" t="s">
        <v>231</v>
      </c>
      <c r="F9" s="124" t="s">
        <v>231</v>
      </c>
      <c r="G9" s="124" t="s">
        <v>271</v>
      </c>
      <c r="H9" s="124" t="s">
        <v>271</v>
      </c>
      <c r="I9" s="124" t="s">
        <v>274</v>
      </c>
      <c r="J9" s="124" t="s">
        <v>274</v>
      </c>
      <c r="K9" s="124" t="s">
        <v>274</v>
      </c>
      <c r="L9" s="124" t="s">
        <v>230</v>
      </c>
      <c r="M9" s="124" t="s">
        <v>231</v>
      </c>
      <c r="N9" s="124" t="s">
        <v>231</v>
      </c>
      <c r="O9" s="124" t="s">
        <v>271</v>
      </c>
      <c r="P9" s="124" t="s">
        <v>271</v>
      </c>
      <c r="Q9" s="124" t="s">
        <v>274</v>
      </c>
      <c r="R9" s="124" t="s">
        <v>274</v>
      </c>
      <c r="S9" s="124" t="s">
        <v>274</v>
      </c>
      <c r="T9" s="124" t="s">
        <v>230</v>
      </c>
      <c r="U9" s="124" t="s">
        <v>231</v>
      </c>
      <c r="V9" s="124" t="s">
        <v>271</v>
      </c>
      <c r="W9" s="124" t="s">
        <v>274</v>
      </c>
      <c r="X9" s="124" t="s">
        <v>274</v>
      </c>
      <c r="Y9" s="124" t="s">
        <v>274</v>
      </c>
      <c r="Z9" s="124" t="s">
        <v>230</v>
      </c>
      <c r="AA9" s="124" t="s">
        <v>231</v>
      </c>
      <c r="AB9" s="124" t="s">
        <v>271</v>
      </c>
      <c r="AC9" s="124" t="s">
        <v>271</v>
      </c>
      <c r="AD9" s="124" t="s">
        <v>271</v>
      </c>
      <c r="AE9" s="124" t="s">
        <v>274</v>
      </c>
      <c r="AF9" s="124" t="s">
        <v>274</v>
      </c>
      <c r="AG9" s="124" t="s">
        <v>274</v>
      </c>
      <c r="AH9" s="124" t="s">
        <v>230</v>
      </c>
      <c r="AI9" s="124" t="s">
        <v>230</v>
      </c>
      <c r="AJ9" s="124" t="s">
        <v>230</v>
      </c>
      <c r="AK9" s="124" t="s">
        <v>231</v>
      </c>
      <c r="AL9" s="124" t="s">
        <v>240</v>
      </c>
    </row>
    <row r="10" spans="2:38" ht="15.75" x14ac:dyDescent="0.25">
      <c r="B10" s="125">
        <v>45999</v>
      </c>
      <c r="C10" s="124" t="s">
        <v>274</v>
      </c>
      <c r="D10" s="124" t="s">
        <v>230</v>
      </c>
      <c r="E10" s="124" t="s">
        <v>231</v>
      </c>
      <c r="F10" s="124" t="s">
        <v>271</v>
      </c>
      <c r="G10" s="124" t="s">
        <v>271</v>
      </c>
      <c r="H10" s="124" t="s">
        <v>274</v>
      </c>
      <c r="I10" s="124" t="s">
        <v>274</v>
      </c>
      <c r="J10" s="124" t="s">
        <v>274</v>
      </c>
      <c r="K10" s="124" t="s">
        <v>230</v>
      </c>
      <c r="L10" s="124" t="s">
        <v>231</v>
      </c>
      <c r="M10" s="124" t="s">
        <v>231</v>
      </c>
      <c r="N10" s="124" t="s">
        <v>271</v>
      </c>
      <c r="O10" s="124" t="s">
        <v>271</v>
      </c>
      <c r="P10" s="124" t="s">
        <v>274</v>
      </c>
      <c r="Q10" s="124" t="s">
        <v>274</v>
      </c>
      <c r="R10" s="124" t="s">
        <v>274</v>
      </c>
      <c r="S10" s="124" t="s">
        <v>230</v>
      </c>
      <c r="T10" s="124" t="s">
        <v>231</v>
      </c>
      <c r="U10" s="124" t="s">
        <v>271</v>
      </c>
      <c r="V10" s="124" t="s">
        <v>274</v>
      </c>
      <c r="W10" s="124" t="s">
        <v>274</v>
      </c>
      <c r="X10" s="124" t="s">
        <v>274</v>
      </c>
      <c r="Y10" s="124" t="s">
        <v>230</v>
      </c>
      <c r="Z10" s="124" t="s">
        <v>231</v>
      </c>
      <c r="AA10" s="124" t="s">
        <v>231</v>
      </c>
      <c r="AB10" s="124" t="s">
        <v>271</v>
      </c>
      <c r="AC10" s="124" t="s">
        <v>271</v>
      </c>
      <c r="AD10" s="124" t="s">
        <v>274</v>
      </c>
      <c r="AE10" s="124" t="s">
        <v>274</v>
      </c>
      <c r="AF10" s="124" t="s">
        <v>274</v>
      </c>
      <c r="AG10" s="124" t="s">
        <v>230</v>
      </c>
      <c r="AH10" s="124" t="s">
        <v>231</v>
      </c>
      <c r="AI10" s="124" t="s">
        <v>231</v>
      </c>
      <c r="AJ10" s="124" t="s">
        <v>230</v>
      </c>
      <c r="AK10" s="124" t="s">
        <v>231</v>
      </c>
      <c r="AL10" s="124" t="s">
        <v>240</v>
      </c>
    </row>
    <row r="11" spans="2:38" ht="15.75" x14ac:dyDescent="0.25">
      <c r="B11" s="125">
        <v>46000</v>
      </c>
      <c r="C11" s="124" t="s">
        <v>274</v>
      </c>
      <c r="D11" s="124" t="s">
        <v>231</v>
      </c>
      <c r="E11" s="124" t="s">
        <v>271</v>
      </c>
      <c r="F11" s="124" t="s">
        <v>271</v>
      </c>
      <c r="G11" s="124" t="s">
        <v>274</v>
      </c>
      <c r="H11" s="124" t="s">
        <v>274</v>
      </c>
      <c r="I11" s="124" t="s">
        <v>274</v>
      </c>
      <c r="J11" s="124" t="s">
        <v>230</v>
      </c>
      <c r="K11" s="124" t="s">
        <v>231</v>
      </c>
      <c r="L11" s="124" t="s">
        <v>231</v>
      </c>
      <c r="M11" s="124" t="s">
        <v>271</v>
      </c>
      <c r="N11" s="124" t="s">
        <v>271</v>
      </c>
      <c r="O11" s="124" t="s">
        <v>274</v>
      </c>
      <c r="P11" s="124" t="s">
        <v>274</v>
      </c>
      <c r="Q11" s="124" t="s">
        <v>274</v>
      </c>
      <c r="R11" s="124" t="s">
        <v>230</v>
      </c>
      <c r="S11" s="124" t="s">
        <v>231</v>
      </c>
      <c r="T11" s="124" t="s">
        <v>271</v>
      </c>
      <c r="U11" s="124" t="s">
        <v>271</v>
      </c>
      <c r="V11" s="124" t="s">
        <v>274</v>
      </c>
      <c r="W11" s="124" t="s">
        <v>274</v>
      </c>
      <c r="X11" s="124" t="s">
        <v>230</v>
      </c>
      <c r="Y11" s="124" t="s">
        <v>231</v>
      </c>
      <c r="Z11" s="124" t="s">
        <v>231</v>
      </c>
      <c r="AA11" s="124" t="s">
        <v>271</v>
      </c>
      <c r="AB11" s="124" t="s">
        <v>271</v>
      </c>
      <c r="AC11" s="124" t="s">
        <v>274</v>
      </c>
      <c r="AD11" s="124" t="s">
        <v>274</v>
      </c>
      <c r="AE11" s="124" t="s">
        <v>274</v>
      </c>
      <c r="AF11" s="124" t="s">
        <v>230</v>
      </c>
      <c r="AG11" s="124" t="s">
        <v>230</v>
      </c>
      <c r="AH11" s="124" t="s">
        <v>231</v>
      </c>
      <c r="AI11" s="124" t="s">
        <v>271</v>
      </c>
      <c r="AJ11" s="124" t="s">
        <v>230</v>
      </c>
      <c r="AK11" s="124" t="s">
        <v>231</v>
      </c>
      <c r="AL11" s="124" t="s">
        <v>230</v>
      </c>
    </row>
    <row r="12" spans="2:38" ht="15.75" x14ac:dyDescent="0.25">
      <c r="B12" s="125">
        <v>46001</v>
      </c>
      <c r="C12" s="124" t="s">
        <v>230</v>
      </c>
      <c r="D12" s="124" t="s">
        <v>231</v>
      </c>
      <c r="E12" s="124" t="s">
        <v>271</v>
      </c>
      <c r="F12" s="124" t="s">
        <v>274</v>
      </c>
      <c r="G12" s="124" t="s">
        <v>274</v>
      </c>
      <c r="H12" s="124" t="s">
        <v>274</v>
      </c>
      <c r="I12" s="124" t="s">
        <v>230</v>
      </c>
      <c r="J12" s="124" t="s">
        <v>230</v>
      </c>
      <c r="K12" s="124" t="s">
        <v>231</v>
      </c>
      <c r="L12" s="124" t="s">
        <v>271</v>
      </c>
      <c r="M12" s="124" t="s">
        <v>271</v>
      </c>
      <c r="N12" s="124" t="s">
        <v>274</v>
      </c>
      <c r="O12" s="124" t="s">
        <v>274</v>
      </c>
      <c r="P12" s="124" t="s">
        <v>274</v>
      </c>
      <c r="Q12" s="124" t="s">
        <v>230</v>
      </c>
      <c r="R12" s="124" t="s">
        <v>230</v>
      </c>
      <c r="S12" s="124" t="s">
        <v>231</v>
      </c>
      <c r="T12" s="124" t="s">
        <v>271</v>
      </c>
      <c r="U12" s="124" t="s">
        <v>274</v>
      </c>
      <c r="V12" s="124" t="s">
        <v>274</v>
      </c>
      <c r="W12" s="124" t="s">
        <v>230</v>
      </c>
      <c r="X12" s="124" t="s">
        <v>231</v>
      </c>
      <c r="Y12" s="124" t="s">
        <v>231</v>
      </c>
      <c r="Z12" s="124" t="s">
        <v>271</v>
      </c>
      <c r="AA12" s="124" t="s">
        <v>271</v>
      </c>
      <c r="AB12" s="124" t="s">
        <v>274</v>
      </c>
      <c r="AC12" s="124" t="s">
        <v>274</v>
      </c>
      <c r="AD12" s="124" t="s">
        <v>274</v>
      </c>
      <c r="AE12" s="124" t="s">
        <v>230</v>
      </c>
      <c r="AF12" s="124" t="s">
        <v>231</v>
      </c>
      <c r="AG12" s="124" t="s">
        <v>231</v>
      </c>
      <c r="AH12" s="124" t="s">
        <v>271</v>
      </c>
      <c r="AI12" s="124" t="s">
        <v>271</v>
      </c>
      <c r="AJ12" s="124" t="s">
        <v>231</v>
      </c>
      <c r="AK12" s="124" t="s">
        <v>230</v>
      </c>
      <c r="AL12" s="124" t="s">
        <v>230</v>
      </c>
    </row>
    <row r="13" spans="2:38" ht="15.75" x14ac:dyDescent="0.25">
      <c r="B13" s="125">
        <v>46002</v>
      </c>
      <c r="C13" s="124" t="s">
        <v>230</v>
      </c>
      <c r="D13" s="124" t="s">
        <v>271</v>
      </c>
      <c r="E13" s="124" t="s">
        <v>274</v>
      </c>
      <c r="F13" s="124" t="s">
        <v>274</v>
      </c>
      <c r="G13" s="124" t="s">
        <v>274</v>
      </c>
      <c r="H13" s="124" t="s">
        <v>230</v>
      </c>
      <c r="I13" s="124" t="s">
        <v>230</v>
      </c>
      <c r="J13" s="124" t="s">
        <v>231</v>
      </c>
      <c r="K13" s="124" t="s">
        <v>231</v>
      </c>
      <c r="L13" s="124" t="s">
        <v>271</v>
      </c>
      <c r="M13" s="124" t="s">
        <v>274</v>
      </c>
      <c r="N13" s="124" t="s">
        <v>274</v>
      </c>
      <c r="O13" s="124" t="s">
        <v>274</v>
      </c>
      <c r="P13" s="124" t="s">
        <v>230</v>
      </c>
      <c r="Q13" s="124" t="s">
        <v>230</v>
      </c>
      <c r="R13" s="124" t="s">
        <v>231</v>
      </c>
      <c r="S13" s="124" t="s">
        <v>271</v>
      </c>
      <c r="T13" s="124" t="s">
        <v>274</v>
      </c>
      <c r="U13" s="124" t="s">
        <v>274</v>
      </c>
      <c r="V13" s="124" t="s">
        <v>230</v>
      </c>
      <c r="W13" s="124" t="s">
        <v>231</v>
      </c>
      <c r="X13" s="124" t="s">
        <v>231</v>
      </c>
      <c r="Y13" s="124" t="s">
        <v>271</v>
      </c>
      <c r="Z13" s="124" t="s">
        <v>271</v>
      </c>
      <c r="AA13" s="124" t="s">
        <v>274</v>
      </c>
      <c r="AB13" s="124" t="s">
        <v>274</v>
      </c>
      <c r="AC13" s="124" t="s">
        <v>274</v>
      </c>
      <c r="AD13" s="124" t="s">
        <v>230</v>
      </c>
      <c r="AE13" s="124" t="s">
        <v>231</v>
      </c>
      <c r="AF13" s="124" t="s">
        <v>231</v>
      </c>
      <c r="AG13" s="124" t="s">
        <v>271</v>
      </c>
      <c r="AH13" s="124" t="s">
        <v>271</v>
      </c>
      <c r="AI13" s="124" t="s">
        <v>274</v>
      </c>
      <c r="AJ13" s="124" t="s">
        <v>231</v>
      </c>
      <c r="AK13" s="124" t="s">
        <v>230</v>
      </c>
      <c r="AL13" s="124" t="s">
        <v>274</v>
      </c>
    </row>
    <row r="14" spans="2:38" ht="15.75" x14ac:dyDescent="0.25">
      <c r="B14" s="125">
        <v>46003</v>
      </c>
      <c r="C14" s="124" t="s">
        <v>231</v>
      </c>
      <c r="D14" s="124" t="s">
        <v>274</v>
      </c>
      <c r="E14" s="124" t="s">
        <v>274</v>
      </c>
      <c r="F14" s="124" t="s">
        <v>274</v>
      </c>
      <c r="G14" s="124" t="s">
        <v>230</v>
      </c>
      <c r="H14" s="124" t="s">
        <v>231</v>
      </c>
      <c r="I14" s="124" t="s">
        <v>231</v>
      </c>
      <c r="J14" s="124" t="s">
        <v>271</v>
      </c>
      <c r="K14" s="124" t="s">
        <v>271</v>
      </c>
      <c r="L14" s="124" t="s">
        <v>274</v>
      </c>
      <c r="M14" s="124" t="s">
        <v>274</v>
      </c>
      <c r="N14" s="124" t="s">
        <v>274</v>
      </c>
      <c r="O14" s="124" t="s">
        <v>230</v>
      </c>
      <c r="P14" s="124" t="s">
        <v>230</v>
      </c>
      <c r="Q14" s="124" t="s">
        <v>231</v>
      </c>
      <c r="R14" s="124" t="s">
        <v>271</v>
      </c>
      <c r="S14" s="124" t="s">
        <v>271</v>
      </c>
      <c r="T14" s="124" t="s">
        <v>274</v>
      </c>
      <c r="U14" s="124" t="s">
        <v>274</v>
      </c>
      <c r="V14" s="124" t="s">
        <v>231</v>
      </c>
      <c r="W14" s="124" t="s">
        <v>231</v>
      </c>
      <c r="X14" s="124" t="s">
        <v>271</v>
      </c>
      <c r="Y14" s="124" t="s">
        <v>271</v>
      </c>
      <c r="Z14" s="124" t="s">
        <v>274</v>
      </c>
      <c r="AA14" s="124" t="s">
        <v>274</v>
      </c>
      <c r="AB14" s="124" t="s">
        <v>274</v>
      </c>
      <c r="AC14" s="124" t="s">
        <v>230</v>
      </c>
      <c r="AD14" s="124" t="s">
        <v>231</v>
      </c>
      <c r="AE14" s="124" t="s">
        <v>231</v>
      </c>
      <c r="AF14" s="124" t="s">
        <v>271</v>
      </c>
      <c r="AG14" s="124" t="s">
        <v>271</v>
      </c>
      <c r="AH14" s="124" t="s">
        <v>274</v>
      </c>
      <c r="AI14" s="124" t="s">
        <v>274</v>
      </c>
      <c r="AJ14" s="124" t="s">
        <v>274</v>
      </c>
      <c r="AK14" s="124" t="s">
        <v>274</v>
      </c>
      <c r="AL14" s="124" t="s">
        <v>274</v>
      </c>
    </row>
    <row r="15" spans="2:38" ht="15.75" x14ac:dyDescent="0.25">
      <c r="B15" s="125">
        <v>46004</v>
      </c>
      <c r="C15" s="124" t="s">
        <v>271</v>
      </c>
      <c r="D15" s="124" t="s">
        <v>274</v>
      </c>
      <c r="E15" s="124" t="s">
        <v>274</v>
      </c>
      <c r="F15" s="124" t="s">
        <v>230</v>
      </c>
      <c r="G15" s="124" t="s">
        <v>231</v>
      </c>
      <c r="H15" s="124" t="s">
        <v>231</v>
      </c>
      <c r="I15" s="124" t="s">
        <v>271</v>
      </c>
      <c r="J15" s="124" t="s">
        <v>271</v>
      </c>
      <c r="K15" s="124" t="s">
        <v>274</v>
      </c>
      <c r="L15" s="124" t="s">
        <v>274</v>
      </c>
      <c r="M15" s="124" t="s">
        <v>274</v>
      </c>
      <c r="N15" s="124" t="s">
        <v>230</v>
      </c>
      <c r="O15" s="124" t="s">
        <v>230</v>
      </c>
      <c r="P15" s="124" t="s">
        <v>231</v>
      </c>
      <c r="Q15" s="124" t="s">
        <v>271</v>
      </c>
      <c r="R15" s="124" t="s">
        <v>271</v>
      </c>
      <c r="S15" s="124" t="s">
        <v>274</v>
      </c>
      <c r="T15" s="124" t="s">
        <v>274</v>
      </c>
      <c r="U15" s="124" t="s">
        <v>230</v>
      </c>
      <c r="V15" s="124" t="s">
        <v>231</v>
      </c>
      <c r="W15" s="124" t="s">
        <v>271</v>
      </c>
      <c r="X15" s="124" t="s">
        <v>271</v>
      </c>
      <c r="Y15" s="124" t="s">
        <v>274</v>
      </c>
      <c r="Z15" s="124" t="s">
        <v>274</v>
      </c>
      <c r="AA15" s="124" t="s">
        <v>274</v>
      </c>
      <c r="AB15" s="124" t="s">
        <v>230</v>
      </c>
      <c r="AC15" s="124" t="s">
        <v>231</v>
      </c>
      <c r="AD15" s="124" t="s">
        <v>231</v>
      </c>
      <c r="AE15" s="124" t="s">
        <v>271</v>
      </c>
      <c r="AF15" s="124" t="s">
        <v>271</v>
      </c>
      <c r="AG15" s="124" t="s">
        <v>274</v>
      </c>
      <c r="AH15" s="124" t="s">
        <v>274</v>
      </c>
      <c r="AI15" s="124" t="s">
        <v>274</v>
      </c>
      <c r="AJ15" s="124" t="s">
        <v>274</v>
      </c>
      <c r="AK15" s="124" t="s">
        <v>274</v>
      </c>
      <c r="AL15" s="124" t="s">
        <v>240</v>
      </c>
    </row>
    <row r="16" spans="2:38" ht="15.75" x14ac:dyDescent="0.25">
      <c r="B16" s="125">
        <v>46005</v>
      </c>
      <c r="C16" s="124" t="s">
        <v>271</v>
      </c>
      <c r="D16" s="124" t="s">
        <v>274</v>
      </c>
      <c r="E16" s="124" t="s">
        <v>230</v>
      </c>
      <c r="F16" s="124" t="s">
        <v>231</v>
      </c>
      <c r="G16" s="124" t="s">
        <v>231</v>
      </c>
      <c r="H16" s="124" t="s">
        <v>271</v>
      </c>
      <c r="I16" s="124" t="s">
        <v>271</v>
      </c>
      <c r="J16" s="124" t="s">
        <v>274</v>
      </c>
      <c r="K16" s="124" t="s">
        <v>274</v>
      </c>
      <c r="L16" s="124" t="s">
        <v>274</v>
      </c>
      <c r="M16" s="124" t="s">
        <v>230</v>
      </c>
      <c r="N16" s="124" t="s">
        <v>231</v>
      </c>
      <c r="O16" s="124" t="s">
        <v>231</v>
      </c>
      <c r="P16" s="124" t="s">
        <v>271</v>
      </c>
      <c r="Q16" s="124" t="s">
        <v>271</v>
      </c>
      <c r="R16" s="124" t="s">
        <v>274</v>
      </c>
      <c r="S16" s="124" t="s">
        <v>274</v>
      </c>
      <c r="T16" s="124" t="s">
        <v>230</v>
      </c>
      <c r="U16" s="124" t="s">
        <v>231</v>
      </c>
      <c r="V16" s="124" t="s">
        <v>271</v>
      </c>
      <c r="W16" s="124" t="s">
        <v>271</v>
      </c>
      <c r="X16" s="124" t="s">
        <v>274</v>
      </c>
      <c r="Y16" s="124" t="s">
        <v>274</v>
      </c>
      <c r="Z16" s="124" t="s">
        <v>274</v>
      </c>
      <c r="AA16" s="124" t="s">
        <v>230</v>
      </c>
      <c r="AB16" s="124" t="s">
        <v>231</v>
      </c>
      <c r="AC16" s="124" t="s">
        <v>231</v>
      </c>
      <c r="AD16" s="124" t="s">
        <v>271</v>
      </c>
      <c r="AE16" s="124" t="s">
        <v>271</v>
      </c>
      <c r="AF16" s="124" t="s">
        <v>274</v>
      </c>
      <c r="AG16" s="124" t="s">
        <v>274</v>
      </c>
      <c r="AH16" s="124" t="s">
        <v>274</v>
      </c>
      <c r="AI16" s="124" t="s">
        <v>230</v>
      </c>
      <c r="AJ16" s="124" t="s">
        <v>230</v>
      </c>
      <c r="AK16" s="124" t="s">
        <v>231</v>
      </c>
      <c r="AL16" s="124" t="s">
        <v>240</v>
      </c>
    </row>
    <row r="17" spans="2:38" ht="15.75" x14ac:dyDescent="0.25">
      <c r="B17" s="125">
        <v>46006</v>
      </c>
      <c r="C17" s="124" t="s">
        <v>274</v>
      </c>
      <c r="D17" s="124" t="s">
        <v>230</v>
      </c>
      <c r="E17" s="124" t="s">
        <v>231</v>
      </c>
      <c r="F17" s="124" t="s">
        <v>231</v>
      </c>
      <c r="G17" s="124" t="s">
        <v>271</v>
      </c>
      <c r="H17" s="124" t="s">
        <v>271</v>
      </c>
      <c r="I17" s="124" t="s">
        <v>274</v>
      </c>
      <c r="J17" s="124" t="s">
        <v>274</v>
      </c>
      <c r="K17" s="124" t="s">
        <v>274</v>
      </c>
      <c r="L17" s="124" t="s">
        <v>230</v>
      </c>
      <c r="M17" s="124" t="s">
        <v>231</v>
      </c>
      <c r="N17" s="124" t="s">
        <v>231</v>
      </c>
      <c r="O17" s="124" t="s">
        <v>271</v>
      </c>
      <c r="P17" s="124" t="s">
        <v>271</v>
      </c>
      <c r="Q17" s="124" t="s">
        <v>274</v>
      </c>
      <c r="R17" s="124" t="s">
        <v>274</v>
      </c>
      <c r="S17" s="124" t="s">
        <v>274</v>
      </c>
      <c r="T17" s="124" t="s">
        <v>231</v>
      </c>
      <c r="U17" s="124" t="s">
        <v>271</v>
      </c>
      <c r="V17" s="124" t="s">
        <v>271</v>
      </c>
      <c r="W17" s="124" t="s">
        <v>274</v>
      </c>
      <c r="X17" s="124" t="s">
        <v>274</v>
      </c>
      <c r="Y17" s="124" t="s">
        <v>274</v>
      </c>
      <c r="Z17" s="124" t="s">
        <v>230</v>
      </c>
      <c r="AA17" s="124" t="s">
        <v>230</v>
      </c>
      <c r="AB17" s="124" t="s">
        <v>231</v>
      </c>
      <c r="AC17" s="124" t="s">
        <v>271</v>
      </c>
      <c r="AD17" s="124" t="s">
        <v>271</v>
      </c>
      <c r="AE17" s="124" t="s">
        <v>274</v>
      </c>
      <c r="AF17" s="124" t="s">
        <v>274</v>
      </c>
      <c r="AG17" s="124" t="s">
        <v>274</v>
      </c>
      <c r="AH17" s="124" t="s">
        <v>230</v>
      </c>
      <c r="AI17" s="124" t="s">
        <v>230</v>
      </c>
      <c r="AJ17" s="124" t="s">
        <v>230</v>
      </c>
      <c r="AK17" s="124" t="s">
        <v>231</v>
      </c>
      <c r="AL17" s="124" t="s">
        <v>240</v>
      </c>
    </row>
    <row r="18" spans="2:38" ht="15.75" x14ac:dyDescent="0.25">
      <c r="B18" s="125">
        <v>46007</v>
      </c>
      <c r="C18" s="124" t="s">
        <v>274</v>
      </c>
      <c r="D18" s="124" t="s">
        <v>230</v>
      </c>
      <c r="E18" s="124" t="s">
        <v>271</v>
      </c>
      <c r="F18" s="124" t="s">
        <v>271</v>
      </c>
      <c r="G18" s="124" t="s">
        <v>271</v>
      </c>
      <c r="H18" s="124" t="s">
        <v>274</v>
      </c>
      <c r="I18" s="124" t="s">
        <v>274</v>
      </c>
      <c r="J18" s="124" t="s">
        <v>274</v>
      </c>
      <c r="K18" s="124" t="s">
        <v>230</v>
      </c>
      <c r="L18" s="124" t="s">
        <v>231</v>
      </c>
      <c r="M18" s="124" t="s">
        <v>231</v>
      </c>
      <c r="N18" s="124" t="s">
        <v>271</v>
      </c>
      <c r="O18" s="124" t="s">
        <v>271</v>
      </c>
      <c r="P18" s="124" t="s">
        <v>274</v>
      </c>
      <c r="Q18" s="124" t="s">
        <v>274</v>
      </c>
      <c r="R18" s="124" t="s">
        <v>274</v>
      </c>
      <c r="S18" s="124" t="s">
        <v>230</v>
      </c>
      <c r="T18" s="124" t="s">
        <v>231</v>
      </c>
      <c r="U18" s="124" t="s">
        <v>271</v>
      </c>
      <c r="V18" s="124" t="s">
        <v>274</v>
      </c>
      <c r="W18" s="124" t="s">
        <v>274</v>
      </c>
      <c r="X18" s="124" t="s">
        <v>274</v>
      </c>
      <c r="Y18" s="124" t="s">
        <v>230</v>
      </c>
      <c r="Z18" s="124" t="s">
        <v>230</v>
      </c>
      <c r="AA18" s="124" t="s">
        <v>231</v>
      </c>
      <c r="AB18" s="124" t="s">
        <v>271</v>
      </c>
      <c r="AC18" s="124" t="s">
        <v>271</v>
      </c>
      <c r="AD18" s="124" t="s">
        <v>274</v>
      </c>
      <c r="AE18" s="124" t="s">
        <v>274</v>
      </c>
      <c r="AF18" s="124" t="s">
        <v>274</v>
      </c>
      <c r="AG18" s="124" t="s">
        <v>230</v>
      </c>
      <c r="AH18" s="124" t="s">
        <v>231</v>
      </c>
      <c r="AI18" s="124" t="s">
        <v>231</v>
      </c>
      <c r="AJ18" s="124" t="s">
        <v>230</v>
      </c>
      <c r="AK18" s="124" t="s">
        <v>231</v>
      </c>
      <c r="AL18" s="124" t="s">
        <v>230</v>
      </c>
    </row>
    <row r="19" spans="2:38" ht="15.75" x14ac:dyDescent="0.25">
      <c r="B19" s="125">
        <v>46008</v>
      </c>
      <c r="C19" s="124" t="s">
        <v>274</v>
      </c>
      <c r="D19" s="124" t="s">
        <v>231</v>
      </c>
      <c r="E19" s="124" t="s">
        <v>271</v>
      </c>
      <c r="F19" s="124" t="s">
        <v>271</v>
      </c>
      <c r="G19" s="124" t="s">
        <v>274</v>
      </c>
      <c r="H19" s="124" t="s">
        <v>274</v>
      </c>
      <c r="I19" s="124" t="s">
        <v>274</v>
      </c>
      <c r="J19" s="124" t="s">
        <v>230</v>
      </c>
      <c r="K19" s="124" t="s">
        <v>231</v>
      </c>
      <c r="L19" s="124" t="s">
        <v>231</v>
      </c>
      <c r="M19" s="124" t="s">
        <v>231</v>
      </c>
      <c r="N19" s="124" t="s">
        <v>271</v>
      </c>
      <c r="O19" s="124" t="s">
        <v>274</v>
      </c>
      <c r="P19" s="124" t="s">
        <v>274</v>
      </c>
      <c r="Q19" s="124" t="s">
        <v>274</v>
      </c>
      <c r="R19" s="124" t="s">
        <v>230</v>
      </c>
      <c r="S19" s="124" t="s">
        <v>231</v>
      </c>
      <c r="T19" s="124" t="s">
        <v>271</v>
      </c>
      <c r="U19" s="124" t="s">
        <v>271</v>
      </c>
      <c r="V19" s="124" t="s">
        <v>274</v>
      </c>
      <c r="W19" s="124" t="s">
        <v>274</v>
      </c>
      <c r="X19" s="124" t="s">
        <v>230</v>
      </c>
      <c r="Y19" s="124" t="s">
        <v>230</v>
      </c>
      <c r="Z19" s="124" t="s">
        <v>231</v>
      </c>
      <c r="AA19" s="124" t="s">
        <v>271</v>
      </c>
      <c r="AB19" s="124" t="s">
        <v>271</v>
      </c>
      <c r="AC19" s="124" t="s">
        <v>274</v>
      </c>
      <c r="AD19" s="124" t="s">
        <v>274</v>
      </c>
      <c r="AE19" s="124" t="s">
        <v>274</v>
      </c>
      <c r="AF19" s="124" t="s">
        <v>230</v>
      </c>
      <c r="AG19" s="124" t="s">
        <v>230</v>
      </c>
      <c r="AH19" s="124" t="s">
        <v>231</v>
      </c>
      <c r="AI19" s="124" t="s">
        <v>271</v>
      </c>
      <c r="AJ19" s="124" t="s">
        <v>231</v>
      </c>
      <c r="AK19" s="124" t="s">
        <v>230</v>
      </c>
      <c r="AL19" s="124" t="s">
        <v>230</v>
      </c>
    </row>
    <row r="20" spans="2:38" ht="15.75" x14ac:dyDescent="0.25">
      <c r="B20" s="125">
        <v>46009</v>
      </c>
      <c r="C20" s="124" t="s">
        <v>230</v>
      </c>
      <c r="D20" s="124" t="s">
        <v>231</v>
      </c>
      <c r="E20" s="124" t="s">
        <v>271</v>
      </c>
      <c r="F20" s="124" t="s">
        <v>274</v>
      </c>
      <c r="G20" s="124" t="s">
        <v>274</v>
      </c>
      <c r="H20" s="124" t="s">
        <v>274</v>
      </c>
      <c r="I20" s="124" t="s">
        <v>230</v>
      </c>
      <c r="J20" s="124" t="s">
        <v>231</v>
      </c>
      <c r="K20" s="124" t="s">
        <v>231</v>
      </c>
      <c r="L20" s="124" t="s">
        <v>271</v>
      </c>
      <c r="M20" s="124" t="s">
        <v>271</v>
      </c>
      <c r="N20" s="124" t="s">
        <v>274</v>
      </c>
      <c r="O20" s="124" t="s">
        <v>274</v>
      </c>
      <c r="P20" s="124" t="s">
        <v>274</v>
      </c>
      <c r="Q20" s="124" t="s">
        <v>230</v>
      </c>
      <c r="R20" s="124" t="s">
        <v>231</v>
      </c>
      <c r="S20" s="124" t="s">
        <v>231</v>
      </c>
      <c r="T20" s="124" t="s">
        <v>271</v>
      </c>
      <c r="U20" s="124" t="s">
        <v>274</v>
      </c>
      <c r="V20" s="124" t="s">
        <v>274</v>
      </c>
      <c r="W20" s="124" t="s">
        <v>230</v>
      </c>
      <c r="X20" s="124" t="s">
        <v>230</v>
      </c>
      <c r="Y20" s="124" t="s">
        <v>231</v>
      </c>
      <c r="Z20" s="124" t="s">
        <v>271</v>
      </c>
      <c r="AA20" s="124" t="s">
        <v>271</v>
      </c>
      <c r="AB20" s="124" t="s">
        <v>274</v>
      </c>
      <c r="AC20" s="124" t="s">
        <v>274</v>
      </c>
      <c r="AD20" s="124" t="s">
        <v>274</v>
      </c>
      <c r="AE20" s="124" t="s">
        <v>230</v>
      </c>
      <c r="AF20" s="124" t="s">
        <v>231</v>
      </c>
      <c r="AG20" s="124" t="s">
        <v>231</v>
      </c>
      <c r="AH20" s="124" t="s">
        <v>271</v>
      </c>
      <c r="AI20" s="124" t="s">
        <v>271</v>
      </c>
      <c r="AJ20" s="124" t="s">
        <v>231</v>
      </c>
      <c r="AK20" s="124" t="s">
        <v>230</v>
      </c>
      <c r="AL20" s="124" t="s">
        <v>274</v>
      </c>
    </row>
    <row r="21" spans="2:38" ht="15.75" x14ac:dyDescent="0.25">
      <c r="B21" s="125">
        <v>46010</v>
      </c>
      <c r="C21" s="124" t="s">
        <v>231</v>
      </c>
      <c r="D21" s="124" t="s">
        <v>271</v>
      </c>
      <c r="E21" s="124" t="s">
        <v>274</v>
      </c>
      <c r="F21" s="124" t="s">
        <v>274</v>
      </c>
      <c r="G21" s="124" t="s">
        <v>274</v>
      </c>
      <c r="H21" s="124" t="s">
        <v>230</v>
      </c>
      <c r="I21" s="124" t="s">
        <v>231</v>
      </c>
      <c r="J21" s="124" t="s">
        <v>231</v>
      </c>
      <c r="K21" s="124" t="s">
        <v>271</v>
      </c>
      <c r="L21" s="124" t="s">
        <v>271</v>
      </c>
      <c r="M21" s="124" t="s">
        <v>274</v>
      </c>
      <c r="N21" s="124" t="s">
        <v>274</v>
      </c>
      <c r="O21" s="124" t="s">
        <v>274</v>
      </c>
      <c r="P21" s="124" t="s">
        <v>230</v>
      </c>
      <c r="Q21" s="124" t="s">
        <v>230</v>
      </c>
      <c r="R21" s="124" t="s">
        <v>271</v>
      </c>
      <c r="S21" s="124" t="s">
        <v>271</v>
      </c>
      <c r="T21" s="124" t="s">
        <v>274</v>
      </c>
      <c r="U21" s="124" t="s">
        <v>274</v>
      </c>
      <c r="V21" s="124" t="s">
        <v>230</v>
      </c>
      <c r="W21" s="124" t="s">
        <v>231</v>
      </c>
      <c r="X21" s="124" t="s">
        <v>231</v>
      </c>
      <c r="Y21" s="124" t="s">
        <v>271</v>
      </c>
      <c r="Z21" s="124" t="s">
        <v>271</v>
      </c>
      <c r="AA21" s="124" t="s">
        <v>274</v>
      </c>
      <c r="AB21" s="124" t="s">
        <v>274</v>
      </c>
      <c r="AC21" s="124" t="s">
        <v>274</v>
      </c>
      <c r="AD21" s="124" t="s">
        <v>230</v>
      </c>
      <c r="AE21" s="124" t="s">
        <v>231</v>
      </c>
      <c r="AF21" s="124" t="s">
        <v>231</v>
      </c>
      <c r="AG21" s="124" t="s">
        <v>271</v>
      </c>
      <c r="AH21" s="124" t="s">
        <v>271</v>
      </c>
      <c r="AI21" s="124" t="s">
        <v>274</v>
      </c>
      <c r="AJ21" s="124" t="s">
        <v>274</v>
      </c>
      <c r="AK21" s="124" t="s">
        <v>274</v>
      </c>
      <c r="AL21" s="124" t="s">
        <v>274</v>
      </c>
    </row>
    <row r="22" spans="2:38" ht="15.75" x14ac:dyDescent="0.25">
      <c r="B22" s="125">
        <v>46011</v>
      </c>
      <c r="C22" s="124" t="s">
        <v>231</v>
      </c>
      <c r="D22" s="124" t="s">
        <v>274</v>
      </c>
      <c r="E22" s="124" t="s">
        <v>274</v>
      </c>
      <c r="F22" s="124" t="s">
        <v>274</v>
      </c>
      <c r="G22" s="124" t="s">
        <v>230</v>
      </c>
      <c r="H22" s="124" t="s">
        <v>231</v>
      </c>
      <c r="I22" s="124" t="s">
        <v>231</v>
      </c>
      <c r="J22" s="124" t="s">
        <v>271</v>
      </c>
      <c r="K22" s="124" t="s">
        <v>271</v>
      </c>
      <c r="L22" s="124" t="s">
        <v>274</v>
      </c>
      <c r="M22" s="124" t="s">
        <v>274</v>
      </c>
      <c r="N22" s="124" t="s">
        <v>274</v>
      </c>
      <c r="O22" s="124" t="s">
        <v>230</v>
      </c>
      <c r="P22" s="124" t="s">
        <v>230</v>
      </c>
      <c r="Q22" s="124" t="s">
        <v>231</v>
      </c>
      <c r="R22" s="124" t="s">
        <v>271</v>
      </c>
      <c r="S22" s="124" t="s">
        <v>271</v>
      </c>
      <c r="T22" s="124" t="s">
        <v>274</v>
      </c>
      <c r="U22" s="124" t="s">
        <v>274</v>
      </c>
      <c r="V22" s="124" t="s">
        <v>231</v>
      </c>
      <c r="W22" s="124" t="s">
        <v>271</v>
      </c>
      <c r="X22" s="124" t="s">
        <v>271</v>
      </c>
      <c r="Y22" s="124" t="s">
        <v>271</v>
      </c>
      <c r="Z22" s="124" t="s">
        <v>274</v>
      </c>
      <c r="AA22" s="124" t="s">
        <v>274</v>
      </c>
      <c r="AB22" s="124" t="s">
        <v>274</v>
      </c>
      <c r="AC22" s="124" t="s">
        <v>230</v>
      </c>
      <c r="AD22" s="124" t="s">
        <v>230</v>
      </c>
      <c r="AE22" s="124" t="s">
        <v>231</v>
      </c>
      <c r="AF22" s="124" t="s">
        <v>271</v>
      </c>
      <c r="AG22" s="124" t="s">
        <v>271</v>
      </c>
      <c r="AH22" s="124" t="s">
        <v>274</v>
      </c>
      <c r="AI22" s="124" t="s">
        <v>274</v>
      </c>
      <c r="AJ22" s="124" t="s">
        <v>274</v>
      </c>
      <c r="AK22" s="124" t="s">
        <v>274</v>
      </c>
      <c r="AL22" s="124" t="s">
        <v>240</v>
      </c>
    </row>
    <row r="23" spans="2:38" ht="15.75" x14ac:dyDescent="0.25">
      <c r="B23" s="125">
        <v>46012</v>
      </c>
      <c r="C23" s="124" t="s">
        <v>271</v>
      </c>
      <c r="D23" s="124" t="s">
        <v>274</v>
      </c>
      <c r="E23" s="124" t="s">
        <v>274</v>
      </c>
      <c r="F23" s="124" t="s">
        <v>230</v>
      </c>
      <c r="G23" s="124" t="s">
        <v>231</v>
      </c>
      <c r="H23" s="124" t="s">
        <v>231</v>
      </c>
      <c r="I23" s="124" t="s">
        <v>271</v>
      </c>
      <c r="J23" s="124" t="s">
        <v>271</v>
      </c>
      <c r="K23" s="124" t="s">
        <v>274</v>
      </c>
      <c r="L23" s="124" t="s">
        <v>274</v>
      </c>
      <c r="M23" s="124" t="s">
        <v>274</v>
      </c>
      <c r="N23" s="124" t="s">
        <v>230</v>
      </c>
      <c r="O23" s="124" t="s">
        <v>230</v>
      </c>
      <c r="P23" s="124" t="s">
        <v>231</v>
      </c>
      <c r="Q23" s="124" t="s">
        <v>271</v>
      </c>
      <c r="R23" s="124" t="s">
        <v>271</v>
      </c>
      <c r="S23" s="124" t="s">
        <v>274</v>
      </c>
      <c r="T23" s="124" t="s">
        <v>274</v>
      </c>
      <c r="U23" s="124" t="s">
        <v>230</v>
      </c>
      <c r="V23" s="124" t="s">
        <v>231</v>
      </c>
      <c r="W23" s="124" t="s">
        <v>271</v>
      </c>
      <c r="X23" s="124" t="s">
        <v>271</v>
      </c>
      <c r="Y23" s="124" t="s">
        <v>274</v>
      </c>
      <c r="Z23" s="124" t="s">
        <v>274</v>
      </c>
      <c r="AA23" s="124" t="s">
        <v>274</v>
      </c>
      <c r="AB23" s="124" t="s">
        <v>230</v>
      </c>
      <c r="AC23" s="124" t="s">
        <v>231</v>
      </c>
      <c r="AD23" s="124" t="s">
        <v>231</v>
      </c>
      <c r="AE23" s="124" t="s">
        <v>271</v>
      </c>
      <c r="AF23" s="124" t="s">
        <v>271</v>
      </c>
      <c r="AG23" s="124" t="s">
        <v>274</v>
      </c>
      <c r="AH23" s="124" t="s">
        <v>274</v>
      </c>
      <c r="AI23" s="124" t="s">
        <v>274</v>
      </c>
      <c r="AJ23" s="124" t="s">
        <v>230</v>
      </c>
      <c r="AK23" s="124" t="s">
        <v>231</v>
      </c>
      <c r="AL23" s="124" t="s">
        <v>240</v>
      </c>
    </row>
    <row r="24" spans="2:38" ht="15.75" x14ac:dyDescent="0.25">
      <c r="B24" s="125">
        <v>46013</v>
      </c>
      <c r="C24" s="124" t="s">
        <v>271</v>
      </c>
      <c r="D24" s="124" t="s">
        <v>274</v>
      </c>
      <c r="E24" s="124" t="s">
        <v>230</v>
      </c>
      <c r="F24" s="124" t="s">
        <v>230</v>
      </c>
      <c r="G24" s="124" t="s">
        <v>231</v>
      </c>
      <c r="H24" s="124" t="s">
        <v>271</v>
      </c>
      <c r="I24" s="124" t="s">
        <v>271</v>
      </c>
      <c r="J24" s="124" t="s">
        <v>274</v>
      </c>
      <c r="K24" s="124" t="s">
        <v>274</v>
      </c>
      <c r="L24" s="124" t="s">
        <v>274</v>
      </c>
      <c r="M24" s="124" t="s">
        <v>230</v>
      </c>
      <c r="N24" s="124" t="s">
        <v>231</v>
      </c>
      <c r="O24" s="124" t="s">
        <v>231</v>
      </c>
      <c r="P24" s="124" t="s">
        <v>271</v>
      </c>
      <c r="Q24" s="124" t="s">
        <v>271</v>
      </c>
      <c r="R24" s="124" t="s">
        <v>274</v>
      </c>
      <c r="S24" s="124" t="s">
        <v>274</v>
      </c>
      <c r="T24" s="124" t="s">
        <v>230</v>
      </c>
      <c r="U24" s="124" t="s">
        <v>230</v>
      </c>
      <c r="V24" s="124" t="s">
        <v>271</v>
      </c>
      <c r="W24" s="124" t="s">
        <v>271</v>
      </c>
      <c r="X24" s="124" t="s">
        <v>274</v>
      </c>
      <c r="Y24" s="124" t="s">
        <v>274</v>
      </c>
      <c r="Z24" s="124" t="s">
        <v>274</v>
      </c>
      <c r="AA24" s="124" t="s">
        <v>230</v>
      </c>
      <c r="AB24" s="124" t="s">
        <v>231</v>
      </c>
      <c r="AC24" s="124" t="s">
        <v>231</v>
      </c>
      <c r="AD24" s="124" t="s">
        <v>271</v>
      </c>
      <c r="AE24" s="124" t="s">
        <v>271</v>
      </c>
      <c r="AF24" s="124" t="s">
        <v>274</v>
      </c>
      <c r="AG24" s="124" t="s">
        <v>274</v>
      </c>
      <c r="AH24" s="124" t="s">
        <v>274</v>
      </c>
      <c r="AI24" s="124" t="s">
        <v>230</v>
      </c>
      <c r="AJ24" s="124" t="s">
        <v>230</v>
      </c>
      <c r="AK24" s="124" t="s">
        <v>231</v>
      </c>
      <c r="AL24" s="124" t="s">
        <v>240</v>
      </c>
    </row>
    <row r="25" spans="2:38" ht="15.75" x14ac:dyDescent="0.25">
      <c r="B25" s="125">
        <v>46014</v>
      </c>
      <c r="C25" s="124" t="s">
        <v>274</v>
      </c>
      <c r="D25" s="124" t="s">
        <v>230</v>
      </c>
      <c r="E25" s="124" t="s">
        <v>230</v>
      </c>
      <c r="F25" s="124" t="s">
        <v>231</v>
      </c>
      <c r="G25" s="124" t="s">
        <v>271</v>
      </c>
      <c r="H25" s="124" t="s">
        <v>271</v>
      </c>
      <c r="I25" s="124" t="s">
        <v>274</v>
      </c>
      <c r="J25" s="124" t="s">
        <v>274</v>
      </c>
      <c r="K25" s="124" t="s">
        <v>274</v>
      </c>
      <c r="L25" s="124" t="s">
        <v>230</v>
      </c>
      <c r="M25" s="124" t="s">
        <v>231</v>
      </c>
      <c r="N25" s="124" t="s">
        <v>271</v>
      </c>
      <c r="O25" s="124" t="s">
        <v>271</v>
      </c>
      <c r="P25" s="124" t="s">
        <v>271</v>
      </c>
      <c r="Q25" s="124" t="s">
        <v>274</v>
      </c>
      <c r="R25" s="124" t="s">
        <v>274</v>
      </c>
      <c r="S25" s="124" t="s">
        <v>274</v>
      </c>
      <c r="T25" s="124" t="s">
        <v>231</v>
      </c>
      <c r="U25" s="124" t="s">
        <v>231</v>
      </c>
      <c r="V25" s="124" t="s">
        <v>271</v>
      </c>
      <c r="W25" s="124" t="s">
        <v>274</v>
      </c>
      <c r="X25" s="124" t="s">
        <v>274</v>
      </c>
      <c r="Y25" s="124" t="s">
        <v>274</v>
      </c>
      <c r="Z25" s="124" t="s">
        <v>230</v>
      </c>
      <c r="AA25" s="124" t="s">
        <v>231</v>
      </c>
      <c r="AB25" s="124" t="s">
        <v>271</v>
      </c>
      <c r="AC25" s="124" t="s">
        <v>271</v>
      </c>
      <c r="AD25" s="124" t="s">
        <v>271</v>
      </c>
      <c r="AE25" s="124" t="s">
        <v>274</v>
      </c>
      <c r="AF25" s="124" t="s">
        <v>274</v>
      </c>
      <c r="AG25" s="124" t="s">
        <v>274</v>
      </c>
      <c r="AH25" s="124" t="s">
        <v>230</v>
      </c>
      <c r="AI25" s="124" t="s">
        <v>231</v>
      </c>
      <c r="AJ25" s="124" t="s">
        <v>230</v>
      </c>
      <c r="AK25" s="124" t="s">
        <v>231</v>
      </c>
      <c r="AL25" s="124" t="s">
        <v>230</v>
      </c>
    </row>
    <row r="26" spans="2:38" ht="15.75" x14ac:dyDescent="0.25">
      <c r="B26" s="125">
        <v>46015</v>
      </c>
      <c r="C26" s="124" t="s">
        <v>274</v>
      </c>
      <c r="D26" s="124" t="s">
        <v>230</v>
      </c>
      <c r="E26" s="124" t="s">
        <v>231</v>
      </c>
      <c r="F26" s="124" t="s">
        <v>231</v>
      </c>
      <c r="G26" s="124" t="s">
        <v>271</v>
      </c>
      <c r="H26" s="124" t="s">
        <v>274</v>
      </c>
      <c r="I26" s="124" t="s">
        <v>274</v>
      </c>
      <c r="J26" s="124" t="s">
        <v>274</v>
      </c>
      <c r="K26" s="124" t="s">
        <v>230</v>
      </c>
      <c r="L26" s="124" t="s">
        <v>231</v>
      </c>
      <c r="M26" s="124" t="s">
        <v>231</v>
      </c>
      <c r="N26" s="124" t="s">
        <v>271</v>
      </c>
      <c r="O26" s="124" t="s">
        <v>271</v>
      </c>
      <c r="P26" s="124" t="s">
        <v>274</v>
      </c>
      <c r="Q26" s="124" t="s">
        <v>274</v>
      </c>
      <c r="R26" s="124" t="s">
        <v>274</v>
      </c>
      <c r="S26" s="124" t="s">
        <v>230</v>
      </c>
      <c r="T26" s="124" t="s">
        <v>271</v>
      </c>
      <c r="U26" s="124" t="s">
        <v>271</v>
      </c>
      <c r="V26" s="124" t="s">
        <v>274</v>
      </c>
      <c r="W26" s="124" t="s">
        <v>274</v>
      </c>
      <c r="X26" s="124" t="s">
        <v>274</v>
      </c>
      <c r="Y26" s="124" t="s">
        <v>230</v>
      </c>
      <c r="Z26" s="124" t="s">
        <v>231</v>
      </c>
      <c r="AA26" s="124" t="s">
        <v>231</v>
      </c>
      <c r="AB26" s="124" t="s">
        <v>271</v>
      </c>
      <c r="AC26" s="124" t="s">
        <v>271</v>
      </c>
      <c r="AD26" s="124" t="s">
        <v>274</v>
      </c>
      <c r="AE26" s="124" t="s">
        <v>274</v>
      </c>
      <c r="AF26" s="124" t="s">
        <v>274</v>
      </c>
      <c r="AG26" s="124" t="s">
        <v>230</v>
      </c>
      <c r="AH26" s="124" t="s">
        <v>230</v>
      </c>
      <c r="AI26" s="124" t="s">
        <v>231</v>
      </c>
      <c r="AJ26" s="124" t="s">
        <v>231</v>
      </c>
      <c r="AK26" s="124" t="s">
        <v>230</v>
      </c>
      <c r="AL26" s="124" t="s">
        <v>230</v>
      </c>
    </row>
    <row r="27" spans="2:38" ht="15.75" x14ac:dyDescent="0.25">
      <c r="B27" s="125">
        <v>46016</v>
      </c>
      <c r="C27" s="124" t="s">
        <v>274</v>
      </c>
      <c r="D27" s="124" t="s">
        <v>231</v>
      </c>
      <c r="E27" s="124" t="s">
        <v>271</v>
      </c>
      <c r="F27" s="124" t="s">
        <v>271</v>
      </c>
      <c r="G27" s="124" t="s">
        <v>274</v>
      </c>
      <c r="H27" s="124" t="s">
        <v>274</v>
      </c>
      <c r="I27" s="124" t="s">
        <v>274</v>
      </c>
      <c r="J27" s="124" t="s">
        <v>230</v>
      </c>
      <c r="K27" s="124" t="s">
        <v>230</v>
      </c>
      <c r="L27" s="124" t="s">
        <v>231</v>
      </c>
      <c r="M27" s="124" t="s">
        <v>271</v>
      </c>
      <c r="N27" s="124" t="s">
        <v>271</v>
      </c>
      <c r="O27" s="124" t="s">
        <v>274</v>
      </c>
      <c r="P27" s="124" t="s">
        <v>274</v>
      </c>
      <c r="Q27" s="124" t="s">
        <v>274</v>
      </c>
      <c r="R27" s="124" t="s">
        <v>230</v>
      </c>
      <c r="S27" s="124" t="s">
        <v>231</v>
      </c>
      <c r="T27" s="124" t="s">
        <v>271</v>
      </c>
      <c r="U27" s="124" t="s">
        <v>271</v>
      </c>
      <c r="V27" s="124" t="s">
        <v>274</v>
      </c>
      <c r="W27" s="124" t="s">
        <v>274</v>
      </c>
      <c r="X27" s="124" t="s">
        <v>230</v>
      </c>
      <c r="Y27" s="124" t="s">
        <v>231</v>
      </c>
      <c r="Z27" s="124" t="s">
        <v>231</v>
      </c>
      <c r="AA27" s="124" t="s">
        <v>271</v>
      </c>
      <c r="AB27" s="124" t="s">
        <v>271</v>
      </c>
      <c r="AC27" s="124" t="s">
        <v>274</v>
      </c>
      <c r="AD27" s="124" t="s">
        <v>274</v>
      </c>
      <c r="AE27" s="124" t="s">
        <v>274</v>
      </c>
      <c r="AF27" s="124" t="s">
        <v>230</v>
      </c>
      <c r="AG27" s="124" t="s">
        <v>230</v>
      </c>
      <c r="AH27" s="124" t="s">
        <v>231</v>
      </c>
      <c r="AI27" s="124" t="s">
        <v>271</v>
      </c>
      <c r="AJ27" s="124" t="s">
        <v>231</v>
      </c>
      <c r="AK27" s="124" t="s">
        <v>230</v>
      </c>
      <c r="AL27" s="124" t="s">
        <v>274</v>
      </c>
    </row>
    <row r="28" spans="2:38" ht="15.75" x14ac:dyDescent="0.25">
      <c r="B28" s="125">
        <v>46017</v>
      </c>
      <c r="C28" s="124" t="s">
        <v>230</v>
      </c>
      <c r="D28" s="124" t="s">
        <v>271</v>
      </c>
      <c r="E28" s="124" t="s">
        <v>271</v>
      </c>
      <c r="F28" s="124" t="s">
        <v>274</v>
      </c>
      <c r="G28" s="124" t="s">
        <v>274</v>
      </c>
      <c r="H28" s="124" t="s">
        <v>274</v>
      </c>
      <c r="I28" s="124" t="s">
        <v>230</v>
      </c>
      <c r="J28" s="124" t="s">
        <v>231</v>
      </c>
      <c r="K28" s="124" t="s">
        <v>231</v>
      </c>
      <c r="L28" s="124" t="s">
        <v>271</v>
      </c>
      <c r="M28" s="124" t="s">
        <v>271</v>
      </c>
      <c r="N28" s="124" t="s">
        <v>274</v>
      </c>
      <c r="O28" s="124" t="s">
        <v>274</v>
      </c>
      <c r="P28" s="124" t="s">
        <v>274</v>
      </c>
      <c r="Q28" s="124" t="s">
        <v>230</v>
      </c>
      <c r="R28" s="124" t="s">
        <v>231</v>
      </c>
      <c r="S28" s="124" t="s">
        <v>231</v>
      </c>
      <c r="T28" s="124" t="s">
        <v>271</v>
      </c>
      <c r="U28" s="124" t="s">
        <v>274</v>
      </c>
      <c r="V28" s="124" t="s">
        <v>274</v>
      </c>
      <c r="W28" s="124" t="s">
        <v>230</v>
      </c>
      <c r="X28" s="124" t="s">
        <v>231</v>
      </c>
      <c r="Y28" s="124" t="s">
        <v>231</v>
      </c>
      <c r="Z28" s="124" t="s">
        <v>273</v>
      </c>
      <c r="AA28" s="124" t="s">
        <v>271</v>
      </c>
      <c r="AB28" s="124" t="s">
        <v>274</v>
      </c>
      <c r="AC28" s="124" t="s">
        <v>274</v>
      </c>
      <c r="AD28" s="124" t="s">
        <v>274</v>
      </c>
      <c r="AE28" s="124" t="s">
        <v>230</v>
      </c>
      <c r="AF28" s="124" t="s">
        <v>230</v>
      </c>
      <c r="AG28" s="124" t="s">
        <v>231</v>
      </c>
      <c r="AH28" s="124" t="s">
        <v>271</v>
      </c>
      <c r="AI28" s="124" t="s">
        <v>271</v>
      </c>
      <c r="AJ28" s="124" t="s">
        <v>274</v>
      </c>
      <c r="AK28" s="124" t="s">
        <v>274</v>
      </c>
      <c r="AL28" s="124" t="s">
        <v>274</v>
      </c>
    </row>
    <row r="29" spans="2:38" ht="15.75" x14ac:dyDescent="0.25">
      <c r="B29" s="125">
        <v>46018</v>
      </c>
      <c r="C29" s="124" t="s">
        <v>231</v>
      </c>
      <c r="D29" s="124" t="s">
        <v>271</v>
      </c>
      <c r="E29" s="124" t="s">
        <v>274</v>
      </c>
      <c r="F29" s="124" t="s">
        <v>274</v>
      </c>
      <c r="G29" s="124" t="s">
        <v>274</v>
      </c>
      <c r="H29" s="124" t="s">
        <v>230</v>
      </c>
      <c r="I29" s="124" t="s">
        <v>231</v>
      </c>
      <c r="J29" s="124" t="s">
        <v>231</v>
      </c>
      <c r="K29" s="124" t="s">
        <v>271</v>
      </c>
      <c r="L29" s="124" t="s">
        <v>271</v>
      </c>
      <c r="M29" s="124" t="s">
        <v>274</v>
      </c>
      <c r="N29" s="124" t="s">
        <v>274</v>
      </c>
      <c r="O29" s="124" t="s">
        <v>274</v>
      </c>
      <c r="P29" s="124" t="s">
        <v>230</v>
      </c>
      <c r="Q29" s="124" t="s">
        <v>230</v>
      </c>
      <c r="R29" s="124" t="s">
        <v>231</v>
      </c>
      <c r="S29" s="124" t="s">
        <v>271</v>
      </c>
      <c r="T29" s="124" t="s">
        <v>274</v>
      </c>
      <c r="U29" s="124" t="s">
        <v>274</v>
      </c>
      <c r="V29" s="124" t="s">
        <v>230</v>
      </c>
      <c r="W29" s="124" t="s">
        <v>231</v>
      </c>
      <c r="X29" s="124" t="s">
        <v>231</v>
      </c>
      <c r="Y29" s="124" t="s">
        <v>271</v>
      </c>
      <c r="Z29" s="124" t="s">
        <v>271</v>
      </c>
      <c r="AA29" s="124" t="s">
        <v>274</v>
      </c>
      <c r="AB29" s="124" t="s">
        <v>274</v>
      </c>
      <c r="AC29" s="124" t="s">
        <v>274</v>
      </c>
      <c r="AD29" s="124" t="s">
        <v>230</v>
      </c>
      <c r="AE29" s="124" t="s">
        <v>230</v>
      </c>
      <c r="AF29" s="124" t="s">
        <v>231</v>
      </c>
      <c r="AG29" s="124" t="s">
        <v>271</v>
      </c>
      <c r="AH29" s="124" t="s">
        <v>271</v>
      </c>
      <c r="AI29" s="124" t="s">
        <v>274</v>
      </c>
      <c r="AJ29" s="124" t="s">
        <v>274</v>
      </c>
      <c r="AK29" s="124" t="s">
        <v>274</v>
      </c>
      <c r="AL29" s="124" t="s">
        <v>240</v>
      </c>
    </row>
    <row r="30" spans="2:38" ht="15.75" x14ac:dyDescent="0.25">
      <c r="B30" s="125">
        <v>46019</v>
      </c>
      <c r="C30" s="124" t="s">
        <v>231</v>
      </c>
      <c r="D30" s="124" t="s">
        <v>274</v>
      </c>
      <c r="E30" s="124" t="s">
        <v>274</v>
      </c>
      <c r="F30" s="124" t="s">
        <v>274</v>
      </c>
      <c r="G30" s="124" t="s">
        <v>230</v>
      </c>
      <c r="H30" s="124" t="s">
        <v>231</v>
      </c>
      <c r="I30" s="124" t="s">
        <v>231</v>
      </c>
      <c r="J30" s="124" t="s">
        <v>271</v>
      </c>
      <c r="K30" s="124" t="s">
        <v>271</v>
      </c>
      <c r="L30" s="124" t="s">
        <v>274</v>
      </c>
      <c r="M30" s="124" t="s">
        <v>274</v>
      </c>
      <c r="N30" s="124" t="s">
        <v>274</v>
      </c>
      <c r="O30" s="124" t="s">
        <v>230</v>
      </c>
      <c r="P30" s="124" t="s">
        <v>230</v>
      </c>
      <c r="Q30" s="124" t="s">
        <v>231</v>
      </c>
      <c r="R30" s="124" t="s">
        <v>271</v>
      </c>
      <c r="S30" s="124" t="s">
        <v>271</v>
      </c>
      <c r="T30" s="124" t="s">
        <v>274</v>
      </c>
      <c r="U30" s="124" t="s">
        <v>274</v>
      </c>
      <c r="V30" s="124" t="s">
        <v>231</v>
      </c>
      <c r="W30" s="124" t="s">
        <v>231</v>
      </c>
      <c r="X30" s="124" t="s">
        <v>271</v>
      </c>
      <c r="Y30" s="124" t="s">
        <v>271</v>
      </c>
      <c r="Z30" s="124" t="s">
        <v>274</v>
      </c>
      <c r="AA30" s="124" t="s">
        <v>274</v>
      </c>
      <c r="AB30" s="124" t="s">
        <v>274</v>
      </c>
      <c r="AC30" s="124" t="s">
        <v>230</v>
      </c>
      <c r="AD30" s="124" t="s">
        <v>230</v>
      </c>
      <c r="AE30" s="124" t="s">
        <v>231</v>
      </c>
      <c r="AF30" s="124" t="s">
        <v>271</v>
      </c>
      <c r="AG30" s="124" t="s">
        <v>271</v>
      </c>
      <c r="AH30" s="124" t="s">
        <v>274</v>
      </c>
      <c r="AI30" s="124" t="s">
        <v>274</v>
      </c>
      <c r="AJ30" s="124" t="s">
        <v>230</v>
      </c>
      <c r="AK30" s="124" t="s">
        <v>231</v>
      </c>
      <c r="AL30" s="124" t="s">
        <v>240</v>
      </c>
    </row>
    <row r="31" spans="2:38" ht="15.75" x14ac:dyDescent="0.25">
      <c r="B31" s="125">
        <v>46020</v>
      </c>
      <c r="C31" s="124" t="s">
        <v>271</v>
      </c>
      <c r="D31" s="124" t="s">
        <v>274</v>
      </c>
      <c r="E31" s="124" t="s">
        <v>274</v>
      </c>
      <c r="F31" s="124" t="s">
        <v>230</v>
      </c>
      <c r="G31" s="124" t="s">
        <v>231</v>
      </c>
      <c r="H31" s="124" t="s">
        <v>231</v>
      </c>
      <c r="I31" s="124" t="s">
        <v>271</v>
      </c>
      <c r="J31" s="124" t="s">
        <v>271</v>
      </c>
      <c r="K31" s="124" t="s">
        <v>274</v>
      </c>
      <c r="L31" s="124" t="s">
        <v>274</v>
      </c>
      <c r="M31" s="124" t="s">
        <v>274</v>
      </c>
      <c r="N31" s="124" t="s">
        <v>230</v>
      </c>
      <c r="O31" s="124" t="s">
        <v>230</v>
      </c>
      <c r="P31" s="124" t="s">
        <v>231</v>
      </c>
      <c r="Q31" s="124" t="s">
        <v>271</v>
      </c>
      <c r="R31" s="124" t="s">
        <v>271</v>
      </c>
      <c r="S31" s="124" t="s">
        <v>274</v>
      </c>
      <c r="T31" s="124" t="s">
        <v>274</v>
      </c>
      <c r="U31" s="124" t="s">
        <v>230</v>
      </c>
      <c r="V31" s="124" t="s">
        <v>231</v>
      </c>
      <c r="W31" s="124" t="s">
        <v>271</v>
      </c>
      <c r="X31" s="124" t="s">
        <v>271</v>
      </c>
      <c r="Y31" s="124" t="s">
        <v>274</v>
      </c>
      <c r="Z31" s="124" t="s">
        <v>274</v>
      </c>
      <c r="AA31" s="124" t="s">
        <v>274</v>
      </c>
      <c r="AB31" s="124" t="s">
        <v>230</v>
      </c>
      <c r="AC31" s="124" t="s">
        <v>230</v>
      </c>
      <c r="AD31" s="124" t="s">
        <v>231</v>
      </c>
      <c r="AE31" s="124" t="s">
        <v>271</v>
      </c>
      <c r="AF31" s="124" t="s">
        <v>271</v>
      </c>
      <c r="AG31" s="124" t="s">
        <v>274</v>
      </c>
      <c r="AH31" s="124" t="s">
        <v>274</v>
      </c>
      <c r="AI31" s="124" t="s">
        <v>274</v>
      </c>
      <c r="AJ31" s="124" t="s">
        <v>230</v>
      </c>
      <c r="AK31" s="124" t="s">
        <v>231</v>
      </c>
      <c r="AL31" s="124" t="s">
        <v>240</v>
      </c>
    </row>
    <row r="32" spans="2:38" ht="15.75" x14ac:dyDescent="0.25">
      <c r="B32" s="125">
        <v>46021</v>
      </c>
      <c r="C32" s="124" t="s">
        <v>271</v>
      </c>
      <c r="D32" s="124" t="s">
        <v>274</v>
      </c>
      <c r="E32" s="124" t="s">
        <v>230</v>
      </c>
      <c r="F32" s="124" t="s">
        <v>230</v>
      </c>
      <c r="G32" s="124" t="s">
        <v>271</v>
      </c>
      <c r="H32" s="124" t="s">
        <v>271</v>
      </c>
      <c r="I32" s="124" t="s">
        <v>271</v>
      </c>
      <c r="J32" s="124" t="s">
        <v>274</v>
      </c>
      <c r="K32" s="124" t="s">
        <v>274</v>
      </c>
      <c r="L32" s="124" t="s">
        <v>274</v>
      </c>
      <c r="M32" s="124" t="s">
        <v>230</v>
      </c>
      <c r="N32" s="124" t="s">
        <v>231</v>
      </c>
      <c r="O32" s="124" t="s">
        <v>231</v>
      </c>
      <c r="P32" s="124" t="s">
        <v>271</v>
      </c>
      <c r="Q32" s="124" t="s">
        <v>271</v>
      </c>
      <c r="R32" s="124" t="s">
        <v>274</v>
      </c>
      <c r="S32" s="124" t="s">
        <v>274</v>
      </c>
      <c r="T32" s="124" t="s">
        <v>230</v>
      </c>
      <c r="U32" s="124" t="s">
        <v>231</v>
      </c>
      <c r="V32" s="124" t="s">
        <v>271</v>
      </c>
      <c r="W32" s="124" t="s">
        <v>271</v>
      </c>
      <c r="X32" s="124" t="s">
        <v>274</v>
      </c>
      <c r="Y32" s="124" t="s">
        <v>274</v>
      </c>
      <c r="Z32" s="124" t="s">
        <v>274</v>
      </c>
      <c r="AA32" s="124" t="s">
        <v>230</v>
      </c>
      <c r="AB32" s="124" t="s">
        <v>231</v>
      </c>
      <c r="AC32" s="124" t="s">
        <v>231</v>
      </c>
      <c r="AD32" s="124" t="s">
        <v>271</v>
      </c>
      <c r="AE32" s="124" t="s">
        <v>271</v>
      </c>
      <c r="AF32" s="124" t="s">
        <v>274</v>
      </c>
      <c r="AG32" s="124" t="s">
        <v>274</v>
      </c>
      <c r="AH32" s="124" t="s">
        <v>274</v>
      </c>
      <c r="AI32" s="124" t="s">
        <v>230</v>
      </c>
      <c r="AJ32" s="124" t="s">
        <v>230</v>
      </c>
      <c r="AK32" s="124" t="s">
        <v>231</v>
      </c>
      <c r="AL32" s="124" t="s">
        <v>230</v>
      </c>
    </row>
    <row r="33" spans="2:38" ht="15.75" x14ac:dyDescent="0.25">
      <c r="B33" s="125">
        <v>46022</v>
      </c>
      <c r="C33" s="124" t="s">
        <v>274</v>
      </c>
      <c r="D33" s="124" t="s">
        <v>230</v>
      </c>
      <c r="E33" s="124" t="s">
        <v>230</v>
      </c>
      <c r="F33" s="124" t="s">
        <v>231</v>
      </c>
      <c r="G33" s="124" t="s">
        <v>271</v>
      </c>
      <c r="H33" s="124" t="s">
        <v>271</v>
      </c>
      <c r="I33" s="124" t="s">
        <v>274</v>
      </c>
      <c r="J33" s="124" t="s">
        <v>274</v>
      </c>
      <c r="K33" s="124" t="s">
        <v>274</v>
      </c>
      <c r="L33" s="124" t="s">
        <v>230</v>
      </c>
      <c r="M33" s="124" t="s">
        <v>231</v>
      </c>
      <c r="N33" s="124" t="s">
        <v>231</v>
      </c>
      <c r="O33" s="124" t="s">
        <v>271</v>
      </c>
      <c r="P33" s="124" t="s">
        <v>271</v>
      </c>
      <c r="Q33" s="124" t="s">
        <v>274</v>
      </c>
      <c r="R33" s="124" t="s">
        <v>274</v>
      </c>
      <c r="S33" s="124" t="s">
        <v>274</v>
      </c>
      <c r="T33" s="124" t="s">
        <v>230</v>
      </c>
      <c r="U33" s="124" t="s">
        <v>231</v>
      </c>
      <c r="V33" s="124" t="s">
        <v>271</v>
      </c>
      <c r="W33" s="124" t="s">
        <v>274</v>
      </c>
      <c r="X33" s="124" t="s">
        <v>274</v>
      </c>
      <c r="Y33" s="124" t="s">
        <v>274</v>
      </c>
      <c r="Z33" s="124" t="s">
        <v>230</v>
      </c>
      <c r="AA33" s="124" t="s">
        <v>231</v>
      </c>
      <c r="AB33" s="124" t="s">
        <v>271</v>
      </c>
      <c r="AC33" s="124" t="s">
        <v>271</v>
      </c>
      <c r="AD33" s="124" t="s">
        <v>271</v>
      </c>
      <c r="AE33" s="124" t="s">
        <v>274</v>
      </c>
      <c r="AF33" s="124" t="s">
        <v>274</v>
      </c>
      <c r="AG33" s="124" t="s">
        <v>274</v>
      </c>
      <c r="AH33" s="124" t="s">
        <v>230</v>
      </c>
      <c r="AI33" s="124" t="s">
        <v>230</v>
      </c>
      <c r="AJ33" s="124" t="s">
        <v>231</v>
      </c>
      <c r="AK33" s="124" t="s">
        <v>230</v>
      </c>
      <c r="AL33" s="124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70" zoomScaleNormal="7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7" t="s">
        <v>279</v>
      </c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241" t="s">
        <v>105</v>
      </c>
      <c r="C3" s="242"/>
      <c r="D3" s="243"/>
      <c r="F3" s="109" t="s">
        <v>95</v>
      </c>
      <c r="G3" s="108" t="s">
        <v>96</v>
      </c>
      <c r="H3" s="108" t="s">
        <v>97</v>
      </c>
      <c r="I3" s="109" t="s">
        <v>98</v>
      </c>
      <c r="J3" s="108" t="s">
        <v>99</v>
      </c>
      <c r="K3" s="108" t="s">
        <v>100</v>
      </c>
      <c r="L3" s="109" t="s">
        <v>101</v>
      </c>
      <c r="M3" s="108" t="s">
        <v>95</v>
      </c>
      <c r="N3" s="108" t="s">
        <v>96</v>
      </c>
      <c r="O3" s="109" t="s">
        <v>97</v>
      </c>
      <c r="P3" s="108" t="s">
        <v>98</v>
      </c>
      <c r="Q3" s="108" t="s">
        <v>99</v>
      </c>
      <c r="R3" s="109" t="s">
        <v>100</v>
      </c>
      <c r="S3" s="108" t="s">
        <v>101</v>
      </c>
      <c r="T3" s="108" t="s">
        <v>95</v>
      </c>
      <c r="U3" s="109" t="s">
        <v>96</v>
      </c>
      <c r="V3" s="108" t="s">
        <v>97</v>
      </c>
      <c r="W3" s="108" t="s">
        <v>98</v>
      </c>
      <c r="X3" s="109" t="s">
        <v>99</v>
      </c>
      <c r="Y3" s="108" t="s">
        <v>100</v>
      </c>
      <c r="Z3" s="108" t="s">
        <v>101</v>
      </c>
      <c r="AA3" s="109" t="s">
        <v>95</v>
      </c>
      <c r="AB3" s="108" t="s">
        <v>96</v>
      </c>
      <c r="AC3" s="108" t="s">
        <v>97</v>
      </c>
      <c r="AD3" s="109" t="s">
        <v>98</v>
      </c>
      <c r="AE3" s="108" t="s">
        <v>99</v>
      </c>
      <c r="AF3" s="108" t="s">
        <v>100</v>
      </c>
      <c r="AG3" s="109" t="s">
        <v>101</v>
      </c>
      <c r="AH3" s="108" t="s">
        <v>95</v>
      </c>
      <c r="AI3" s="108" t="s">
        <v>96</v>
      </c>
      <c r="AJ3" s="109" t="s">
        <v>97</v>
      </c>
      <c r="AL3" s="145"/>
      <c r="AM3" s="145"/>
      <c r="AN3" s="145"/>
      <c r="AO3" s="145"/>
      <c r="AP3" s="145"/>
    </row>
    <row r="4" spans="2:42" ht="19.5" customHeight="1" thickBot="1" x14ac:dyDescent="0.3">
      <c r="B4" s="244"/>
      <c r="C4" s="245"/>
      <c r="D4" s="246"/>
      <c r="F4" s="114">
        <v>1</v>
      </c>
      <c r="G4" s="115">
        <v>2</v>
      </c>
      <c r="H4" s="115">
        <v>3</v>
      </c>
      <c r="I4" s="115">
        <v>4</v>
      </c>
      <c r="J4" s="115">
        <v>5</v>
      </c>
      <c r="K4" s="115">
        <v>6</v>
      </c>
      <c r="L4" s="115">
        <v>7</v>
      </c>
      <c r="M4" s="115">
        <v>8</v>
      </c>
      <c r="N4" s="115">
        <v>9</v>
      </c>
      <c r="O4" s="115">
        <v>10</v>
      </c>
      <c r="P4" s="115">
        <v>11</v>
      </c>
      <c r="Q4" s="115">
        <v>12</v>
      </c>
      <c r="R4" s="115">
        <v>13</v>
      </c>
      <c r="S4" s="115">
        <v>14</v>
      </c>
      <c r="T4" s="115">
        <v>15</v>
      </c>
      <c r="U4" s="115">
        <v>16</v>
      </c>
      <c r="V4" s="115">
        <v>17</v>
      </c>
      <c r="W4" s="115">
        <v>18</v>
      </c>
      <c r="X4" s="115">
        <v>19</v>
      </c>
      <c r="Y4" s="115">
        <v>20</v>
      </c>
      <c r="Z4" s="115">
        <v>21</v>
      </c>
      <c r="AA4" s="115">
        <v>22</v>
      </c>
      <c r="AB4" s="115">
        <v>23</v>
      </c>
      <c r="AC4" s="115">
        <v>24</v>
      </c>
      <c r="AD4" s="115">
        <v>25</v>
      </c>
      <c r="AE4" s="115">
        <v>26</v>
      </c>
      <c r="AF4" s="115">
        <v>27</v>
      </c>
      <c r="AG4" s="115">
        <v>28</v>
      </c>
      <c r="AH4" s="115">
        <v>29</v>
      </c>
      <c r="AI4" s="115">
        <v>30</v>
      </c>
      <c r="AJ4" s="121">
        <v>31</v>
      </c>
      <c r="AL4" s="146"/>
      <c r="AM4" s="146"/>
      <c r="AN4" s="146"/>
      <c r="AO4" s="146"/>
      <c r="AP4" s="146"/>
    </row>
    <row r="5" spans="2:42" ht="18.75" x14ac:dyDescent="0.25">
      <c r="B5" s="67">
        <v>1</v>
      </c>
      <c r="C5" s="248" t="s">
        <v>226</v>
      </c>
      <c r="D5" s="249"/>
      <c r="F5" s="44" t="s">
        <v>274</v>
      </c>
      <c r="G5" s="44" t="s">
        <v>274</v>
      </c>
      <c r="H5" s="116" t="s">
        <v>275</v>
      </c>
      <c r="I5" s="107" t="s">
        <v>275</v>
      </c>
      <c r="J5" s="44" t="s">
        <v>275</v>
      </c>
      <c r="K5" s="44" t="s">
        <v>275</v>
      </c>
      <c r="L5" s="44" t="s">
        <v>275</v>
      </c>
      <c r="M5" s="44" t="s">
        <v>274</v>
      </c>
      <c r="N5" s="44" t="s">
        <v>274</v>
      </c>
      <c r="O5" s="44" t="s">
        <v>274</v>
      </c>
      <c r="P5" s="107" t="s">
        <v>230</v>
      </c>
      <c r="Q5" s="107" t="s">
        <v>270</v>
      </c>
      <c r="R5" s="44" t="s">
        <v>231</v>
      </c>
      <c r="S5" s="44" t="s">
        <v>273</v>
      </c>
      <c r="T5" s="44" t="s">
        <v>271</v>
      </c>
      <c r="U5" s="44" t="s">
        <v>274</v>
      </c>
      <c r="V5" s="44" t="s">
        <v>274</v>
      </c>
      <c r="W5" s="44" t="s">
        <v>274</v>
      </c>
      <c r="X5" s="107" t="s">
        <v>230</v>
      </c>
      <c r="Y5" s="44" t="s">
        <v>230</v>
      </c>
      <c r="Z5" s="44" t="s">
        <v>231</v>
      </c>
      <c r="AA5" s="44" t="s">
        <v>272</v>
      </c>
      <c r="AB5" s="44" t="s">
        <v>271</v>
      </c>
      <c r="AC5" s="44" t="s">
        <v>274</v>
      </c>
      <c r="AD5" s="44" t="s">
        <v>274</v>
      </c>
      <c r="AE5" s="44" t="s">
        <v>274</v>
      </c>
      <c r="AF5" s="116" t="s">
        <v>230</v>
      </c>
      <c r="AG5" s="107" t="s">
        <v>230</v>
      </c>
      <c r="AH5" s="44" t="s">
        <v>231</v>
      </c>
      <c r="AI5" s="44" t="s">
        <v>271</v>
      </c>
      <c r="AJ5" s="44" t="s">
        <v>271</v>
      </c>
      <c r="AL5" s="51">
        <f>COUNTIF($F5:$AJ5,"ST*")</f>
        <v>3</v>
      </c>
      <c r="AM5" s="51">
        <f>COUNTIF($F5:$AJ5,"M*")</f>
        <v>5</v>
      </c>
      <c r="AN5" s="51">
        <f>COUNTIF($F5:$AJ5,"A*")</f>
        <v>3</v>
      </c>
      <c r="AO5" s="51">
        <f>COUNTIF($F5:$AJ5,"N*")</f>
        <v>4</v>
      </c>
      <c r="AP5" s="51">
        <f>COUNTIF($F5:$AJ5,"O*")</f>
        <v>11</v>
      </c>
    </row>
    <row r="6" spans="2:42" ht="18.75" x14ac:dyDescent="0.25">
      <c r="B6" s="59">
        <v>2</v>
      </c>
      <c r="C6" s="147" t="s">
        <v>215</v>
      </c>
      <c r="D6" s="237"/>
      <c r="F6" s="52" t="s">
        <v>274</v>
      </c>
      <c r="G6" s="57" t="s">
        <v>230</v>
      </c>
      <c r="H6" s="52" t="s">
        <v>231</v>
      </c>
      <c r="I6" s="52" t="s">
        <v>230</v>
      </c>
      <c r="J6" s="52" t="s">
        <v>230</v>
      </c>
      <c r="K6" s="52" t="s">
        <v>271</v>
      </c>
      <c r="L6" s="52" t="s">
        <v>274</v>
      </c>
      <c r="M6" s="52" t="s">
        <v>274</v>
      </c>
      <c r="N6" s="52" t="s">
        <v>274</v>
      </c>
      <c r="O6" s="57" t="s">
        <v>230</v>
      </c>
      <c r="P6" s="57" t="s">
        <v>270</v>
      </c>
      <c r="Q6" s="57" t="s">
        <v>231</v>
      </c>
      <c r="R6" s="57" t="s">
        <v>271</v>
      </c>
      <c r="S6" s="57" t="s">
        <v>271</v>
      </c>
      <c r="T6" s="52" t="s">
        <v>274</v>
      </c>
      <c r="U6" s="52" t="s">
        <v>274</v>
      </c>
      <c r="V6" s="52" t="s">
        <v>274</v>
      </c>
      <c r="W6" s="57" t="s">
        <v>230</v>
      </c>
      <c r="X6" s="52" t="s">
        <v>231</v>
      </c>
      <c r="Y6" s="52" t="s">
        <v>231</v>
      </c>
      <c r="Z6" s="52" t="s">
        <v>273</v>
      </c>
      <c r="AA6" s="52" t="s">
        <v>271</v>
      </c>
      <c r="AB6" s="52" t="s">
        <v>274</v>
      </c>
      <c r="AC6" s="52" t="s">
        <v>274</v>
      </c>
      <c r="AD6" s="52" t="s">
        <v>274</v>
      </c>
      <c r="AE6" s="57" t="s">
        <v>230</v>
      </c>
      <c r="AF6" s="52" t="s">
        <v>231</v>
      </c>
      <c r="AG6" s="52" t="s">
        <v>231</v>
      </c>
      <c r="AH6" s="52" t="s">
        <v>271</v>
      </c>
      <c r="AI6" s="52" t="s">
        <v>271</v>
      </c>
      <c r="AJ6" s="52" t="s">
        <v>274</v>
      </c>
      <c r="AL6" s="51">
        <f t="shared" ref="AL6:AL19" si="0">COUNTIF($F6:$AJ6,"ST*")</f>
        <v>2</v>
      </c>
      <c r="AM6" s="51">
        <f t="shared" ref="AM6:AM19" si="1">COUNTIF($F6:$AJ6,"M*")</f>
        <v>6</v>
      </c>
      <c r="AN6" s="51">
        <f t="shared" ref="AN6:AN19" si="2">COUNTIF($F6:$AJ6,"A*")</f>
        <v>6</v>
      </c>
      <c r="AO6" s="51">
        <f t="shared" ref="AO6:AO19" si="3">COUNTIF($F6:$AJ6,"N*")</f>
        <v>6</v>
      </c>
      <c r="AP6" s="51">
        <f t="shared" ref="AP6:AP19" si="4">COUNTIF($F6:$AJ6,"O*")</f>
        <v>11</v>
      </c>
    </row>
    <row r="7" spans="2:42" ht="18.75" x14ac:dyDescent="0.25">
      <c r="B7" s="59">
        <v>3</v>
      </c>
      <c r="C7" s="147" t="s">
        <v>216</v>
      </c>
      <c r="D7" s="237"/>
      <c r="F7" s="57" t="s">
        <v>275</v>
      </c>
      <c r="G7" s="57" t="s">
        <v>275</v>
      </c>
      <c r="H7" s="57" t="s">
        <v>275</v>
      </c>
      <c r="I7" s="57" t="s">
        <v>275</v>
      </c>
      <c r="J7" s="57" t="s">
        <v>275</v>
      </c>
      <c r="K7" s="57" t="s">
        <v>275</v>
      </c>
      <c r="L7" s="57" t="s">
        <v>275</v>
      </c>
      <c r="M7" s="57" t="s">
        <v>275</v>
      </c>
      <c r="N7" s="57" t="s">
        <v>275</v>
      </c>
      <c r="O7" s="57" t="s">
        <v>275</v>
      </c>
      <c r="P7" s="57" t="s">
        <v>275</v>
      </c>
      <c r="Q7" s="57" t="s">
        <v>275</v>
      </c>
      <c r="R7" s="57" t="s">
        <v>275</v>
      </c>
      <c r="S7" s="57" t="s">
        <v>275</v>
      </c>
      <c r="T7" s="57" t="s">
        <v>275</v>
      </c>
      <c r="U7" s="57" t="s">
        <v>275</v>
      </c>
      <c r="V7" s="57" t="s">
        <v>275</v>
      </c>
      <c r="W7" s="57" t="s">
        <v>275</v>
      </c>
      <c r="X7" s="57" t="s">
        <v>275</v>
      </c>
      <c r="Y7" s="57" t="s">
        <v>275</v>
      </c>
      <c r="Z7" s="57" t="s">
        <v>275</v>
      </c>
      <c r="AA7" s="57" t="s">
        <v>275</v>
      </c>
      <c r="AB7" s="52" t="s">
        <v>274</v>
      </c>
      <c r="AC7" s="52" t="s">
        <v>274</v>
      </c>
      <c r="AD7" s="57" t="s">
        <v>230</v>
      </c>
      <c r="AE7" s="100" t="s">
        <v>230</v>
      </c>
      <c r="AF7" s="52" t="s">
        <v>231</v>
      </c>
      <c r="AG7" s="52" t="s">
        <v>272</v>
      </c>
      <c r="AH7" s="52" t="s">
        <v>271</v>
      </c>
      <c r="AI7" s="52" t="s">
        <v>274</v>
      </c>
      <c r="AJ7" s="52" t="s">
        <v>274</v>
      </c>
      <c r="AL7" s="51">
        <f t="shared" si="0"/>
        <v>1</v>
      </c>
      <c r="AM7" s="51">
        <f t="shared" si="1"/>
        <v>2</v>
      </c>
      <c r="AN7" s="51">
        <f t="shared" si="2"/>
        <v>1</v>
      </c>
      <c r="AO7" s="51">
        <f t="shared" si="3"/>
        <v>1</v>
      </c>
      <c r="AP7" s="51">
        <f t="shared" si="4"/>
        <v>4</v>
      </c>
    </row>
    <row r="8" spans="2:42" ht="18.75" x14ac:dyDescent="0.25">
      <c r="B8" s="59">
        <v>4</v>
      </c>
      <c r="C8" s="147" t="s">
        <v>217</v>
      </c>
      <c r="D8" s="237"/>
      <c r="F8" s="100" t="s">
        <v>270</v>
      </c>
      <c r="G8" s="52" t="s">
        <v>231</v>
      </c>
      <c r="H8" s="52" t="s">
        <v>273</v>
      </c>
      <c r="I8" s="52" t="s">
        <v>271</v>
      </c>
      <c r="J8" s="52" t="s">
        <v>274</v>
      </c>
      <c r="K8" s="52" t="s">
        <v>274</v>
      </c>
      <c r="L8" s="52" t="s">
        <v>274</v>
      </c>
      <c r="M8" s="57" t="s">
        <v>275</v>
      </c>
      <c r="N8" s="57" t="s">
        <v>275</v>
      </c>
      <c r="O8" s="57" t="s">
        <v>275</v>
      </c>
      <c r="P8" s="57" t="s">
        <v>275</v>
      </c>
      <c r="Q8" s="57" t="s">
        <v>275</v>
      </c>
      <c r="R8" s="57" t="s">
        <v>275</v>
      </c>
      <c r="S8" s="57" t="s">
        <v>275</v>
      </c>
      <c r="T8" s="57" t="s">
        <v>275</v>
      </c>
      <c r="U8" s="57" t="s">
        <v>275</v>
      </c>
      <c r="V8" s="57" t="s">
        <v>275</v>
      </c>
      <c r="W8" s="57" t="s">
        <v>275</v>
      </c>
      <c r="X8" s="57" t="s">
        <v>275</v>
      </c>
      <c r="Y8" s="57" t="s">
        <v>275</v>
      </c>
      <c r="Z8" s="57" t="s">
        <v>275</v>
      </c>
      <c r="AA8" s="52" t="s">
        <v>274</v>
      </c>
      <c r="AB8" s="52" t="s">
        <v>274</v>
      </c>
      <c r="AC8" s="52" t="s">
        <v>230</v>
      </c>
      <c r="AD8" s="100" t="s">
        <v>230</v>
      </c>
      <c r="AE8" s="52" t="s">
        <v>231</v>
      </c>
      <c r="AF8" s="52" t="s">
        <v>271</v>
      </c>
      <c r="AG8" s="52" t="s">
        <v>271</v>
      </c>
      <c r="AH8" s="52" t="s">
        <v>274</v>
      </c>
      <c r="AI8" s="52" t="s">
        <v>274</v>
      </c>
      <c r="AJ8" s="52" t="s">
        <v>274</v>
      </c>
      <c r="AL8" s="51">
        <f t="shared" si="0"/>
        <v>2</v>
      </c>
      <c r="AM8" s="51">
        <f t="shared" si="1"/>
        <v>2</v>
      </c>
      <c r="AN8" s="51">
        <f t="shared" si="2"/>
        <v>2</v>
      </c>
      <c r="AO8" s="51">
        <f t="shared" si="3"/>
        <v>3</v>
      </c>
      <c r="AP8" s="51">
        <f t="shared" si="4"/>
        <v>8</v>
      </c>
    </row>
    <row r="9" spans="2:42" ht="18.75" x14ac:dyDescent="0.25">
      <c r="B9" s="59">
        <v>5</v>
      </c>
      <c r="C9" s="147" t="s">
        <v>218</v>
      </c>
      <c r="D9" s="237"/>
      <c r="F9" s="52" t="s">
        <v>272</v>
      </c>
      <c r="G9" s="52" t="s">
        <v>231</v>
      </c>
      <c r="H9" s="52" t="s">
        <v>271</v>
      </c>
      <c r="I9" s="52" t="s">
        <v>274</v>
      </c>
      <c r="J9" s="52" t="s">
        <v>274</v>
      </c>
      <c r="K9" s="52" t="s">
        <v>274</v>
      </c>
      <c r="L9" s="57" t="s">
        <v>230</v>
      </c>
      <c r="M9" s="100" t="s">
        <v>270</v>
      </c>
      <c r="N9" s="52" t="s">
        <v>231</v>
      </c>
      <c r="O9" s="52" t="s">
        <v>272</v>
      </c>
      <c r="P9" s="52" t="s">
        <v>271</v>
      </c>
      <c r="Q9" s="52" t="s">
        <v>274</v>
      </c>
      <c r="R9" s="52" t="s">
        <v>274</v>
      </c>
      <c r="S9" s="52" t="s">
        <v>274</v>
      </c>
      <c r="T9" s="57" t="s">
        <v>230</v>
      </c>
      <c r="U9" s="100" t="s">
        <v>270</v>
      </c>
      <c r="V9" s="52" t="s">
        <v>231</v>
      </c>
      <c r="W9" s="52" t="s">
        <v>231</v>
      </c>
      <c r="X9" s="52" t="s">
        <v>271</v>
      </c>
      <c r="Y9" s="52" t="s">
        <v>274</v>
      </c>
      <c r="Z9" s="52" t="s">
        <v>274</v>
      </c>
      <c r="AA9" s="52" t="s">
        <v>274</v>
      </c>
      <c r="AB9" s="57" t="s">
        <v>275</v>
      </c>
      <c r="AC9" s="100" t="s">
        <v>275</v>
      </c>
      <c r="AD9" s="52" t="s">
        <v>275</v>
      </c>
      <c r="AE9" s="52" t="s">
        <v>275</v>
      </c>
      <c r="AF9" s="52" t="s">
        <v>275</v>
      </c>
      <c r="AG9" s="52" t="s">
        <v>275</v>
      </c>
      <c r="AH9" s="52" t="s">
        <v>274</v>
      </c>
      <c r="AI9" s="52" t="s">
        <v>274</v>
      </c>
      <c r="AJ9" s="57" t="s">
        <v>230</v>
      </c>
      <c r="AL9" s="51">
        <f t="shared" si="0"/>
        <v>4</v>
      </c>
      <c r="AM9" s="51">
        <f t="shared" si="1"/>
        <v>3</v>
      </c>
      <c r="AN9" s="51">
        <f t="shared" si="2"/>
        <v>4</v>
      </c>
      <c r="AO9" s="51">
        <f t="shared" si="3"/>
        <v>3</v>
      </c>
      <c r="AP9" s="51">
        <f t="shared" si="4"/>
        <v>11</v>
      </c>
    </row>
    <row r="10" spans="2:42" ht="18.75" x14ac:dyDescent="0.25">
      <c r="B10" s="59">
        <v>6</v>
      </c>
      <c r="C10" s="147" t="s">
        <v>219</v>
      </c>
      <c r="D10" s="237"/>
      <c r="F10" s="52" t="s">
        <v>231</v>
      </c>
      <c r="G10" s="52" t="s">
        <v>271</v>
      </c>
      <c r="H10" s="52" t="s">
        <v>274</v>
      </c>
      <c r="I10" s="52" t="s">
        <v>274</v>
      </c>
      <c r="J10" s="52" t="s">
        <v>274</v>
      </c>
      <c r="K10" s="100" t="s">
        <v>230</v>
      </c>
      <c r="L10" s="52" t="s">
        <v>270</v>
      </c>
      <c r="M10" s="52" t="s">
        <v>231</v>
      </c>
      <c r="N10" s="52" t="s">
        <v>231</v>
      </c>
      <c r="O10" s="52" t="s">
        <v>271</v>
      </c>
      <c r="P10" s="52" t="s">
        <v>274</v>
      </c>
      <c r="Q10" s="52" t="s">
        <v>274</v>
      </c>
      <c r="R10" s="52" t="s">
        <v>274</v>
      </c>
      <c r="S10" s="100" t="s">
        <v>230</v>
      </c>
      <c r="T10" s="52" t="s">
        <v>270</v>
      </c>
      <c r="U10" s="52" t="s">
        <v>231</v>
      </c>
      <c r="V10" s="52" t="s">
        <v>272</v>
      </c>
      <c r="W10" s="52" t="s">
        <v>271</v>
      </c>
      <c r="X10" s="52" t="s">
        <v>274</v>
      </c>
      <c r="Y10" s="52" t="s">
        <v>274</v>
      </c>
      <c r="Z10" s="52" t="s">
        <v>274</v>
      </c>
      <c r="AA10" s="57" t="s">
        <v>230</v>
      </c>
      <c r="AB10" s="100" t="s">
        <v>230</v>
      </c>
      <c r="AC10" s="52" t="s">
        <v>231</v>
      </c>
      <c r="AD10" s="52" t="s">
        <v>231</v>
      </c>
      <c r="AE10" s="52" t="s">
        <v>271</v>
      </c>
      <c r="AF10" s="52" t="s">
        <v>274</v>
      </c>
      <c r="AG10" s="52" t="s">
        <v>274</v>
      </c>
      <c r="AH10" s="52" t="s">
        <v>274</v>
      </c>
      <c r="AI10" s="100" t="s">
        <v>230</v>
      </c>
      <c r="AJ10" s="52" t="s">
        <v>272</v>
      </c>
      <c r="AL10" s="51">
        <f t="shared" si="0"/>
        <v>4</v>
      </c>
      <c r="AM10" s="51">
        <f t="shared" si="1"/>
        <v>5</v>
      </c>
      <c r="AN10" s="51">
        <f t="shared" si="2"/>
        <v>6</v>
      </c>
      <c r="AO10" s="51">
        <f t="shared" si="3"/>
        <v>4</v>
      </c>
      <c r="AP10" s="51">
        <f t="shared" si="4"/>
        <v>12</v>
      </c>
    </row>
    <row r="11" spans="2:42" ht="18.75" x14ac:dyDescent="0.25">
      <c r="B11" s="59">
        <v>7</v>
      </c>
      <c r="C11" s="147" t="s">
        <v>220</v>
      </c>
      <c r="D11" s="237"/>
      <c r="F11" s="52" t="s">
        <v>271</v>
      </c>
      <c r="G11" s="52" t="s">
        <v>274</v>
      </c>
      <c r="H11" s="52" t="s">
        <v>274</v>
      </c>
      <c r="I11" s="52" t="s">
        <v>274</v>
      </c>
      <c r="J11" s="100" t="s">
        <v>230</v>
      </c>
      <c r="K11" s="52" t="s">
        <v>270</v>
      </c>
      <c r="L11" s="52" t="s">
        <v>144</v>
      </c>
      <c r="M11" s="52" t="s">
        <v>271</v>
      </c>
      <c r="N11" s="52" t="s">
        <v>271</v>
      </c>
      <c r="O11" s="52" t="s">
        <v>274</v>
      </c>
      <c r="P11" s="52" t="s">
        <v>274</v>
      </c>
      <c r="Q11" s="52" t="s">
        <v>274</v>
      </c>
      <c r="R11" s="57" t="s">
        <v>230</v>
      </c>
      <c r="S11" s="57" t="s">
        <v>270</v>
      </c>
      <c r="T11" s="57" t="s">
        <v>231</v>
      </c>
      <c r="U11" s="57" t="s">
        <v>231</v>
      </c>
      <c r="V11" s="57" t="s">
        <v>271</v>
      </c>
      <c r="W11" s="52" t="s">
        <v>274</v>
      </c>
      <c r="X11" s="52" t="s">
        <v>274</v>
      </c>
      <c r="Y11" s="52" t="s">
        <v>274</v>
      </c>
      <c r="Z11" s="57" t="s">
        <v>230</v>
      </c>
      <c r="AA11" s="100" t="s">
        <v>270</v>
      </c>
      <c r="AB11" s="52" t="s">
        <v>231</v>
      </c>
      <c r="AC11" s="52" t="s">
        <v>144</v>
      </c>
      <c r="AD11" s="52" t="s">
        <v>271</v>
      </c>
      <c r="AE11" s="52" t="s">
        <v>274</v>
      </c>
      <c r="AF11" s="52" t="s">
        <v>274</v>
      </c>
      <c r="AG11" s="52" t="s">
        <v>274</v>
      </c>
      <c r="AH11" s="100" t="s">
        <v>230</v>
      </c>
      <c r="AI11" s="52" t="s">
        <v>272</v>
      </c>
      <c r="AJ11" s="52" t="s">
        <v>273</v>
      </c>
      <c r="AL11" s="51">
        <f t="shared" si="0"/>
        <v>5</v>
      </c>
      <c r="AM11" s="51">
        <f t="shared" si="1"/>
        <v>4</v>
      </c>
      <c r="AN11" s="51">
        <f t="shared" si="2"/>
        <v>3</v>
      </c>
      <c r="AO11" s="51">
        <f t="shared" si="3"/>
        <v>5</v>
      </c>
      <c r="AP11" s="51">
        <f t="shared" si="4"/>
        <v>12</v>
      </c>
    </row>
    <row r="12" spans="2:42" ht="18.75" x14ac:dyDescent="0.25">
      <c r="B12" s="59">
        <v>8</v>
      </c>
      <c r="C12" s="147" t="s">
        <v>221</v>
      </c>
      <c r="D12" s="237"/>
      <c r="F12" s="52" t="s">
        <v>274</v>
      </c>
      <c r="G12" s="52" t="s">
        <v>274</v>
      </c>
      <c r="H12" s="52" t="s">
        <v>274</v>
      </c>
      <c r="I12" s="57" t="s">
        <v>230</v>
      </c>
      <c r="J12" s="57" t="s">
        <v>230</v>
      </c>
      <c r="K12" s="57" t="s">
        <v>272</v>
      </c>
      <c r="L12" s="57" t="s">
        <v>271</v>
      </c>
      <c r="M12" s="57" t="s">
        <v>271</v>
      </c>
      <c r="N12" s="52" t="s">
        <v>274</v>
      </c>
      <c r="O12" s="52" t="s">
        <v>274</v>
      </c>
      <c r="P12" s="52" t="s">
        <v>274</v>
      </c>
      <c r="Q12" s="100" t="s">
        <v>230</v>
      </c>
      <c r="R12" s="100" t="s">
        <v>270</v>
      </c>
      <c r="S12" s="52" t="s">
        <v>231</v>
      </c>
      <c r="T12" s="52" t="s">
        <v>144</v>
      </c>
      <c r="U12" s="52" t="s">
        <v>271</v>
      </c>
      <c r="V12" s="52" t="s">
        <v>274</v>
      </c>
      <c r="W12" s="52" t="s">
        <v>274</v>
      </c>
      <c r="X12" s="52" t="s">
        <v>274</v>
      </c>
      <c r="Y12" s="100" t="s">
        <v>230</v>
      </c>
      <c r="Z12" s="100" t="s">
        <v>270</v>
      </c>
      <c r="AA12" s="52" t="s">
        <v>231</v>
      </c>
      <c r="AB12" s="52" t="s">
        <v>231</v>
      </c>
      <c r="AC12" s="52" t="s">
        <v>271</v>
      </c>
      <c r="AD12" s="52" t="s">
        <v>274</v>
      </c>
      <c r="AE12" s="52" t="s">
        <v>274</v>
      </c>
      <c r="AF12" s="52" t="s">
        <v>274</v>
      </c>
      <c r="AG12" s="57" t="s">
        <v>230</v>
      </c>
      <c r="AH12" s="57" t="s">
        <v>231</v>
      </c>
      <c r="AI12" s="57" t="s">
        <v>231</v>
      </c>
      <c r="AJ12" s="57" t="s">
        <v>231</v>
      </c>
      <c r="AL12" s="51">
        <f t="shared" si="0"/>
        <v>3</v>
      </c>
      <c r="AM12" s="51">
        <f t="shared" si="1"/>
        <v>5</v>
      </c>
      <c r="AN12" s="51">
        <f t="shared" si="2"/>
        <v>6</v>
      </c>
      <c r="AO12" s="51">
        <f t="shared" si="3"/>
        <v>4</v>
      </c>
      <c r="AP12" s="51">
        <f t="shared" si="4"/>
        <v>12</v>
      </c>
    </row>
    <row r="13" spans="2:42" ht="18.75" x14ac:dyDescent="0.25">
      <c r="B13" s="59">
        <v>9</v>
      </c>
      <c r="C13" s="147" t="s">
        <v>222</v>
      </c>
      <c r="D13" s="237"/>
      <c r="F13" s="52" t="s">
        <v>274</v>
      </c>
      <c r="G13" s="52" t="s">
        <v>274</v>
      </c>
      <c r="H13" s="57" t="s">
        <v>230</v>
      </c>
      <c r="I13" s="57" t="s">
        <v>270</v>
      </c>
      <c r="J13" s="57" t="s">
        <v>231</v>
      </c>
      <c r="K13" s="57" t="s">
        <v>231</v>
      </c>
      <c r="L13" s="57" t="s">
        <v>271</v>
      </c>
      <c r="M13" s="57" t="s">
        <v>274</v>
      </c>
      <c r="N13" s="57" t="s">
        <v>274</v>
      </c>
      <c r="O13" s="57" t="s">
        <v>274</v>
      </c>
      <c r="P13" s="57" t="s">
        <v>230</v>
      </c>
      <c r="Q13" s="57" t="s">
        <v>230</v>
      </c>
      <c r="R13" s="57" t="s">
        <v>272</v>
      </c>
      <c r="S13" s="57" t="s">
        <v>231</v>
      </c>
      <c r="T13" s="57" t="s">
        <v>271</v>
      </c>
      <c r="U13" s="52" t="s">
        <v>274</v>
      </c>
      <c r="V13" s="52" t="s">
        <v>274</v>
      </c>
      <c r="W13" s="52" t="s">
        <v>274</v>
      </c>
      <c r="X13" s="100" t="s">
        <v>230</v>
      </c>
      <c r="Y13" s="100" t="s">
        <v>270</v>
      </c>
      <c r="Z13" s="52" t="s">
        <v>231</v>
      </c>
      <c r="AA13" s="52" t="s">
        <v>273</v>
      </c>
      <c r="AB13" s="52" t="s">
        <v>271</v>
      </c>
      <c r="AC13" s="52" t="s">
        <v>274</v>
      </c>
      <c r="AD13" s="52" t="s">
        <v>274</v>
      </c>
      <c r="AE13" s="52" t="s">
        <v>274</v>
      </c>
      <c r="AF13" s="57" t="s">
        <v>230</v>
      </c>
      <c r="AG13" s="57" t="s">
        <v>231</v>
      </c>
      <c r="AH13" s="57" t="s">
        <v>144</v>
      </c>
      <c r="AI13" s="57" t="s">
        <v>231</v>
      </c>
      <c r="AJ13" s="57" t="s">
        <v>271</v>
      </c>
      <c r="AL13" s="51">
        <f t="shared" si="0"/>
        <v>4</v>
      </c>
      <c r="AM13" s="51">
        <f t="shared" si="1"/>
        <v>5</v>
      </c>
      <c r="AN13" s="51">
        <f t="shared" si="2"/>
        <v>6</v>
      </c>
      <c r="AO13" s="51">
        <f t="shared" si="3"/>
        <v>4</v>
      </c>
      <c r="AP13" s="51">
        <f t="shared" si="4"/>
        <v>11</v>
      </c>
    </row>
    <row r="14" spans="2:42" ht="18.75" x14ac:dyDescent="0.25">
      <c r="B14" s="59">
        <v>10</v>
      </c>
      <c r="C14" s="147" t="s">
        <v>145</v>
      </c>
      <c r="D14" s="237"/>
      <c r="F14" s="52" t="s">
        <v>274</v>
      </c>
      <c r="G14" s="57" t="s">
        <v>144</v>
      </c>
      <c r="H14" s="100" t="s">
        <v>270</v>
      </c>
      <c r="I14" s="100" t="s">
        <v>231</v>
      </c>
      <c r="J14" s="52" t="s">
        <v>271</v>
      </c>
      <c r="K14" s="52" t="s">
        <v>271</v>
      </c>
      <c r="L14" s="52" t="s">
        <v>274</v>
      </c>
      <c r="M14" s="52" t="s">
        <v>274</v>
      </c>
      <c r="N14" s="52" t="s">
        <v>274</v>
      </c>
      <c r="O14" s="57" t="s">
        <v>230</v>
      </c>
      <c r="P14" s="100" t="s">
        <v>270</v>
      </c>
      <c r="Q14" s="52" t="s">
        <v>231</v>
      </c>
      <c r="R14" s="52" t="s">
        <v>231</v>
      </c>
      <c r="S14" s="52" t="s">
        <v>271</v>
      </c>
      <c r="T14" s="52" t="s">
        <v>274</v>
      </c>
      <c r="U14" s="52" t="s">
        <v>274</v>
      </c>
      <c r="V14" s="52" t="s">
        <v>274</v>
      </c>
      <c r="W14" s="57" t="s">
        <v>230</v>
      </c>
      <c r="X14" s="52" t="s">
        <v>231</v>
      </c>
      <c r="Y14" s="52" t="s">
        <v>271</v>
      </c>
      <c r="Z14" s="52" t="s">
        <v>271</v>
      </c>
      <c r="AA14" s="52" t="s">
        <v>271</v>
      </c>
      <c r="AB14" s="52" t="s">
        <v>274</v>
      </c>
      <c r="AC14" s="52" t="s">
        <v>274</v>
      </c>
      <c r="AD14" s="52" t="s">
        <v>274</v>
      </c>
      <c r="AE14" s="57" t="s">
        <v>275</v>
      </c>
      <c r="AF14" s="100" t="s">
        <v>275</v>
      </c>
      <c r="AG14" s="100" t="s">
        <v>275</v>
      </c>
      <c r="AH14" s="52" t="s">
        <v>275</v>
      </c>
      <c r="AI14" s="52" t="s">
        <v>275</v>
      </c>
      <c r="AJ14" s="52" t="s">
        <v>274</v>
      </c>
      <c r="AL14" s="51">
        <f t="shared" si="0"/>
        <v>2</v>
      </c>
      <c r="AM14" s="51">
        <f t="shared" si="1"/>
        <v>2</v>
      </c>
      <c r="AN14" s="51">
        <f t="shared" si="2"/>
        <v>4</v>
      </c>
      <c r="AO14" s="51">
        <f t="shared" si="3"/>
        <v>6</v>
      </c>
      <c r="AP14" s="51">
        <f t="shared" si="4"/>
        <v>11</v>
      </c>
    </row>
    <row r="15" spans="2:42" ht="18.75" x14ac:dyDescent="0.25">
      <c r="B15" s="59">
        <v>11</v>
      </c>
      <c r="C15" s="148" t="s">
        <v>147</v>
      </c>
      <c r="D15" s="238"/>
      <c r="F15" s="100" t="s">
        <v>230</v>
      </c>
      <c r="G15" s="100" t="s">
        <v>230</v>
      </c>
      <c r="H15" s="100" t="s">
        <v>230</v>
      </c>
      <c r="I15" s="52" t="s">
        <v>231</v>
      </c>
      <c r="J15" s="52" t="s">
        <v>271</v>
      </c>
      <c r="K15" s="52" t="s">
        <v>274</v>
      </c>
      <c r="L15" s="52" t="s">
        <v>274</v>
      </c>
      <c r="M15" s="52" t="s">
        <v>274</v>
      </c>
      <c r="N15" s="57" t="s">
        <v>230</v>
      </c>
      <c r="O15" s="100" t="s">
        <v>270</v>
      </c>
      <c r="P15" s="52" t="s">
        <v>231</v>
      </c>
      <c r="Q15" s="52" t="s">
        <v>271</v>
      </c>
      <c r="R15" s="52" t="s">
        <v>271</v>
      </c>
      <c r="S15" s="52" t="s">
        <v>274</v>
      </c>
      <c r="T15" s="52" t="s">
        <v>274</v>
      </c>
      <c r="U15" s="52" t="s">
        <v>274</v>
      </c>
      <c r="V15" s="57" t="s">
        <v>230</v>
      </c>
      <c r="W15" s="100" t="s">
        <v>270</v>
      </c>
      <c r="X15" s="52" t="s">
        <v>275</v>
      </c>
      <c r="Y15" s="52" t="s">
        <v>231</v>
      </c>
      <c r="Z15" s="52" t="s">
        <v>271</v>
      </c>
      <c r="AA15" s="52" t="s">
        <v>274</v>
      </c>
      <c r="AB15" s="52" t="s">
        <v>274</v>
      </c>
      <c r="AC15" s="52" t="s">
        <v>274</v>
      </c>
      <c r="AD15" s="100" t="s">
        <v>275</v>
      </c>
      <c r="AE15" s="100" t="s">
        <v>275</v>
      </c>
      <c r="AF15" s="100" t="s">
        <v>275</v>
      </c>
      <c r="AG15" s="52" t="s">
        <v>275</v>
      </c>
      <c r="AH15" s="52" t="s">
        <v>275</v>
      </c>
      <c r="AI15" s="52" t="s">
        <v>274</v>
      </c>
      <c r="AJ15" s="52" t="s">
        <v>274</v>
      </c>
      <c r="AL15" s="51">
        <f t="shared" si="0"/>
        <v>2</v>
      </c>
      <c r="AM15" s="51">
        <f t="shared" si="1"/>
        <v>5</v>
      </c>
      <c r="AN15" s="51">
        <f t="shared" si="2"/>
        <v>3</v>
      </c>
      <c r="AO15" s="51">
        <f t="shared" si="3"/>
        <v>4</v>
      </c>
      <c r="AP15" s="51">
        <f t="shared" si="4"/>
        <v>11</v>
      </c>
    </row>
    <row r="16" spans="2:42" ht="18.75" x14ac:dyDescent="0.25">
      <c r="B16" s="59">
        <v>12</v>
      </c>
      <c r="C16" s="148" t="s">
        <v>170</v>
      </c>
      <c r="D16" s="238"/>
      <c r="F16" s="57" t="s">
        <v>230</v>
      </c>
      <c r="G16" s="57" t="s">
        <v>272</v>
      </c>
      <c r="H16" s="57" t="s">
        <v>231</v>
      </c>
      <c r="I16" s="57" t="s">
        <v>271</v>
      </c>
      <c r="J16" s="52" t="s">
        <v>274</v>
      </c>
      <c r="K16" s="52" t="s">
        <v>274</v>
      </c>
      <c r="L16" s="52" t="s">
        <v>274</v>
      </c>
      <c r="M16" s="57" t="s">
        <v>230</v>
      </c>
      <c r="N16" s="100" t="s">
        <v>230</v>
      </c>
      <c r="O16" s="52" t="s">
        <v>231</v>
      </c>
      <c r="P16" s="52" t="s">
        <v>231</v>
      </c>
      <c r="Q16" s="52" t="s">
        <v>271</v>
      </c>
      <c r="R16" s="52" t="s">
        <v>274</v>
      </c>
      <c r="S16" s="52" t="s">
        <v>274</v>
      </c>
      <c r="T16" s="52" t="s">
        <v>274</v>
      </c>
      <c r="U16" s="57" t="s">
        <v>230</v>
      </c>
      <c r="V16" s="100" t="s">
        <v>230</v>
      </c>
      <c r="W16" s="52" t="s">
        <v>231</v>
      </c>
      <c r="X16" s="52" t="s">
        <v>271</v>
      </c>
      <c r="Y16" s="52" t="s">
        <v>271</v>
      </c>
      <c r="Z16" s="52" t="s">
        <v>274</v>
      </c>
      <c r="AA16" s="52" t="s">
        <v>274</v>
      </c>
      <c r="AB16" s="52" t="s">
        <v>274</v>
      </c>
      <c r="AC16" s="57" t="s">
        <v>230</v>
      </c>
      <c r="AD16" s="57" t="s">
        <v>230</v>
      </c>
      <c r="AE16" s="57" t="s">
        <v>231</v>
      </c>
      <c r="AF16" s="57" t="s">
        <v>271</v>
      </c>
      <c r="AG16" s="57" t="s">
        <v>271</v>
      </c>
      <c r="AH16" s="52" t="s">
        <v>274</v>
      </c>
      <c r="AI16" s="52" t="s">
        <v>274</v>
      </c>
      <c r="AJ16" s="52" t="s">
        <v>274</v>
      </c>
      <c r="AL16" s="51">
        <f t="shared" si="0"/>
        <v>1</v>
      </c>
      <c r="AM16" s="51">
        <f t="shared" si="1"/>
        <v>7</v>
      </c>
      <c r="AN16" s="51">
        <f t="shared" si="2"/>
        <v>5</v>
      </c>
      <c r="AO16" s="51">
        <f t="shared" si="3"/>
        <v>6</v>
      </c>
      <c r="AP16" s="51">
        <f t="shared" si="4"/>
        <v>12</v>
      </c>
    </row>
    <row r="17" spans="2:42" ht="18.75" x14ac:dyDescent="0.25">
      <c r="B17" s="59">
        <v>13</v>
      </c>
      <c r="C17" s="148" t="s">
        <v>223</v>
      </c>
      <c r="D17" s="238"/>
      <c r="F17" s="52" t="s">
        <v>231</v>
      </c>
      <c r="G17" s="52" t="s">
        <v>272</v>
      </c>
      <c r="H17" s="52" t="s">
        <v>271</v>
      </c>
      <c r="I17" s="52" t="s">
        <v>274</v>
      </c>
      <c r="J17" s="52" t="s">
        <v>274</v>
      </c>
      <c r="K17" s="52" t="s">
        <v>274</v>
      </c>
      <c r="L17" s="100" t="s">
        <v>230</v>
      </c>
      <c r="M17" s="100" t="s">
        <v>230</v>
      </c>
      <c r="N17" s="52" t="s">
        <v>272</v>
      </c>
      <c r="O17" s="52" t="s">
        <v>231</v>
      </c>
      <c r="P17" s="52" t="s">
        <v>271</v>
      </c>
      <c r="Q17" s="52" t="s">
        <v>274</v>
      </c>
      <c r="R17" s="52" t="s">
        <v>274</v>
      </c>
      <c r="S17" s="52" t="s">
        <v>274</v>
      </c>
      <c r="T17" s="100" t="s">
        <v>275</v>
      </c>
      <c r="U17" s="100" t="s">
        <v>275</v>
      </c>
      <c r="V17" s="100" t="s">
        <v>275</v>
      </c>
      <c r="W17" s="100" t="s">
        <v>275</v>
      </c>
      <c r="X17" s="100" t="s">
        <v>275</v>
      </c>
      <c r="Y17" s="100" t="s">
        <v>275</v>
      </c>
      <c r="Z17" s="100" t="s">
        <v>275</v>
      </c>
      <c r="AA17" s="100" t="s">
        <v>275</v>
      </c>
      <c r="AB17" s="100" t="s">
        <v>275</v>
      </c>
      <c r="AC17" s="100" t="s">
        <v>275</v>
      </c>
      <c r="AD17" s="100" t="s">
        <v>275</v>
      </c>
      <c r="AE17" s="100" t="s">
        <v>275</v>
      </c>
      <c r="AF17" s="100" t="s">
        <v>275</v>
      </c>
      <c r="AG17" s="100" t="s">
        <v>275</v>
      </c>
      <c r="AH17" s="100" t="s">
        <v>275</v>
      </c>
      <c r="AI17" s="100" t="s">
        <v>275</v>
      </c>
      <c r="AJ17" s="100" t="s">
        <v>275</v>
      </c>
      <c r="AL17" s="51">
        <f t="shared" si="0"/>
        <v>2</v>
      </c>
      <c r="AM17" s="51">
        <f t="shared" si="1"/>
        <v>2</v>
      </c>
      <c r="AN17" s="51">
        <f t="shared" si="2"/>
        <v>2</v>
      </c>
      <c r="AO17" s="51">
        <f t="shared" si="3"/>
        <v>2</v>
      </c>
      <c r="AP17" s="51">
        <f t="shared" si="4"/>
        <v>6</v>
      </c>
    </row>
    <row r="18" spans="2:42" ht="18.75" x14ac:dyDescent="0.25">
      <c r="B18" s="59">
        <v>14</v>
      </c>
      <c r="C18" s="148" t="s">
        <v>224</v>
      </c>
      <c r="D18" s="238"/>
      <c r="F18" s="52" t="s">
        <v>273</v>
      </c>
      <c r="G18" s="52" t="s">
        <v>271</v>
      </c>
      <c r="H18" s="52" t="s">
        <v>274</v>
      </c>
      <c r="I18" s="52" t="s">
        <v>274</v>
      </c>
      <c r="J18" s="52" t="s">
        <v>274</v>
      </c>
      <c r="K18" s="100" t="s">
        <v>230</v>
      </c>
      <c r="L18" s="100" t="s">
        <v>231</v>
      </c>
      <c r="M18" s="52" t="s">
        <v>231</v>
      </c>
      <c r="N18" s="52" t="s">
        <v>272</v>
      </c>
      <c r="O18" s="52" t="s">
        <v>271</v>
      </c>
      <c r="P18" s="52" t="s">
        <v>274</v>
      </c>
      <c r="Q18" s="52" t="s">
        <v>274</v>
      </c>
      <c r="R18" s="52" t="s">
        <v>274</v>
      </c>
      <c r="S18" s="100" t="s">
        <v>230</v>
      </c>
      <c r="T18" s="100" t="s">
        <v>230</v>
      </c>
      <c r="U18" s="52" t="s">
        <v>230</v>
      </c>
      <c r="V18" s="52" t="s">
        <v>231</v>
      </c>
      <c r="W18" s="52" t="s">
        <v>271</v>
      </c>
      <c r="X18" s="52" t="s">
        <v>274</v>
      </c>
      <c r="Y18" s="52" t="s">
        <v>274</v>
      </c>
      <c r="Z18" s="52" t="s">
        <v>274</v>
      </c>
      <c r="AA18" s="57" t="s">
        <v>230</v>
      </c>
      <c r="AB18" s="100" t="s">
        <v>230</v>
      </c>
      <c r="AC18" s="52" t="s">
        <v>231</v>
      </c>
      <c r="AD18" s="52" t="s">
        <v>231</v>
      </c>
      <c r="AE18" s="52" t="s">
        <v>271</v>
      </c>
      <c r="AF18" s="52" t="s">
        <v>274</v>
      </c>
      <c r="AG18" s="52" t="s">
        <v>274</v>
      </c>
      <c r="AH18" s="52" t="s">
        <v>274</v>
      </c>
      <c r="AI18" s="100" t="s">
        <v>230</v>
      </c>
      <c r="AJ18" s="100" t="s">
        <v>230</v>
      </c>
      <c r="AL18" s="51">
        <f t="shared" si="0"/>
        <v>2</v>
      </c>
      <c r="AM18" s="51">
        <f t="shared" si="1"/>
        <v>8</v>
      </c>
      <c r="AN18" s="51">
        <f t="shared" si="2"/>
        <v>5</v>
      </c>
      <c r="AO18" s="51">
        <f t="shared" si="3"/>
        <v>4</v>
      </c>
      <c r="AP18" s="51">
        <f t="shared" si="4"/>
        <v>12</v>
      </c>
    </row>
    <row r="19" spans="2:42" ht="19.5" thickBot="1" x14ac:dyDescent="0.3">
      <c r="B19" s="60">
        <v>15</v>
      </c>
      <c r="C19" s="239" t="s">
        <v>225</v>
      </c>
      <c r="D19" s="240"/>
      <c r="F19" s="65" t="s">
        <v>271</v>
      </c>
      <c r="G19" s="65" t="s">
        <v>274</v>
      </c>
      <c r="H19" s="65" t="s">
        <v>274</v>
      </c>
      <c r="I19" s="65" t="s">
        <v>274</v>
      </c>
      <c r="J19" s="65" t="s">
        <v>270</v>
      </c>
      <c r="K19" s="65" t="s">
        <v>231</v>
      </c>
      <c r="L19" s="65" t="s">
        <v>231</v>
      </c>
      <c r="M19" s="65" t="s">
        <v>273</v>
      </c>
      <c r="N19" s="65" t="s">
        <v>271</v>
      </c>
      <c r="O19" s="65" t="s">
        <v>274</v>
      </c>
      <c r="P19" s="65" t="s">
        <v>274</v>
      </c>
      <c r="Q19" s="65" t="s">
        <v>274</v>
      </c>
      <c r="R19" s="110" t="s">
        <v>230</v>
      </c>
      <c r="S19" s="65" t="s">
        <v>144</v>
      </c>
      <c r="T19" s="65" t="s">
        <v>231</v>
      </c>
      <c r="U19" s="65" t="s">
        <v>271</v>
      </c>
      <c r="V19" s="65" t="s">
        <v>271</v>
      </c>
      <c r="W19" s="65" t="s">
        <v>274</v>
      </c>
      <c r="X19" s="65" t="s">
        <v>274</v>
      </c>
      <c r="Y19" s="65" t="s">
        <v>274</v>
      </c>
      <c r="Z19" s="110" t="s">
        <v>230</v>
      </c>
      <c r="AA19" s="110" t="s">
        <v>231</v>
      </c>
      <c r="AB19" s="65" t="s">
        <v>272</v>
      </c>
      <c r="AC19" s="65" t="s">
        <v>271</v>
      </c>
      <c r="AD19" s="65" t="s">
        <v>271</v>
      </c>
      <c r="AE19" s="65" t="s">
        <v>274</v>
      </c>
      <c r="AF19" s="65" t="s">
        <v>274</v>
      </c>
      <c r="AG19" s="65" t="s">
        <v>274</v>
      </c>
      <c r="AH19" s="65" t="s">
        <v>230</v>
      </c>
      <c r="AI19" s="65" t="s">
        <v>272</v>
      </c>
      <c r="AJ19" s="65" t="s">
        <v>231</v>
      </c>
      <c r="AL19" s="51">
        <f t="shared" si="0"/>
        <v>4</v>
      </c>
      <c r="AM19" s="51">
        <f t="shared" si="1"/>
        <v>3</v>
      </c>
      <c r="AN19" s="51">
        <f t="shared" si="2"/>
        <v>5</v>
      </c>
      <c r="AO19" s="51">
        <f t="shared" si="3"/>
        <v>6</v>
      </c>
      <c r="AP19" s="51">
        <f t="shared" si="4"/>
        <v>12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3" t="s">
        <v>91</v>
      </c>
      <c r="D21" s="183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3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3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3" t="s">
        <v>92</v>
      </c>
      <c r="D22" s="183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1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3" t="s">
        <v>72</v>
      </c>
      <c r="D23" s="183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3" t="s">
        <v>73</v>
      </c>
      <c r="D24" s="183"/>
      <c r="E24" s="36"/>
      <c r="F24" s="37">
        <f t="shared" ref="F24:AJ24" si="8">COUNTIF(F$5:F$19,"O*")</f>
        <v>5</v>
      </c>
      <c r="G24" s="37">
        <f t="shared" si="8"/>
        <v>5</v>
      </c>
      <c r="H24" s="37">
        <f t="shared" si="8"/>
        <v>5</v>
      </c>
      <c r="I24" s="37">
        <f t="shared" si="8"/>
        <v>6</v>
      </c>
      <c r="J24" s="37">
        <f t="shared" si="8"/>
        <v>6</v>
      </c>
      <c r="K24" s="37">
        <f t="shared" si="8"/>
        <v>5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5</v>
      </c>
      <c r="P24" s="37">
        <f t="shared" si="8"/>
        <v>5</v>
      </c>
      <c r="Q24" s="37">
        <f t="shared" si="8"/>
        <v>6</v>
      </c>
      <c r="R24" s="37">
        <f t="shared" si="8"/>
        <v>5</v>
      </c>
      <c r="S24" s="37">
        <f t="shared" si="8"/>
        <v>4</v>
      </c>
      <c r="T24" s="37">
        <f t="shared" si="8"/>
        <v>4</v>
      </c>
      <c r="U24" s="37">
        <f t="shared" si="8"/>
        <v>5</v>
      </c>
      <c r="V24" s="37">
        <f t="shared" si="8"/>
        <v>5</v>
      </c>
      <c r="W24" s="37">
        <f t="shared" si="8"/>
        <v>5</v>
      </c>
      <c r="X24" s="37">
        <f t="shared" si="8"/>
        <v>5</v>
      </c>
      <c r="Y24" s="37">
        <f t="shared" si="8"/>
        <v>5</v>
      </c>
      <c r="Z24" s="37">
        <f t="shared" si="8"/>
        <v>4</v>
      </c>
      <c r="AA24" s="37">
        <f t="shared" si="8"/>
        <v>4</v>
      </c>
      <c r="AB24" s="37">
        <f t="shared" si="8"/>
        <v>6</v>
      </c>
      <c r="AC24" s="37">
        <f t="shared" si="8"/>
        <v>6</v>
      </c>
      <c r="AD24" s="37">
        <f t="shared" si="8"/>
        <v>5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5</v>
      </c>
      <c r="AI24" s="37">
        <f t="shared" si="8"/>
        <v>5</v>
      </c>
      <c r="AJ24" s="37">
        <f t="shared" si="8"/>
        <v>6</v>
      </c>
    </row>
    <row r="25" spans="2:42" ht="18.75" x14ac:dyDescent="0.3">
      <c r="C25" s="179" t="s">
        <v>106</v>
      </c>
      <c r="D25" s="180"/>
      <c r="E25" s="36"/>
      <c r="F25" s="37">
        <f t="shared" ref="F25:AJ25" si="9">COUNTIF(F$5:F$19,"ST*")</f>
        <v>3</v>
      </c>
      <c r="G25" s="37">
        <f t="shared" si="9"/>
        <v>2</v>
      </c>
      <c r="H25" s="37">
        <f t="shared" si="9"/>
        <v>2</v>
      </c>
      <c r="I25" s="37">
        <f t="shared" si="9"/>
        <v>1</v>
      </c>
      <c r="J25" s="37">
        <f t="shared" si="9"/>
        <v>1</v>
      </c>
      <c r="K25" s="37">
        <f t="shared" si="9"/>
        <v>2</v>
      </c>
      <c r="L25" s="37">
        <f t="shared" si="9"/>
        <v>1</v>
      </c>
      <c r="M25" s="37">
        <f t="shared" si="9"/>
        <v>2</v>
      </c>
      <c r="N25" s="37">
        <f t="shared" si="9"/>
        <v>2</v>
      </c>
      <c r="O25" s="37">
        <f t="shared" si="9"/>
        <v>2</v>
      </c>
      <c r="P25" s="37">
        <f t="shared" si="9"/>
        <v>2</v>
      </c>
      <c r="Q25" s="37">
        <f t="shared" si="9"/>
        <v>1</v>
      </c>
      <c r="R25" s="37">
        <f t="shared" si="9"/>
        <v>2</v>
      </c>
      <c r="S25" s="37">
        <f t="shared" si="9"/>
        <v>2</v>
      </c>
      <c r="T25" s="37">
        <f t="shared" si="9"/>
        <v>1</v>
      </c>
      <c r="U25" s="37">
        <f t="shared" si="9"/>
        <v>1</v>
      </c>
      <c r="V25" s="37">
        <f t="shared" si="9"/>
        <v>1</v>
      </c>
      <c r="W25" s="37">
        <f t="shared" si="9"/>
        <v>1</v>
      </c>
      <c r="X25" s="37">
        <f t="shared" si="9"/>
        <v>0</v>
      </c>
      <c r="Y25" s="37">
        <f t="shared" si="9"/>
        <v>1</v>
      </c>
      <c r="Z25" s="37">
        <f t="shared" si="9"/>
        <v>2</v>
      </c>
      <c r="AA25" s="37">
        <f t="shared" si="9"/>
        <v>3</v>
      </c>
      <c r="AB25" s="37">
        <f t="shared" si="9"/>
        <v>1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1</v>
      </c>
      <c r="AH25" s="37">
        <f t="shared" si="9"/>
        <v>0</v>
      </c>
      <c r="AI25" s="37">
        <f t="shared" si="9"/>
        <v>2</v>
      </c>
      <c r="AJ25" s="37">
        <f t="shared" si="9"/>
        <v>2</v>
      </c>
    </row>
    <row r="26" spans="2:42" ht="18.75" x14ac:dyDescent="0.3">
      <c r="C26" s="181" t="s">
        <v>104</v>
      </c>
      <c r="D26" s="181"/>
      <c r="E26" s="38"/>
      <c r="F26" s="54">
        <f>F28-F29</f>
        <v>0</v>
      </c>
      <c r="G26" s="54">
        <f t="shared" ref="G26:AJ26" si="10">G28-G29</f>
        <v>0</v>
      </c>
      <c r="H26" s="54">
        <f t="shared" si="10"/>
        <v>0</v>
      </c>
      <c r="I26" s="54">
        <f t="shared" si="10"/>
        <v>0</v>
      </c>
      <c r="J26" s="54">
        <f t="shared" si="10"/>
        <v>0</v>
      </c>
      <c r="K26" s="54">
        <f t="shared" si="10"/>
        <v>0</v>
      </c>
      <c r="L26" s="54">
        <f t="shared" si="10"/>
        <v>0</v>
      </c>
      <c r="M26" s="54">
        <f t="shared" si="10"/>
        <v>0</v>
      </c>
      <c r="N26" s="54">
        <f t="shared" si="10"/>
        <v>0</v>
      </c>
      <c r="O26" s="54">
        <f t="shared" si="10"/>
        <v>0</v>
      </c>
      <c r="P26" s="54">
        <f t="shared" si="10"/>
        <v>0</v>
      </c>
      <c r="Q26" s="54">
        <f t="shared" si="10"/>
        <v>0</v>
      </c>
      <c r="R26" s="54">
        <f t="shared" si="10"/>
        <v>0</v>
      </c>
      <c r="S26" s="54">
        <f t="shared" si="10"/>
        <v>0</v>
      </c>
      <c r="T26" s="54">
        <f t="shared" si="10"/>
        <v>0</v>
      </c>
      <c r="U26" s="54">
        <f t="shared" si="10"/>
        <v>0</v>
      </c>
      <c r="V26" s="54">
        <f t="shared" si="10"/>
        <v>0</v>
      </c>
      <c r="W26" s="54">
        <f t="shared" si="10"/>
        <v>0</v>
      </c>
      <c r="X26" s="54">
        <f t="shared" si="10"/>
        <v>0</v>
      </c>
      <c r="Y26" s="54">
        <f t="shared" si="10"/>
        <v>0</v>
      </c>
      <c r="Z26" s="54">
        <f t="shared" si="10"/>
        <v>0</v>
      </c>
      <c r="AA26" s="54">
        <f t="shared" si="10"/>
        <v>0</v>
      </c>
      <c r="AB26" s="54">
        <f t="shared" si="10"/>
        <v>0</v>
      </c>
      <c r="AC26" s="54">
        <f t="shared" si="10"/>
        <v>0</v>
      </c>
      <c r="AD26" s="54">
        <f t="shared" si="10"/>
        <v>1</v>
      </c>
      <c r="AE26" s="54">
        <f t="shared" si="10"/>
        <v>0</v>
      </c>
      <c r="AF26" s="54">
        <f t="shared" si="10"/>
        <v>0</v>
      </c>
      <c r="AG26" s="54">
        <f t="shared" si="10"/>
        <v>0</v>
      </c>
      <c r="AH26" s="54">
        <f t="shared" si="10"/>
        <v>0</v>
      </c>
      <c r="AI26" s="54">
        <f t="shared" si="10"/>
        <v>0</v>
      </c>
      <c r="AJ26" s="54">
        <f t="shared" si="10"/>
        <v>0</v>
      </c>
    </row>
    <row r="27" spans="2:42" ht="18.75" x14ac:dyDescent="0.3">
      <c r="C27" s="40"/>
      <c r="D27" s="40"/>
      <c r="E27" s="36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</row>
    <row r="28" spans="2:42" ht="18.75" x14ac:dyDescent="0.3">
      <c r="C28" s="183" t="s">
        <v>102</v>
      </c>
      <c r="D28" s="183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6</v>
      </c>
      <c r="AD28" s="41">
        <f t="shared" si="11"/>
        <v>7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83" t="s">
        <v>90</v>
      </c>
      <c r="D29" s="183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3" t="s">
        <v>103</v>
      </c>
      <c r="D30" s="183"/>
      <c r="E30" s="36"/>
      <c r="F30" s="37">
        <f>SUM(F21,F22,F23,F24,F25)</f>
        <v>14</v>
      </c>
      <c r="G30" s="37">
        <f t="shared" ref="G30:AJ30" si="12">SUM(G21,G22,G23,G24,G25)</f>
        <v>13</v>
      </c>
      <c r="H30" s="37">
        <f t="shared" si="12"/>
        <v>13</v>
      </c>
      <c r="I30" s="37">
        <f t="shared" si="12"/>
        <v>13</v>
      </c>
      <c r="J30" s="37">
        <f t="shared" si="12"/>
        <v>13</v>
      </c>
      <c r="K30" s="37">
        <f t="shared" si="12"/>
        <v>13</v>
      </c>
      <c r="L30" s="37">
        <f t="shared" si="12"/>
        <v>12</v>
      </c>
      <c r="M30" s="37">
        <f t="shared" si="12"/>
        <v>13</v>
      </c>
      <c r="N30" s="37">
        <f t="shared" si="12"/>
        <v>13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13</v>
      </c>
      <c r="S30" s="37">
        <f t="shared" si="12"/>
        <v>12</v>
      </c>
      <c r="T30" s="37">
        <f t="shared" si="12"/>
        <v>11</v>
      </c>
      <c r="U30" s="37">
        <f t="shared" si="12"/>
        <v>12</v>
      </c>
      <c r="V30" s="37">
        <f t="shared" si="12"/>
        <v>12</v>
      </c>
      <c r="W30" s="37">
        <f t="shared" si="12"/>
        <v>12</v>
      </c>
      <c r="X30" s="37">
        <f t="shared" si="12"/>
        <v>11</v>
      </c>
      <c r="Y30" s="37">
        <f t="shared" si="12"/>
        <v>12</v>
      </c>
      <c r="Z30" s="37">
        <f t="shared" si="12"/>
        <v>12</v>
      </c>
      <c r="AA30" s="37">
        <f t="shared" si="12"/>
        <v>13</v>
      </c>
      <c r="AB30" s="37">
        <f t="shared" si="12"/>
        <v>13</v>
      </c>
      <c r="AC30" s="37">
        <f t="shared" si="12"/>
        <v>12</v>
      </c>
      <c r="AD30" s="37">
        <f t="shared" si="12"/>
        <v>12</v>
      </c>
      <c r="AE30" s="37">
        <f t="shared" si="12"/>
        <v>11</v>
      </c>
      <c r="AF30" s="37">
        <f t="shared" si="12"/>
        <v>11</v>
      </c>
      <c r="AG30" s="37">
        <f t="shared" si="12"/>
        <v>11</v>
      </c>
      <c r="AH30" s="37">
        <f t="shared" si="12"/>
        <v>11</v>
      </c>
      <c r="AI30" s="37">
        <f t="shared" si="12"/>
        <v>13</v>
      </c>
      <c r="AJ30" s="37">
        <f t="shared" si="12"/>
        <v>14</v>
      </c>
    </row>
    <row r="32" spans="2:42" ht="9.75" customHeight="1" thickBot="1" x14ac:dyDescent="0.3"/>
    <row r="33" spans="6:8" ht="16.5" thickBot="1" x14ac:dyDescent="0.3">
      <c r="F33" s="199" t="s">
        <v>233</v>
      </c>
      <c r="G33" s="200"/>
      <c r="H33" s="201"/>
    </row>
    <row r="34" spans="6:8" x14ac:dyDescent="0.25">
      <c r="F34" s="71" t="s">
        <v>142</v>
      </c>
      <c r="G34" s="202" t="s">
        <v>229</v>
      </c>
      <c r="H34" s="203"/>
    </row>
    <row r="35" spans="6:8" x14ac:dyDescent="0.25">
      <c r="F35" s="72" t="s">
        <v>119</v>
      </c>
      <c r="G35" s="220" t="s">
        <v>230</v>
      </c>
      <c r="H35" s="236"/>
    </row>
    <row r="36" spans="6:8" x14ac:dyDescent="0.25">
      <c r="F36" s="73" t="s">
        <v>227</v>
      </c>
      <c r="G36" s="205" t="s">
        <v>231</v>
      </c>
      <c r="H36" s="206"/>
    </row>
    <row r="37" spans="6:8" x14ac:dyDescent="0.25">
      <c r="F37" s="74" t="s">
        <v>228</v>
      </c>
      <c r="G37" s="207" t="s">
        <v>232</v>
      </c>
      <c r="H37" s="208"/>
    </row>
    <row r="38" spans="6:8" x14ac:dyDescent="0.25">
      <c r="F38" s="75" t="s">
        <v>144</v>
      </c>
      <c r="G38" s="191" t="s">
        <v>235</v>
      </c>
      <c r="H38" s="192"/>
    </row>
    <row r="39" spans="6:8" x14ac:dyDescent="0.25">
      <c r="F39" s="76"/>
      <c r="G39" s="193" t="s">
        <v>234</v>
      </c>
      <c r="H39" s="194"/>
    </row>
    <row r="40" spans="6:8" ht="16.5" thickBot="1" x14ac:dyDescent="0.3">
      <c r="F40" s="77" t="s">
        <v>236</v>
      </c>
      <c r="G40" s="234" t="s">
        <v>237</v>
      </c>
      <c r="H40" s="235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J19">
    <cfRule type="containsText" dxfId="124" priority="1" operator="containsText" text="STMN06">
      <formula>NOT(ISERROR(SEARCH("STMN06",F5)))</formula>
    </cfRule>
    <cfRule type="containsText" dxfId="123" priority="3" operator="containsText" text="STAN13">
      <formula>NOT(ISERROR(SEARCH("STAN13",F5)))</formula>
    </cfRule>
    <cfRule type="containsText" dxfId="122" priority="4" operator="containsText" text="TR">
      <formula>NOT(ISERROR(SEARCH("TR",F5)))</formula>
    </cfRule>
    <cfRule type="containsText" dxfId="121" priority="5" operator="containsText" text="LV">
      <formula>NOT(ISERROR(SEARCH("LV",F5)))</formula>
    </cfRule>
    <cfRule type="containsText" dxfId="120" priority="6" operator="containsText" text="AN13">
      <formula>NOT(ISERROR(SEARCH("AN13",F5)))</formula>
    </cfRule>
    <cfRule type="containsText" dxfId="119" priority="7" operator="containsText" text="AN13">
      <formula>NOT(ISERROR(SEARCH("AN13",F5)))</formula>
    </cfRule>
    <cfRule type="containsText" dxfId="118" priority="8" operator="containsText" text="AN13">
      <formula>NOT(ISERROR(SEARCH("AN13",F5)))</formula>
    </cfRule>
    <cfRule type="containsText" dxfId="117" priority="9" operator="containsText" text="MN06">
      <formula>NOT(ISERROR(SEARCH("MN06",F5)))</formula>
    </cfRule>
    <cfRule type="containsText" dxfId="116" priority="10" operator="containsText" text="STAN13">
      <formula>NOT(ISERROR(SEARCH("STAN13",F5)))</formula>
    </cfRule>
    <cfRule type="containsText" dxfId="115" priority="11" operator="containsText" text="STNN21">
      <formula>NOT(ISERROR(SEARCH("STNN21",F5)))</formula>
    </cfRule>
    <cfRule type="containsText" dxfId="114" priority="12" operator="containsText" text="NN21">
      <formula>NOT(ISERROR(SEARCH("NN21",F5)))</formula>
    </cfRule>
    <cfRule type="containsText" dxfId="113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2" t="s">
        <v>280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" x14ac:dyDescent="0.25">
      <c r="B3" s="150" t="s">
        <v>105</v>
      </c>
      <c r="C3" s="150"/>
      <c r="D3" s="150"/>
      <c r="F3" s="28" t="s">
        <v>95</v>
      </c>
      <c r="G3" s="29" t="s">
        <v>96</v>
      </c>
      <c r="H3" s="29" t="s">
        <v>97</v>
      </c>
      <c r="I3" s="28" t="s">
        <v>98</v>
      </c>
      <c r="J3" s="29" t="s">
        <v>99</v>
      </c>
      <c r="K3" s="29" t="s">
        <v>100</v>
      </c>
      <c r="L3" s="28" t="s">
        <v>101</v>
      </c>
      <c r="M3" s="29" t="s">
        <v>95</v>
      </c>
      <c r="N3" s="29" t="s">
        <v>96</v>
      </c>
      <c r="O3" s="28" t="s">
        <v>97</v>
      </c>
      <c r="P3" s="29" t="s">
        <v>98</v>
      </c>
      <c r="Q3" s="29" t="s">
        <v>99</v>
      </c>
      <c r="R3" s="28" t="s">
        <v>100</v>
      </c>
      <c r="S3" s="29" t="s">
        <v>101</v>
      </c>
      <c r="T3" s="29" t="s">
        <v>95</v>
      </c>
      <c r="U3" s="28" t="s">
        <v>96</v>
      </c>
      <c r="V3" s="29" t="s">
        <v>97</v>
      </c>
      <c r="W3" s="29" t="s">
        <v>98</v>
      </c>
      <c r="X3" s="28" t="s">
        <v>99</v>
      </c>
      <c r="Y3" s="29" t="s">
        <v>100</v>
      </c>
      <c r="Z3" s="29" t="s">
        <v>101</v>
      </c>
      <c r="AA3" s="28" t="s">
        <v>95</v>
      </c>
      <c r="AB3" s="29" t="s">
        <v>96</v>
      </c>
      <c r="AC3" s="29" t="s">
        <v>97</v>
      </c>
      <c r="AD3" s="28" t="s">
        <v>98</v>
      </c>
      <c r="AE3" s="29" t="s">
        <v>99</v>
      </c>
      <c r="AF3" s="29" t="s">
        <v>100</v>
      </c>
      <c r="AG3" s="28" t="s">
        <v>101</v>
      </c>
      <c r="AH3" s="29" t="s">
        <v>95</v>
      </c>
      <c r="AI3" s="29" t="s">
        <v>96</v>
      </c>
      <c r="AJ3" s="28" t="s">
        <v>97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32">
        <v>1</v>
      </c>
      <c r="G4" s="33">
        <v>2</v>
      </c>
      <c r="H4" s="33">
        <v>3</v>
      </c>
      <c r="I4" s="32">
        <v>4</v>
      </c>
      <c r="J4" s="33">
        <v>5</v>
      </c>
      <c r="K4" s="33">
        <v>6</v>
      </c>
      <c r="L4" s="32">
        <v>7</v>
      </c>
      <c r="M4" s="33">
        <v>8</v>
      </c>
      <c r="N4" s="33">
        <v>9</v>
      </c>
      <c r="O4" s="32">
        <v>10</v>
      </c>
      <c r="P4" s="33">
        <v>11</v>
      </c>
      <c r="Q4" s="33">
        <v>12</v>
      </c>
      <c r="R4" s="32">
        <v>13</v>
      </c>
      <c r="S4" s="33">
        <v>14</v>
      </c>
      <c r="T4" s="33">
        <v>15</v>
      </c>
      <c r="U4" s="32">
        <v>16</v>
      </c>
      <c r="V4" s="33">
        <v>17</v>
      </c>
      <c r="W4" s="33">
        <v>18</v>
      </c>
      <c r="X4" s="32">
        <v>19</v>
      </c>
      <c r="Y4" s="33">
        <v>20</v>
      </c>
      <c r="Z4" s="33">
        <v>21</v>
      </c>
      <c r="AA4" s="32">
        <v>22</v>
      </c>
      <c r="AB4" s="33">
        <v>23</v>
      </c>
      <c r="AC4" s="33">
        <v>24</v>
      </c>
      <c r="AD4" s="32">
        <v>25</v>
      </c>
      <c r="AE4" s="33">
        <v>26</v>
      </c>
      <c r="AF4" s="33">
        <v>27</v>
      </c>
      <c r="AG4" s="32">
        <v>28</v>
      </c>
      <c r="AH4" s="33">
        <v>29</v>
      </c>
      <c r="AI4" s="33">
        <v>30</v>
      </c>
      <c r="AJ4" s="120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84" t="s">
        <v>193</v>
      </c>
      <c r="D5" s="185"/>
      <c r="F5" s="44" t="s">
        <v>274</v>
      </c>
      <c r="G5" s="44" t="s">
        <v>274</v>
      </c>
      <c r="H5" s="107" t="s">
        <v>230</v>
      </c>
      <c r="I5" s="44" t="s">
        <v>231</v>
      </c>
      <c r="J5" s="44" t="s">
        <v>231</v>
      </c>
      <c r="K5" s="44" t="s">
        <v>271</v>
      </c>
      <c r="L5" s="44" t="s">
        <v>271</v>
      </c>
      <c r="M5" s="44" t="s">
        <v>274</v>
      </c>
      <c r="N5" s="44" t="s">
        <v>274</v>
      </c>
      <c r="O5" s="44" t="s">
        <v>274</v>
      </c>
      <c r="P5" s="107" t="s">
        <v>230</v>
      </c>
      <c r="Q5" s="107" t="s">
        <v>230</v>
      </c>
      <c r="R5" s="44" t="s">
        <v>231</v>
      </c>
      <c r="S5" s="44" t="s">
        <v>231</v>
      </c>
      <c r="T5" s="44" t="s">
        <v>271</v>
      </c>
      <c r="U5" s="44" t="s">
        <v>274</v>
      </c>
      <c r="V5" s="44" t="s">
        <v>274</v>
      </c>
      <c r="W5" s="44" t="s">
        <v>274</v>
      </c>
      <c r="X5" s="107" t="s">
        <v>230</v>
      </c>
      <c r="Y5" s="44" t="s">
        <v>231</v>
      </c>
      <c r="Z5" s="44" t="s">
        <v>231</v>
      </c>
      <c r="AA5" s="44" t="s">
        <v>271</v>
      </c>
      <c r="AB5" s="44" t="s">
        <v>271</v>
      </c>
      <c r="AC5" s="44" t="s">
        <v>274</v>
      </c>
      <c r="AD5" s="44" t="s">
        <v>274</v>
      </c>
      <c r="AE5" s="44" t="s">
        <v>274</v>
      </c>
      <c r="AF5" s="107" t="s">
        <v>230</v>
      </c>
      <c r="AG5" s="44" t="s">
        <v>231</v>
      </c>
      <c r="AH5" s="44" t="s">
        <v>271</v>
      </c>
      <c r="AI5" s="44" t="s">
        <v>271</v>
      </c>
      <c r="AJ5" s="44" t="s">
        <v>271</v>
      </c>
      <c r="AL5" s="22">
        <f>COUNTIF($F5:$AJ5,"ST*")</f>
        <v>0</v>
      </c>
      <c r="AM5" s="22">
        <f>COUNTIF($F5:$AJ5,"M*")</f>
        <v>5</v>
      </c>
      <c r="AN5" s="22">
        <f>COUNTIF($F5:$AJ5,"A*")</f>
        <v>7</v>
      </c>
      <c r="AO5" s="22">
        <f>COUNTIF($F5:$AJ5,"N*")</f>
        <v>8</v>
      </c>
      <c r="AP5" s="22">
        <f>COUNTIF($F5:$AJ5,"O*")</f>
        <v>11</v>
      </c>
    </row>
    <row r="6" spans="2:42" ht="18.75" x14ac:dyDescent="0.25">
      <c r="B6" s="37">
        <v>2</v>
      </c>
      <c r="C6" s="148" t="s">
        <v>194</v>
      </c>
      <c r="D6" s="153"/>
      <c r="F6" s="23" t="s">
        <v>274</v>
      </c>
      <c r="G6" s="57" t="s">
        <v>230</v>
      </c>
      <c r="H6" s="57" t="s">
        <v>230</v>
      </c>
      <c r="I6" s="57" t="s">
        <v>272</v>
      </c>
      <c r="J6" s="57" t="s">
        <v>271</v>
      </c>
      <c r="K6" s="57" t="s">
        <v>271</v>
      </c>
      <c r="L6" s="23" t="s">
        <v>274</v>
      </c>
      <c r="M6" s="23" t="s">
        <v>274</v>
      </c>
      <c r="N6" s="23" t="s">
        <v>274</v>
      </c>
      <c r="O6" s="27" t="s">
        <v>275</v>
      </c>
      <c r="P6" s="52" t="s">
        <v>275</v>
      </c>
      <c r="Q6" s="52" t="s">
        <v>275</v>
      </c>
      <c r="R6" s="23" t="s">
        <v>275</v>
      </c>
      <c r="S6" s="23" t="s">
        <v>275</v>
      </c>
      <c r="T6" s="23" t="s">
        <v>275</v>
      </c>
      <c r="U6" s="23" t="s">
        <v>274</v>
      </c>
      <c r="V6" s="23" t="s">
        <v>274</v>
      </c>
      <c r="W6" s="27" t="s">
        <v>230</v>
      </c>
      <c r="X6" s="52" t="s">
        <v>231</v>
      </c>
      <c r="Y6" s="52" t="s">
        <v>231</v>
      </c>
      <c r="Z6" s="23" t="s">
        <v>271</v>
      </c>
      <c r="AA6" s="23" t="s">
        <v>271</v>
      </c>
      <c r="AB6" s="23" t="s">
        <v>274</v>
      </c>
      <c r="AC6" s="23" t="s">
        <v>274</v>
      </c>
      <c r="AD6" s="23" t="s">
        <v>274</v>
      </c>
      <c r="AE6" s="57" t="s">
        <v>230</v>
      </c>
      <c r="AF6" s="57" t="s">
        <v>230</v>
      </c>
      <c r="AG6" s="57" t="s">
        <v>275</v>
      </c>
      <c r="AH6" s="57" t="s">
        <v>275</v>
      </c>
      <c r="AI6" s="57" t="s">
        <v>271</v>
      </c>
      <c r="AJ6" s="23" t="s">
        <v>274</v>
      </c>
      <c r="AL6" s="22">
        <f t="shared" ref="AL6:AL23" si="0">COUNTIF($F6:$AJ6,"ST*")</f>
        <v>1</v>
      </c>
      <c r="AM6" s="22">
        <f t="shared" ref="AM6:AM23" si="1">COUNTIF($F6:$AJ6,"M*")</f>
        <v>5</v>
      </c>
      <c r="AN6" s="22">
        <f t="shared" ref="AN6:AN23" si="2">COUNTIF($F6:$AJ6,"A*")</f>
        <v>2</v>
      </c>
      <c r="AO6" s="22">
        <f t="shared" ref="AO6:AO23" si="3">COUNTIF($F6:$AJ6,"N*")</f>
        <v>5</v>
      </c>
      <c r="AP6" s="22">
        <f t="shared" ref="AP6:AP23" si="4">COUNTIF($F6:$AJ6,"O*")</f>
        <v>10</v>
      </c>
    </row>
    <row r="7" spans="2:42" ht="18.75" x14ac:dyDescent="0.25">
      <c r="B7" s="37">
        <v>3</v>
      </c>
      <c r="C7" s="148" t="s">
        <v>195</v>
      </c>
      <c r="D7" s="153"/>
      <c r="F7" s="57" t="s">
        <v>270</v>
      </c>
      <c r="G7" s="57" t="s">
        <v>230</v>
      </c>
      <c r="H7" s="57" t="s">
        <v>231</v>
      </c>
      <c r="I7" s="57" t="s">
        <v>231</v>
      </c>
      <c r="J7" s="57" t="s">
        <v>271</v>
      </c>
      <c r="K7" s="23" t="s">
        <v>274</v>
      </c>
      <c r="L7" s="23" t="s">
        <v>274</v>
      </c>
      <c r="M7" s="23" t="s">
        <v>274</v>
      </c>
      <c r="N7" s="27" t="s">
        <v>230</v>
      </c>
      <c r="O7" s="27" t="s">
        <v>230</v>
      </c>
      <c r="P7" s="52" t="s">
        <v>231</v>
      </c>
      <c r="Q7" s="23" t="s">
        <v>271</v>
      </c>
      <c r="R7" s="23" t="s">
        <v>271</v>
      </c>
      <c r="S7" s="23" t="s">
        <v>274</v>
      </c>
      <c r="T7" s="23" t="s">
        <v>274</v>
      </c>
      <c r="U7" s="23" t="s">
        <v>274</v>
      </c>
      <c r="V7" s="27" t="s">
        <v>230</v>
      </c>
      <c r="W7" s="52" t="s">
        <v>231</v>
      </c>
      <c r="X7" s="52" t="s">
        <v>231</v>
      </c>
      <c r="Y7" s="52" t="s">
        <v>271</v>
      </c>
      <c r="Z7" s="23" t="s">
        <v>271</v>
      </c>
      <c r="AA7" s="23" t="s">
        <v>274</v>
      </c>
      <c r="AB7" s="23" t="s">
        <v>274</v>
      </c>
      <c r="AC7" s="23" t="s">
        <v>274</v>
      </c>
      <c r="AD7" s="57" t="s">
        <v>230</v>
      </c>
      <c r="AE7" s="57" t="s">
        <v>230</v>
      </c>
      <c r="AF7" s="57" t="s">
        <v>231</v>
      </c>
      <c r="AG7" s="57" t="s">
        <v>231</v>
      </c>
      <c r="AH7" s="57" t="s">
        <v>271</v>
      </c>
      <c r="AI7" s="23" t="s">
        <v>274</v>
      </c>
      <c r="AJ7" s="23" t="s">
        <v>274</v>
      </c>
      <c r="AL7" s="22">
        <f t="shared" si="0"/>
        <v>1</v>
      </c>
      <c r="AM7" s="22">
        <f t="shared" si="1"/>
        <v>6</v>
      </c>
      <c r="AN7" s="22">
        <f t="shared" si="2"/>
        <v>7</v>
      </c>
      <c r="AO7" s="22">
        <f t="shared" si="3"/>
        <v>6</v>
      </c>
      <c r="AP7" s="22">
        <f t="shared" si="4"/>
        <v>11</v>
      </c>
    </row>
    <row r="8" spans="2:42" ht="18.75" x14ac:dyDescent="0.25">
      <c r="B8" s="37">
        <v>4</v>
      </c>
      <c r="C8" s="148" t="s">
        <v>196</v>
      </c>
      <c r="D8" s="153"/>
      <c r="F8" s="27" t="s">
        <v>230</v>
      </c>
      <c r="G8" s="52" t="s">
        <v>231</v>
      </c>
      <c r="H8" s="23" t="s">
        <v>271</v>
      </c>
      <c r="I8" s="23" t="s">
        <v>271</v>
      </c>
      <c r="J8" s="23" t="s">
        <v>274</v>
      </c>
      <c r="K8" s="23" t="s">
        <v>274</v>
      </c>
      <c r="L8" s="23" t="s">
        <v>274</v>
      </c>
      <c r="M8" s="27" t="s">
        <v>230</v>
      </c>
      <c r="N8" s="27" t="s">
        <v>144</v>
      </c>
      <c r="O8" s="52" t="s">
        <v>231</v>
      </c>
      <c r="P8" s="52" t="s">
        <v>231</v>
      </c>
      <c r="Q8" s="23" t="s">
        <v>271</v>
      </c>
      <c r="R8" s="23" t="s">
        <v>274</v>
      </c>
      <c r="S8" s="23" t="s">
        <v>274</v>
      </c>
      <c r="T8" s="23" t="s">
        <v>274</v>
      </c>
      <c r="U8" s="27" t="s">
        <v>275</v>
      </c>
      <c r="V8" s="27" t="s">
        <v>275</v>
      </c>
      <c r="W8" s="27" t="s">
        <v>275</v>
      </c>
      <c r="X8" s="27" t="s">
        <v>275</v>
      </c>
      <c r="Y8" s="27" t="s">
        <v>275</v>
      </c>
      <c r="Z8" s="27" t="s">
        <v>275</v>
      </c>
      <c r="AA8" s="27" t="s">
        <v>275</v>
      </c>
      <c r="AB8" s="27" t="s">
        <v>275</v>
      </c>
      <c r="AC8" s="27" t="s">
        <v>275</v>
      </c>
      <c r="AD8" s="27" t="s">
        <v>275</v>
      </c>
      <c r="AE8" s="27" t="s">
        <v>275</v>
      </c>
      <c r="AF8" s="27" t="s">
        <v>275</v>
      </c>
      <c r="AG8" s="27" t="s">
        <v>275</v>
      </c>
      <c r="AH8" s="27" t="s">
        <v>275</v>
      </c>
      <c r="AI8" s="27" t="s">
        <v>275</v>
      </c>
      <c r="AJ8" s="27" t="s">
        <v>275</v>
      </c>
      <c r="AL8" s="22">
        <f t="shared" si="0"/>
        <v>0</v>
      </c>
      <c r="AM8" s="22">
        <f t="shared" si="1"/>
        <v>2</v>
      </c>
      <c r="AN8" s="22">
        <f t="shared" si="2"/>
        <v>3</v>
      </c>
      <c r="AO8" s="22">
        <f t="shared" si="3"/>
        <v>3</v>
      </c>
      <c r="AP8" s="22">
        <f t="shared" si="4"/>
        <v>6</v>
      </c>
    </row>
    <row r="9" spans="2:42" ht="18.75" x14ac:dyDescent="0.25">
      <c r="B9" s="37">
        <v>5</v>
      </c>
      <c r="C9" s="148" t="s">
        <v>197</v>
      </c>
      <c r="D9" s="153"/>
      <c r="F9" s="52" t="s">
        <v>231</v>
      </c>
      <c r="G9" s="23" t="s">
        <v>271</v>
      </c>
      <c r="H9" s="23" t="s">
        <v>271</v>
      </c>
      <c r="I9" s="23" t="s">
        <v>274</v>
      </c>
      <c r="J9" s="23" t="s">
        <v>274</v>
      </c>
      <c r="K9" s="23" t="s">
        <v>274</v>
      </c>
      <c r="L9" s="27" t="s">
        <v>230</v>
      </c>
      <c r="M9" s="27" t="s">
        <v>230</v>
      </c>
      <c r="N9" s="52" t="s">
        <v>231</v>
      </c>
      <c r="O9" s="52" t="s">
        <v>231</v>
      </c>
      <c r="P9" s="23" t="s">
        <v>271</v>
      </c>
      <c r="Q9" s="23" t="s">
        <v>274</v>
      </c>
      <c r="R9" s="23" t="s">
        <v>274</v>
      </c>
      <c r="S9" s="23" t="s">
        <v>274</v>
      </c>
      <c r="T9" s="27" t="s">
        <v>144</v>
      </c>
      <c r="U9" s="27" t="s">
        <v>230</v>
      </c>
      <c r="V9" s="52" t="s">
        <v>231</v>
      </c>
      <c r="W9" s="52" t="s">
        <v>231</v>
      </c>
      <c r="X9" s="23" t="s">
        <v>271</v>
      </c>
      <c r="Y9" s="23" t="s">
        <v>274</v>
      </c>
      <c r="Z9" s="23" t="s">
        <v>274</v>
      </c>
      <c r="AA9" s="23" t="s">
        <v>274</v>
      </c>
      <c r="AB9" s="27" t="s">
        <v>230</v>
      </c>
      <c r="AC9" s="27" t="s">
        <v>230</v>
      </c>
      <c r="AD9" s="52" t="s">
        <v>231</v>
      </c>
      <c r="AE9" s="23" t="s">
        <v>271</v>
      </c>
      <c r="AF9" s="23" t="s">
        <v>271</v>
      </c>
      <c r="AG9" s="23" t="s">
        <v>274</v>
      </c>
      <c r="AH9" s="23" t="s">
        <v>274</v>
      </c>
      <c r="AI9" s="23" t="s">
        <v>274</v>
      </c>
      <c r="AJ9" s="27" t="s">
        <v>230</v>
      </c>
      <c r="AL9" s="22">
        <f t="shared" si="0"/>
        <v>0</v>
      </c>
      <c r="AM9" s="22">
        <f t="shared" si="1"/>
        <v>6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8" t="s">
        <v>198</v>
      </c>
      <c r="D10" s="153"/>
      <c r="F10" s="23" t="s">
        <v>271</v>
      </c>
      <c r="G10" s="23" t="s">
        <v>271</v>
      </c>
      <c r="H10" s="23" t="s">
        <v>274</v>
      </c>
      <c r="I10" s="23" t="s">
        <v>274</v>
      </c>
      <c r="J10" s="23" t="s">
        <v>274</v>
      </c>
      <c r="K10" s="27" t="s">
        <v>230</v>
      </c>
      <c r="L10" s="27" t="s">
        <v>230</v>
      </c>
      <c r="M10" s="52" t="s">
        <v>231</v>
      </c>
      <c r="N10" s="23" t="s">
        <v>231</v>
      </c>
      <c r="O10" s="23" t="s">
        <v>271</v>
      </c>
      <c r="P10" s="23" t="s">
        <v>274</v>
      </c>
      <c r="Q10" s="23" t="s">
        <v>274</v>
      </c>
      <c r="R10" s="23" t="s">
        <v>274</v>
      </c>
      <c r="S10" s="27" t="s">
        <v>144</v>
      </c>
      <c r="T10" s="27" t="s">
        <v>230</v>
      </c>
      <c r="U10" s="52" t="s">
        <v>231</v>
      </c>
      <c r="V10" s="52" t="s">
        <v>231</v>
      </c>
      <c r="W10" s="23" t="s">
        <v>271</v>
      </c>
      <c r="X10" s="23" t="s">
        <v>274</v>
      </c>
      <c r="Y10" s="23" t="s">
        <v>274</v>
      </c>
      <c r="Z10" s="23" t="s">
        <v>274</v>
      </c>
      <c r="AA10" s="27" t="s">
        <v>230</v>
      </c>
      <c r="AB10" s="52" t="s">
        <v>231</v>
      </c>
      <c r="AC10" s="119" t="s">
        <v>231</v>
      </c>
      <c r="AD10" s="23" t="s">
        <v>271</v>
      </c>
      <c r="AE10" s="23" t="s">
        <v>271</v>
      </c>
      <c r="AF10" s="23" t="s">
        <v>274</v>
      </c>
      <c r="AG10" s="23" t="s">
        <v>274</v>
      </c>
      <c r="AH10" s="23" t="s">
        <v>274</v>
      </c>
      <c r="AI10" s="27" t="s">
        <v>230</v>
      </c>
      <c r="AJ10" s="27" t="s">
        <v>230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8" t="s">
        <v>199</v>
      </c>
      <c r="D11" s="153"/>
      <c r="F11" s="23" t="s">
        <v>271</v>
      </c>
      <c r="G11" s="23" t="s">
        <v>274</v>
      </c>
      <c r="H11" s="23" t="s">
        <v>274</v>
      </c>
      <c r="I11" s="23" t="s">
        <v>274</v>
      </c>
      <c r="J11" s="27" t="s">
        <v>230</v>
      </c>
      <c r="K11" s="52" t="s">
        <v>231</v>
      </c>
      <c r="L11" s="23" t="s">
        <v>231</v>
      </c>
      <c r="M11" s="23" t="s">
        <v>271</v>
      </c>
      <c r="N11" s="23" t="s">
        <v>271</v>
      </c>
      <c r="O11" s="23" t="s">
        <v>274</v>
      </c>
      <c r="P11" s="23" t="s">
        <v>274</v>
      </c>
      <c r="Q11" s="23" t="s">
        <v>274</v>
      </c>
      <c r="R11" s="27" t="s">
        <v>230</v>
      </c>
      <c r="S11" s="52" t="s">
        <v>230</v>
      </c>
      <c r="T11" s="52" t="s">
        <v>231</v>
      </c>
      <c r="U11" s="23" t="s">
        <v>231</v>
      </c>
      <c r="V11" s="23" t="s">
        <v>271</v>
      </c>
      <c r="W11" s="23" t="s">
        <v>274</v>
      </c>
      <c r="X11" s="23" t="s">
        <v>274</v>
      </c>
      <c r="Y11" s="23" t="s">
        <v>274</v>
      </c>
      <c r="Z11" s="27" t="s">
        <v>230</v>
      </c>
      <c r="AA11" s="52" t="s">
        <v>231</v>
      </c>
      <c r="AB11" s="52" t="s">
        <v>231</v>
      </c>
      <c r="AC11" s="23" t="s">
        <v>271</v>
      </c>
      <c r="AD11" s="23" t="s">
        <v>271</v>
      </c>
      <c r="AE11" s="23" t="s">
        <v>274</v>
      </c>
      <c r="AF11" s="23" t="s">
        <v>274</v>
      </c>
      <c r="AG11" s="23" t="s">
        <v>274</v>
      </c>
      <c r="AH11" s="27" t="s">
        <v>230</v>
      </c>
      <c r="AI11" s="52" t="s">
        <v>231</v>
      </c>
      <c r="AJ11" s="23" t="s">
        <v>271</v>
      </c>
      <c r="AL11" s="22">
        <f t="shared" si="0"/>
        <v>0</v>
      </c>
      <c r="AM11" s="22">
        <f t="shared" si="1"/>
        <v>5</v>
      </c>
      <c r="AN11" s="22">
        <f t="shared" si="2"/>
        <v>7</v>
      </c>
      <c r="AO11" s="22">
        <f t="shared" si="3"/>
        <v>7</v>
      </c>
      <c r="AP11" s="22">
        <f t="shared" si="4"/>
        <v>12</v>
      </c>
    </row>
    <row r="12" spans="2:42" ht="18.75" x14ac:dyDescent="0.25">
      <c r="B12" s="37">
        <v>8</v>
      </c>
      <c r="C12" s="148" t="s">
        <v>200</v>
      </c>
      <c r="D12" s="153"/>
      <c r="F12" s="23" t="s">
        <v>274</v>
      </c>
      <c r="G12" s="23" t="s">
        <v>274</v>
      </c>
      <c r="H12" s="23" t="s">
        <v>274</v>
      </c>
      <c r="I12" s="57" t="s">
        <v>230</v>
      </c>
      <c r="J12" s="57" t="s">
        <v>231</v>
      </c>
      <c r="K12" s="57" t="s">
        <v>231</v>
      </c>
      <c r="L12" s="57" t="s">
        <v>271</v>
      </c>
      <c r="M12" s="57" t="s">
        <v>271</v>
      </c>
      <c r="N12" s="57" t="s">
        <v>274</v>
      </c>
      <c r="O12" s="57" t="s">
        <v>274</v>
      </c>
      <c r="P12" s="57" t="s">
        <v>274</v>
      </c>
      <c r="Q12" s="57" t="s">
        <v>230</v>
      </c>
      <c r="R12" s="57" t="s">
        <v>230</v>
      </c>
      <c r="S12" s="57" t="s">
        <v>231</v>
      </c>
      <c r="T12" s="57" t="s">
        <v>231</v>
      </c>
      <c r="U12" s="57" t="s">
        <v>271</v>
      </c>
      <c r="V12" s="23" t="s">
        <v>274</v>
      </c>
      <c r="W12" s="23" t="s">
        <v>274</v>
      </c>
      <c r="X12" s="23" t="s">
        <v>274</v>
      </c>
      <c r="Y12" s="27" t="s">
        <v>230</v>
      </c>
      <c r="Z12" s="52" t="s">
        <v>231</v>
      </c>
      <c r="AA12" s="52" t="s">
        <v>231</v>
      </c>
      <c r="AB12" s="23" t="s">
        <v>273</v>
      </c>
      <c r="AC12" s="23" t="s">
        <v>271</v>
      </c>
      <c r="AD12" s="23" t="s">
        <v>274</v>
      </c>
      <c r="AE12" s="23" t="s">
        <v>274</v>
      </c>
      <c r="AF12" s="23" t="s">
        <v>274</v>
      </c>
      <c r="AG12" s="57" t="s">
        <v>230</v>
      </c>
      <c r="AH12" s="57" t="s">
        <v>231</v>
      </c>
      <c r="AI12" s="57" t="s">
        <v>231</v>
      </c>
      <c r="AJ12" s="57" t="s">
        <v>144</v>
      </c>
      <c r="AL12" s="22">
        <f t="shared" si="0"/>
        <v>1</v>
      </c>
      <c r="AM12" s="22">
        <f t="shared" si="1"/>
        <v>5</v>
      </c>
      <c r="AN12" s="22">
        <f t="shared" si="2"/>
        <v>8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8" t="s">
        <v>201</v>
      </c>
      <c r="D13" s="153"/>
      <c r="F13" s="23" t="s">
        <v>274</v>
      </c>
      <c r="G13" s="23" t="s">
        <v>274</v>
      </c>
      <c r="H13" s="126" t="s">
        <v>275</v>
      </c>
      <c r="I13" s="127" t="s">
        <v>275</v>
      </c>
      <c r="J13" s="127" t="s">
        <v>275</v>
      </c>
      <c r="K13" s="128" t="s">
        <v>275</v>
      </c>
      <c r="L13" s="128" t="s">
        <v>275</v>
      </c>
      <c r="M13" s="128" t="s">
        <v>275</v>
      </c>
      <c r="N13" s="128" t="s">
        <v>275</v>
      </c>
      <c r="O13" s="128" t="s">
        <v>275</v>
      </c>
      <c r="P13" s="126" t="s">
        <v>275</v>
      </c>
      <c r="Q13" s="127" t="s">
        <v>275</v>
      </c>
      <c r="R13" s="127" t="s">
        <v>275</v>
      </c>
      <c r="S13" s="128" t="s">
        <v>275</v>
      </c>
      <c r="T13" s="128" t="s">
        <v>275</v>
      </c>
      <c r="U13" s="128" t="s">
        <v>275</v>
      </c>
      <c r="V13" s="128" t="s">
        <v>275</v>
      </c>
      <c r="W13" s="128" t="s">
        <v>275</v>
      </c>
      <c r="X13" s="126" t="s">
        <v>275</v>
      </c>
      <c r="Y13" s="126" t="s">
        <v>275</v>
      </c>
      <c r="Z13" s="127" t="s">
        <v>275</v>
      </c>
      <c r="AA13" s="127" t="s">
        <v>275</v>
      </c>
      <c r="AB13" s="127" t="s">
        <v>275</v>
      </c>
      <c r="AC13" s="129" t="s">
        <v>275</v>
      </c>
      <c r="AD13" s="128" t="s">
        <v>275</v>
      </c>
      <c r="AE13" s="128" t="s">
        <v>275</v>
      </c>
      <c r="AF13" s="126" t="s">
        <v>275</v>
      </c>
      <c r="AG13" s="127" t="s">
        <v>275</v>
      </c>
      <c r="AH13" s="127" t="s">
        <v>275</v>
      </c>
      <c r="AI13" s="128" t="s">
        <v>275</v>
      </c>
      <c r="AJ13" s="128" t="s">
        <v>275</v>
      </c>
      <c r="AL13" s="22">
        <f t="shared" si="0"/>
        <v>0</v>
      </c>
      <c r="AM13" s="22">
        <f t="shared" si="1"/>
        <v>0</v>
      </c>
      <c r="AN13" s="22">
        <f t="shared" si="2"/>
        <v>0</v>
      </c>
      <c r="AO13" s="22">
        <f t="shared" si="3"/>
        <v>0</v>
      </c>
      <c r="AP13" s="22">
        <f t="shared" si="4"/>
        <v>2</v>
      </c>
    </row>
    <row r="14" spans="2:42" ht="18.75" x14ac:dyDescent="0.25">
      <c r="B14" s="37">
        <v>10</v>
      </c>
      <c r="C14" s="148" t="s">
        <v>202</v>
      </c>
      <c r="D14" s="153"/>
      <c r="F14" s="23" t="s">
        <v>274</v>
      </c>
      <c r="G14" s="27" t="s">
        <v>230</v>
      </c>
      <c r="H14" s="52" t="s">
        <v>272</v>
      </c>
      <c r="I14" s="52" t="s">
        <v>231</v>
      </c>
      <c r="J14" s="23" t="s">
        <v>273</v>
      </c>
      <c r="K14" s="23" t="s">
        <v>271</v>
      </c>
      <c r="L14" s="23" t="s">
        <v>274</v>
      </c>
      <c r="M14" s="23" t="s">
        <v>274</v>
      </c>
      <c r="N14" s="23" t="s">
        <v>274</v>
      </c>
      <c r="O14" s="57" t="s">
        <v>230</v>
      </c>
      <c r="P14" s="57" t="s">
        <v>230</v>
      </c>
      <c r="Q14" s="57" t="s">
        <v>231</v>
      </c>
      <c r="R14" s="57" t="s">
        <v>271</v>
      </c>
      <c r="S14" s="57" t="s">
        <v>271</v>
      </c>
      <c r="T14" s="23" t="s">
        <v>274</v>
      </c>
      <c r="U14" s="23" t="s">
        <v>274</v>
      </c>
      <c r="V14" s="23" t="s">
        <v>274</v>
      </c>
      <c r="W14" s="27" t="s">
        <v>230</v>
      </c>
      <c r="X14" s="52" t="s">
        <v>230</v>
      </c>
      <c r="Y14" s="52" t="s">
        <v>231</v>
      </c>
      <c r="Z14" s="52" t="s">
        <v>231</v>
      </c>
      <c r="AA14" s="23" t="s">
        <v>271</v>
      </c>
      <c r="AB14" s="23" t="s">
        <v>274</v>
      </c>
      <c r="AC14" s="23" t="s">
        <v>274</v>
      </c>
      <c r="AD14" s="23" t="s">
        <v>274</v>
      </c>
      <c r="AE14" s="27" t="s">
        <v>275</v>
      </c>
      <c r="AF14" s="52" t="s">
        <v>275</v>
      </c>
      <c r="AG14" s="52" t="s">
        <v>275</v>
      </c>
      <c r="AH14" s="23" t="s">
        <v>275</v>
      </c>
      <c r="AI14" s="23" t="s">
        <v>275</v>
      </c>
      <c r="AJ14" s="23" t="s">
        <v>275</v>
      </c>
      <c r="AL14" s="22">
        <f t="shared" si="0"/>
        <v>2</v>
      </c>
      <c r="AM14" s="22">
        <f t="shared" si="1"/>
        <v>5</v>
      </c>
      <c r="AN14" s="22">
        <f t="shared" si="2"/>
        <v>4</v>
      </c>
      <c r="AO14" s="22">
        <f t="shared" si="3"/>
        <v>4</v>
      </c>
      <c r="AP14" s="22">
        <f t="shared" si="4"/>
        <v>10</v>
      </c>
    </row>
    <row r="15" spans="2:42" ht="18.75" x14ac:dyDescent="0.25">
      <c r="B15" s="37">
        <v>11</v>
      </c>
      <c r="C15" s="148" t="s">
        <v>203</v>
      </c>
      <c r="D15" s="153"/>
      <c r="F15" s="27" t="s">
        <v>230</v>
      </c>
      <c r="G15" s="27" t="s">
        <v>270</v>
      </c>
      <c r="H15" s="52" t="s">
        <v>231</v>
      </c>
      <c r="I15" s="23" t="s">
        <v>271</v>
      </c>
      <c r="J15" s="23" t="s">
        <v>271</v>
      </c>
      <c r="K15" s="23" t="s">
        <v>274</v>
      </c>
      <c r="L15" s="23" t="s">
        <v>274</v>
      </c>
      <c r="M15" s="23" t="s">
        <v>274</v>
      </c>
      <c r="N15" s="27" t="s">
        <v>230</v>
      </c>
      <c r="O15" s="27" t="s">
        <v>230</v>
      </c>
      <c r="P15" s="52" t="s">
        <v>144</v>
      </c>
      <c r="Q15" s="52" t="s">
        <v>231</v>
      </c>
      <c r="R15" s="52" t="s">
        <v>271</v>
      </c>
      <c r="S15" s="23" t="s">
        <v>274</v>
      </c>
      <c r="T15" s="23" t="s">
        <v>274</v>
      </c>
      <c r="U15" s="23" t="s">
        <v>274</v>
      </c>
      <c r="V15" s="27" t="s">
        <v>230</v>
      </c>
      <c r="W15" s="27" t="s">
        <v>230</v>
      </c>
      <c r="X15" s="52" t="s">
        <v>231</v>
      </c>
      <c r="Y15" s="23" t="s">
        <v>271</v>
      </c>
      <c r="Z15" s="52" t="s">
        <v>271</v>
      </c>
      <c r="AA15" s="23" t="s">
        <v>274</v>
      </c>
      <c r="AB15" s="23" t="s">
        <v>274</v>
      </c>
      <c r="AC15" s="23" t="s">
        <v>274</v>
      </c>
      <c r="AD15" s="27" t="s">
        <v>230</v>
      </c>
      <c r="AE15" s="27" t="s">
        <v>230</v>
      </c>
      <c r="AF15" s="52" t="s">
        <v>231</v>
      </c>
      <c r="AG15" s="23" t="s">
        <v>271</v>
      </c>
      <c r="AH15" s="23" t="s">
        <v>271</v>
      </c>
      <c r="AI15" s="23" t="s">
        <v>274</v>
      </c>
      <c r="AJ15" s="23" t="s">
        <v>274</v>
      </c>
      <c r="AL15" s="22">
        <f t="shared" si="0"/>
        <v>1</v>
      </c>
      <c r="AM15" s="22">
        <f t="shared" si="1"/>
        <v>7</v>
      </c>
      <c r="AN15" s="22">
        <f t="shared" si="2"/>
        <v>4</v>
      </c>
      <c r="AO15" s="22">
        <f t="shared" si="3"/>
        <v>7</v>
      </c>
      <c r="AP15" s="22">
        <f t="shared" si="4"/>
        <v>11</v>
      </c>
    </row>
    <row r="16" spans="2:42" ht="18.75" x14ac:dyDescent="0.25">
      <c r="B16" s="37">
        <v>12</v>
      </c>
      <c r="C16" s="148" t="s">
        <v>204</v>
      </c>
      <c r="D16" s="153"/>
      <c r="F16" s="27" t="s">
        <v>230</v>
      </c>
      <c r="G16" s="52" t="s">
        <v>231</v>
      </c>
      <c r="H16" s="52" t="s">
        <v>231</v>
      </c>
      <c r="I16" s="23" t="s">
        <v>271</v>
      </c>
      <c r="J16" s="23" t="s">
        <v>274</v>
      </c>
      <c r="K16" s="23" t="s">
        <v>274</v>
      </c>
      <c r="L16" s="23" t="s">
        <v>274</v>
      </c>
      <c r="M16" s="27" t="s">
        <v>230</v>
      </c>
      <c r="N16" s="52" t="s">
        <v>230</v>
      </c>
      <c r="O16" s="52" t="s">
        <v>231</v>
      </c>
      <c r="P16" s="23" t="s">
        <v>271</v>
      </c>
      <c r="Q16" s="23" t="s">
        <v>271</v>
      </c>
      <c r="R16" s="23" t="s">
        <v>274</v>
      </c>
      <c r="S16" s="23" t="s">
        <v>274</v>
      </c>
      <c r="T16" s="23" t="s">
        <v>274</v>
      </c>
      <c r="U16" s="27" t="s">
        <v>230</v>
      </c>
      <c r="V16" s="27" t="s">
        <v>230</v>
      </c>
      <c r="W16" s="52" t="s">
        <v>231</v>
      </c>
      <c r="X16" s="52" t="s">
        <v>271</v>
      </c>
      <c r="Y16" s="23" t="s">
        <v>271</v>
      </c>
      <c r="Z16" s="23" t="s">
        <v>274</v>
      </c>
      <c r="AA16" s="23" t="s">
        <v>274</v>
      </c>
      <c r="AB16" s="23" t="s">
        <v>274</v>
      </c>
      <c r="AC16" s="27" t="s">
        <v>230</v>
      </c>
      <c r="AD16" s="27" t="s">
        <v>230</v>
      </c>
      <c r="AE16" s="52" t="s">
        <v>231</v>
      </c>
      <c r="AF16" s="52" t="s">
        <v>271</v>
      </c>
      <c r="AG16" s="23" t="s">
        <v>271</v>
      </c>
      <c r="AH16" s="23" t="s">
        <v>274</v>
      </c>
      <c r="AI16" s="23" t="s">
        <v>274</v>
      </c>
      <c r="AJ16" s="23" t="s">
        <v>274</v>
      </c>
      <c r="AL16" s="22">
        <f t="shared" si="0"/>
        <v>0</v>
      </c>
      <c r="AM16" s="22">
        <f t="shared" si="1"/>
        <v>7</v>
      </c>
      <c r="AN16" s="22">
        <f t="shared" si="2"/>
        <v>5</v>
      </c>
      <c r="AO16" s="22">
        <f t="shared" si="3"/>
        <v>7</v>
      </c>
      <c r="AP16" s="22">
        <f t="shared" si="4"/>
        <v>12</v>
      </c>
    </row>
    <row r="17" spans="2:42" ht="18.75" x14ac:dyDescent="0.25">
      <c r="B17" s="37">
        <v>13</v>
      </c>
      <c r="C17" s="148" t="s">
        <v>205</v>
      </c>
      <c r="D17" s="153"/>
      <c r="F17" s="52" t="s">
        <v>231</v>
      </c>
      <c r="G17" s="52" t="s">
        <v>231</v>
      </c>
      <c r="H17" s="23" t="s">
        <v>271</v>
      </c>
      <c r="I17" s="23" t="s">
        <v>274</v>
      </c>
      <c r="J17" s="23" t="s">
        <v>274</v>
      </c>
      <c r="K17" s="23" t="s">
        <v>274</v>
      </c>
      <c r="L17" s="27" t="s">
        <v>230</v>
      </c>
      <c r="M17" s="52" t="s">
        <v>231</v>
      </c>
      <c r="N17" s="52" t="s">
        <v>144</v>
      </c>
      <c r="O17" s="23" t="s">
        <v>271</v>
      </c>
      <c r="P17" s="23" t="s">
        <v>271</v>
      </c>
      <c r="Q17" s="23" t="s">
        <v>274</v>
      </c>
      <c r="R17" s="23" t="s">
        <v>274</v>
      </c>
      <c r="S17" s="23" t="s">
        <v>274</v>
      </c>
      <c r="T17" s="27" t="s">
        <v>230</v>
      </c>
      <c r="U17" s="52" t="s">
        <v>230</v>
      </c>
      <c r="V17" s="52" t="s">
        <v>231</v>
      </c>
      <c r="W17" s="23" t="s">
        <v>271</v>
      </c>
      <c r="X17" s="23" t="s">
        <v>271</v>
      </c>
      <c r="Y17" s="23" t="s">
        <v>274</v>
      </c>
      <c r="Z17" s="23" t="s">
        <v>274</v>
      </c>
      <c r="AA17" s="23" t="s">
        <v>274</v>
      </c>
      <c r="AB17" s="27" t="s">
        <v>230</v>
      </c>
      <c r="AC17" s="52" t="s">
        <v>230</v>
      </c>
      <c r="AD17" s="52" t="s">
        <v>231</v>
      </c>
      <c r="AE17" s="52" t="s">
        <v>231</v>
      </c>
      <c r="AF17" s="23" t="s">
        <v>271</v>
      </c>
      <c r="AG17" s="23" t="s">
        <v>274</v>
      </c>
      <c r="AH17" s="23" t="s">
        <v>274</v>
      </c>
      <c r="AI17" s="23" t="s">
        <v>274</v>
      </c>
      <c r="AJ17" s="27" t="s">
        <v>230</v>
      </c>
      <c r="AL17" s="22">
        <f t="shared" si="0"/>
        <v>0</v>
      </c>
      <c r="AM17" s="22">
        <f t="shared" si="1"/>
        <v>6</v>
      </c>
      <c r="AN17" s="22">
        <f t="shared" si="2"/>
        <v>6</v>
      </c>
      <c r="AO17" s="22">
        <f t="shared" si="3"/>
        <v>6</v>
      </c>
      <c r="AP17" s="22">
        <f t="shared" si="4"/>
        <v>12</v>
      </c>
    </row>
    <row r="18" spans="2:42" ht="18.75" x14ac:dyDescent="0.25">
      <c r="B18" s="37">
        <v>14</v>
      </c>
      <c r="C18" s="148" t="s">
        <v>206</v>
      </c>
      <c r="D18" s="153"/>
      <c r="F18" s="52" t="s">
        <v>231</v>
      </c>
      <c r="G18" s="23" t="s">
        <v>271</v>
      </c>
      <c r="H18" s="23" t="s">
        <v>274</v>
      </c>
      <c r="I18" s="23" t="s">
        <v>274</v>
      </c>
      <c r="J18" s="23" t="s">
        <v>274</v>
      </c>
      <c r="K18" s="27" t="s">
        <v>230</v>
      </c>
      <c r="L18" s="52" t="s">
        <v>272</v>
      </c>
      <c r="M18" s="52" t="s">
        <v>231</v>
      </c>
      <c r="N18" s="52" t="s">
        <v>271</v>
      </c>
      <c r="O18" s="52" t="s">
        <v>271</v>
      </c>
      <c r="P18" s="23" t="s">
        <v>274</v>
      </c>
      <c r="Q18" s="23" t="s">
        <v>274</v>
      </c>
      <c r="R18" s="23" t="s">
        <v>274</v>
      </c>
      <c r="S18" s="27" t="s">
        <v>230</v>
      </c>
      <c r="T18" s="52" t="s">
        <v>230</v>
      </c>
      <c r="U18" s="52" t="s">
        <v>231</v>
      </c>
      <c r="V18" s="23" t="s">
        <v>271</v>
      </c>
      <c r="W18" s="23" t="s">
        <v>271</v>
      </c>
      <c r="X18" s="23" t="s">
        <v>274</v>
      </c>
      <c r="Y18" s="23" t="s">
        <v>274</v>
      </c>
      <c r="Z18" s="23" t="s">
        <v>274</v>
      </c>
      <c r="AA18" s="27" t="s">
        <v>230</v>
      </c>
      <c r="AB18" s="27" t="s">
        <v>230</v>
      </c>
      <c r="AC18" s="52" t="s">
        <v>231</v>
      </c>
      <c r="AD18" s="52" t="s">
        <v>231</v>
      </c>
      <c r="AE18" s="23" t="s">
        <v>271</v>
      </c>
      <c r="AF18" s="23" t="s">
        <v>274</v>
      </c>
      <c r="AG18" s="23" t="s">
        <v>274</v>
      </c>
      <c r="AH18" s="23" t="s">
        <v>274</v>
      </c>
      <c r="AI18" s="27" t="s">
        <v>230</v>
      </c>
      <c r="AJ18" s="52" t="s">
        <v>231</v>
      </c>
      <c r="AL18" s="22">
        <f t="shared" si="0"/>
        <v>1</v>
      </c>
      <c r="AM18" s="22">
        <f t="shared" si="1"/>
        <v>6</v>
      </c>
      <c r="AN18" s="22">
        <f t="shared" si="2"/>
        <v>6</v>
      </c>
      <c r="AO18" s="22">
        <f t="shared" si="3"/>
        <v>6</v>
      </c>
      <c r="AP18" s="22">
        <f t="shared" si="4"/>
        <v>12</v>
      </c>
    </row>
    <row r="19" spans="2:42" ht="18.75" x14ac:dyDescent="0.25">
      <c r="B19" s="37">
        <v>15</v>
      </c>
      <c r="C19" s="148" t="s">
        <v>207</v>
      </c>
      <c r="D19" s="153"/>
      <c r="F19" s="23" t="s">
        <v>271</v>
      </c>
      <c r="G19" s="23" t="s">
        <v>274</v>
      </c>
      <c r="H19" s="23" t="s">
        <v>274</v>
      </c>
      <c r="I19" s="23" t="s">
        <v>274</v>
      </c>
      <c r="J19" s="27" t="s">
        <v>230</v>
      </c>
      <c r="K19" s="27" t="s">
        <v>230</v>
      </c>
      <c r="L19" s="52" t="s">
        <v>231</v>
      </c>
      <c r="M19" s="23" t="s">
        <v>273</v>
      </c>
      <c r="N19" s="23" t="s">
        <v>271</v>
      </c>
      <c r="O19" s="23" t="s">
        <v>274</v>
      </c>
      <c r="P19" s="23" t="s">
        <v>274</v>
      </c>
      <c r="Q19" s="23" t="s">
        <v>274</v>
      </c>
      <c r="R19" s="27" t="s">
        <v>230</v>
      </c>
      <c r="S19" s="27" t="s">
        <v>230</v>
      </c>
      <c r="T19" s="52" t="s">
        <v>231</v>
      </c>
      <c r="U19" s="23" t="s">
        <v>271</v>
      </c>
      <c r="V19" s="23" t="s">
        <v>271</v>
      </c>
      <c r="W19" s="23" t="s">
        <v>274</v>
      </c>
      <c r="X19" s="23" t="s">
        <v>274</v>
      </c>
      <c r="Y19" s="23" t="s">
        <v>274</v>
      </c>
      <c r="Z19" s="27" t="s">
        <v>230</v>
      </c>
      <c r="AA19" s="27" t="s">
        <v>230</v>
      </c>
      <c r="AB19" s="52" t="s">
        <v>231</v>
      </c>
      <c r="AC19" s="52" t="s">
        <v>231</v>
      </c>
      <c r="AD19" s="23" t="s">
        <v>271</v>
      </c>
      <c r="AE19" s="23" t="s">
        <v>274</v>
      </c>
      <c r="AF19" s="23" t="s">
        <v>274</v>
      </c>
      <c r="AG19" s="23" t="s">
        <v>274</v>
      </c>
      <c r="AH19" s="27" t="s">
        <v>230</v>
      </c>
      <c r="AI19" s="27" t="s">
        <v>230</v>
      </c>
      <c r="AJ19" s="52" t="s">
        <v>144</v>
      </c>
      <c r="AL19" s="43">
        <f t="shared" si="0"/>
        <v>1</v>
      </c>
      <c r="AM19" s="43">
        <f t="shared" si="1"/>
        <v>8</v>
      </c>
      <c r="AN19" s="43">
        <f t="shared" si="2"/>
        <v>4</v>
      </c>
      <c r="AO19" s="43">
        <f t="shared" si="3"/>
        <v>5</v>
      </c>
      <c r="AP19" s="43">
        <f t="shared" si="4"/>
        <v>12</v>
      </c>
    </row>
    <row r="20" spans="2:42" ht="18.75" x14ac:dyDescent="0.25">
      <c r="B20" s="37">
        <v>16</v>
      </c>
      <c r="C20" s="148" t="s">
        <v>208</v>
      </c>
      <c r="D20" s="153"/>
      <c r="F20" s="23" t="s">
        <v>274</v>
      </c>
      <c r="G20" s="23" t="s">
        <v>274</v>
      </c>
      <c r="H20" s="23" t="s">
        <v>274</v>
      </c>
      <c r="I20" s="27" t="s">
        <v>230</v>
      </c>
      <c r="J20" s="27" t="s">
        <v>230</v>
      </c>
      <c r="K20" s="52" t="s">
        <v>272</v>
      </c>
      <c r="L20" s="52" t="s">
        <v>231</v>
      </c>
      <c r="M20" s="52" t="s">
        <v>271</v>
      </c>
      <c r="N20" s="23" t="s">
        <v>274</v>
      </c>
      <c r="O20" s="23" t="s">
        <v>274</v>
      </c>
      <c r="P20" s="23" t="s">
        <v>274</v>
      </c>
      <c r="Q20" s="27" t="s">
        <v>230</v>
      </c>
      <c r="R20" s="27" t="s">
        <v>231</v>
      </c>
      <c r="S20" s="52" t="s">
        <v>231</v>
      </c>
      <c r="T20" s="23" t="s">
        <v>271</v>
      </c>
      <c r="U20" s="23" t="s">
        <v>271</v>
      </c>
      <c r="V20" s="23" t="s">
        <v>274</v>
      </c>
      <c r="W20" s="23" t="s">
        <v>274</v>
      </c>
      <c r="X20" s="23" t="s">
        <v>274</v>
      </c>
      <c r="Y20" s="27" t="s">
        <v>230</v>
      </c>
      <c r="Z20" s="27" t="s">
        <v>230</v>
      </c>
      <c r="AA20" s="52" t="s">
        <v>272</v>
      </c>
      <c r="AB20" s="52" t="s">
        <v>271</v>
      </c>
      <c r="AC20" s="23" t="s">
        <v>271</v>
      </c>
      <c r="AD20" s="23" t="s">
        <v>274</v>
      </c>
      <c r="AE20" s="23" t="s">
        <v>274</v>
      </c>
      <c r="AF20" s="23" t="s">
        <v>274</v>
      </c>
      <c r="AG20" s="27" t="s">
        <v>230</v>
      </c>
      <c r="AH20" s="27" t="s">
        <v>230</v>
      </c>
      <c r="AI20" s="52" t="s">
        <v>231</v>
      </c>
      <c r="AJ20" s="52" t="s">
        <v>231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8" t="s">
        <v>209</v>
      </c>
      <c r="D21" s="153"/>
      <c r="F21" s="23" t="s">
        <v>274</v>
      </c>
      <c r="G21" s="23" t="s">
        <v>274</v>
      </c>
      <c r="H21" s="27" t="s">
        <v>230</v>
      </c>
      <c r="I21" s="27" t="s">
        <v>230</v>
      </c>
      <c r="J21" s="52" t="s">
        <v>231</v>
      </c>
      <c r="K21" s="52" t="s">
        <v>231</v>
      </c>
      <c r="L21" s="52" t="s">
        <v>271</v>
      </c>
      <c r="M21" s="23" t="s">
        <v>274</v>
      </c>
      <c r="N21" s="23" t="s">
        <v>274</v>
      </c>
      <c r="O21" s="23" t="s">
        <v>274</v>
      </c>
      <c r="P21" s="27" t="s">
        <v>230</v>
      </c>
      <c r="Q21" s="27" t="s">
        <v>231</v>
      </c>
      <c r="R21" s="52" t="s">
        <v>231</v>
      </c>
      <c r="S21" s="23" t="s">
        <v>271</v>
      </c>
      <c r="T21" s="23" t="s">
        <v>271</v>
      </c>
      <c r="U21" s="23" t="s">
        <v>274</v>
      </c>
      <c r="V21" s="23" t="s">
        <v>274</v>
      </c>
      <c r="W21" s="23" t="s">
        <v>274</v>
      </c>
      <c r="X21" s="27" t="s">
        <v>230</v>
      </c>
      <c r="Y21" s="52" t="s">
        <v>230</v>
      </c>
      <c r="Z21" s="52" t="s">
        <v>272</v>
      </c>
      <c r="AA21" s="52" t="s">
        <v>231</v>
      </c>
      <c r="AB21" s="23" t="s">
        <v>271</v>
      </c>
      <c r="AC21" s="23" t="s">
        <v>274</v>
      </c>
      <c r="AD21" s="23" t="s">
        <v>274</v>
      </c>
      <c r="AE21" s="23" t="s">
        <v>274</v>
      </c>
      <c r="AF21" s="27" t="s">
        <v>230</v>
      </c>
      <c r="AG21" s="27" t="s">
        <v>230</v>
      </c>
      <c r="AH21" s="52" t="s">
        <v>231</v>
      </c>
      <c r="AI21" s="52" t="s">
        <v>271</v>
      </c>
      <c r="AJ21" s="52" t="s">
        <v>271</v>
      </c>
      <c r="AL21" s="51">
        <f t="shared" si="0"/>
        <v>1</v>
      </c>
      <c r="AM21" s="51">
        <f t="shared" si="1"/>
        <v>7</v>
      </c>
      <c r="AN21" s="51">
        <f t="shared" si="2"/>
        <v>6</v>
      </c>
      <c r="AO21" s="51">
        <f t="shared" si="3"/>
        <v>6</v>
      </c>
      <c r="AP21" s="51">
        <f t="shared" si="4"/>
        <v>11</v>
      </c>
    </row>
    <row r="22" spans="2:42" ht="18.75" x14ac:dyDescent="0.25">
      <c r="B22" s="37">
        <v>18</v>
      </c>
      <c r="C22" s="55" t="s">
        <v>191</v>
      </c>
      <c r="D22" s="56"/>
      <c r="F22" s="27" t="s">
        <v>230</v>
      </c>
      <c r="G22" s="52" t="s">
        <v>231</v>
      </c>
      <c r="H22" s="52" t="s">
        <v>231</v>
      </c>
      <c r="I22" s="52" t="s">
        <v>231</v>
      </c>
      <c r="J22" s="23" t="s">
        <v>274</v>
      </c>
      <c r="K22" s="23" t="s">
        <v>274</v>
      </c>
      <c r="L22" s="27" t="s">
        <v>230</v>
      </c>
      <c r="M22" s="27" t="s">
        <v>230</v>
      </c>
      <c r="N22" s="52" t="s">
        <v>231</v>
      </c>
      <c r="O22" s="52" t="s">
        <v>231</v>
      </c>
      <c r="P22" s="52" t="s">
        <v>231</v>
      </c>
      <c r="Q22" s="23" t="s">
        <v>274</v>
      </c>
      <c r="R22" s="23" t="s">
        <v>274</v>
      </c>
      <c r="S22" s="27" t="s">
        <v>230</v>
      </c>
      <c r="T22" s="27" t="s">
        <v>230</v>
      </c>
      <c r="U22" s="52" t="s">
        <v>231</v>
      </c>
      <c r="V22" s="52" t="s">
        <v>231</v>
      </c>
      <c r="W22" s="52" t="s">
        <v>231</v>
      </c>
      <c r="X22" s="23" t="s">
        <v>274</v>
      </c>
      <c r="Y22" s="23" t="s">
        <v>274</v>
      </c>
      <c r="Z22" s="27" t="s">
        <v>230</v>
      </c>
      <c r="AA22" s="27" t="s">
        <v>230</v>
      </c>
      <c r="AB22" s="52" t="s">
        <v>231</v>
      </c>
      <c r="AC22" s="52" t="s">
        <v>231</v>
      </c>
      <c r="AD22" s="52" t="s">
        <v>231</v>
      </c>
      <c r="AE22" s="23" t="s">
        <v>274</v>
      </c>
      <c r="AF22" s="23" t="s">
        <v>274</v>
      </c>
      <c r="AG22" s="27" t="s">
        <v>230</v>
      </c>
      <c r="AH22" s="27" t="s">
        <v>230</v>
      </c>
      <c r="AI22" s="52" t="s">
        <v>231</v>
      </c>
      <c r="AJ22" s="52" t="s">
        <v>231</v>
      </c>
      <c r="AL22" s="51">
        <f t="shared" si="0"/>
        <v>0</v>
      </c>
      <c r="AM22" s="51">
        <f t="shared" si="1"/>
        <v>9</v>
      </c>
      <c r="AN22" s="51">
        <f t="shared" si="2"/>
        <v>14</v>
      </c>
      <c r="AO22" s="51">
        <f t="shared" si="3"/>
        <v>0</v>
      </c>
      <c r="AP22" s="51">
        <f t="shared" si="4"/>
        <v>8</v>
      </c>
    </row>
    <row r="23" spans="2:42" ht="19.5" thickBot="1" x14ac:dyDescent="0.3">
      <c r="B23" s="37">
        <v>19</v>
      </c>
      <c r="C23" s="148" t="s">
        <v>192</v>
      </c>
      <c r="D23" s="153"/>
      <c r="F23" s="65" t="s">
        <v>231</v>
      </c>
      <c r="G23" s="112" t="s">
        <v>230</v>
      </c>
      <c r="H23" s="112" t="s">
        <v>230</v>
      </c>
      <c r="I23" s="112" t="s">
        <v>230</v>
      </c>
      <c r="J23" s="113" t="s">
        <v>274</v>
      </c>
      <c r="K23" s="113" t="s">
        <v>274</v>
      </c>
      <c r="L23" s="65" t="s">
        <v>231</v>
      </c>
      <c r="M23" s="65" t="s">
        <v>231</v>
      </c>
      <c r="N23" s="112" t="s">
        <v>230</v>
      </c>
      <c r="O23" s="112" t="s">
        <v>144</v>
      </c>
      <c r="P23" s="112" t="s">
        <v>230</v>
      </c>
      <c r="Q23" s="113" t="s">
        <v>274</v>
      </c>
      <c r="R23" s="113" t="s">
        <v>274</v>
      </c>
      <c r="S23" s="65" t="s">
        <v>231</v>
      </c>
      <c r="T23" s="65" t="s">
        <v>144</v>
      </c>
      <c r="U23" s="112" t="s">
        <v>230</v>
      </c>
      <c r="V23" s="112" t="s">
        <v>230</v>
      </c>
      <c r="W23" s="112" t="s">
        <v>230</v>
      </c>
      <c r="X23" s="113" t="s">
        <v>274</v>
      </c>
      <c r="Y23" s="113" t="s">
        <v>274</v>
      </c>
      <c r="Z23" s="65" t="s">
        <v>231</v>
      </c>
      <c r="AA23" s="65" t="s">
        <v>231</v>
      </c>
      <c r="AB23" s="112" t="s">
        <v>230</v>
      </c>
      <c r="AC23" s="112" t="s">
        <v>230</v>
      </c>
      <c r="AD23" s="112" t="s">
        <v>230</v>
      </c>
      <c r="AE23" s="113" t="s">
        <v>274</v>
      </c>
      <c r="AF23" s="113" t="s">
        <v>274</v>
      </c>
      <c r="AG23" s="65" t="s">
        <v>231</v>
      </c>
      <c r="AH23" s="65" t="s">
        <v>231</v>
      </c>
      <c r="AI23" s="112" t="s">
        <v>230</v>
      </c>
      <c r="AJ23" s="112" t="s">
        <v>230</v>
      </c>
      <c r="AL23" s="43">
        <f t="shared" si="0"/>
        <v>0</v>
      </c>
      <c r="AM23" s="43">
        <f t="shared" si="1"/>
        <v>13</v>
      </c>
      <c r="AN23" s="43">
        <f t="shared" si="2"/>
        <v>8</v>
      </c>
      <c r="AO23" s="43">
        <f t="shared" si="3"/>
        <v>0</v>
      </c>
      <c r="AP23" s="43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9" t="s">
        <v>91</v>
      </c>
      <c r="D25" s="180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3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9" t="s">
        <v>92</v>
      </c>
      <c r="D26" s="180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2</v>
      </c>
      <c r="O26" s="37">
        <f t="shared" si="6"/>
        <v>3</v>
      </c>
      <c r="P26" s="37">
        <f t="shared" si="6"/>
        <v>2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2</v>
      </c>
      <c r="AF26" s="37">
        <f t="shared" si="6"/>
        <v>2</v>
      </c>
      <c r="AG26" s="37">
        <f t="shared" si="6"/>
        <v>2</v>
      </c>
      <c r="AH26" s="37">
        <f t="shared" si="6"/>
        <v>2</v>
      </c>
      <c r="AI26" s="37">
        <f t="shared" si="6"/>
        <v>3</v>
      </c>
      <c r="AJ26" s="37">
        <f t="shared" si="6"/>
        <v>2</v>
      </c>
    </row>
    <row r="27" spans="2:42" ht="18.75" x14ac:dyDescent="0.3">
      <c r="C27" s="179" t="s">
        <v>72</v>
      </c>
      <c r="D27" s="180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2</v>
      </c>
      <c r="T27" s="37">
        <f t="shared" si="7"/>
        <v>3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3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2</v>
      </c>
      <c r="AH27" s="37">
        <f t="shared" si="7"/>
        <v>3</v>
      </c>
      <c r="AI27" s="37">
        <f t="shared" si="7"/>
        <v>3</v>
      </c>
      <c r="AJ27" s="37">
        <f t="shared" si="7"/>
        <v>3</v>
      </c>
    </row>
    <row r="28" spans="2:42" ht="18.75" x14ac:dyDescent="0.3">
      <c r="C28" s="179" t="s">
        <v>73</v>
      </c>
      <c r="D28" s="180"/>
      <c r="E28" s="36"/>
      <c r="F28" s="37">
        <f t="shared" ref="F28:AJ28" si="8">COUNTIF(F$5:F$23,"O*")</f>
        <v>7</v>
      </c>
      <c r="G28" s="37">
        <f t="shared" si="8"/>
        <v>7</v>
      </c>
      <c r="H28" s="37">
        <f t="shared" si="8"/>
        <v>6</v>
      </c>
      <c r="I28" s="37">
        <f t="shared" si="8"/>
        <v>6</v>
      </c>
      <c r="J28" s="37">
        <f t="shared" si="8"/>
        <v>8</v>
      </c>
      <c r="K28" s="37">
        <f t="shared" si="8"/>
        <v>8</v>
      </c>
      <c r="L28" s="37">
        <f t="shared" si="8"/>
        <v>6</v>
      </c>
      <c r="M28" s="37">
        <f t="shared" si="8"/>
        <v>6</v>
      </c>
      <c r="N28" s="37">
        <f t="shared" si="8"/>
        <v>6</v>
      </c>
      <c r="O28" s="37">
        <f t="shared" si="8"/>
        <v>6</v>
      </c>
      <c r="P28" s="37">
        <f t="shared" si="8"/>
        <v>6</v>
      </c>
      <c r="Q28" s="37">
        <f t="shared" si="8"/>
        <v>8</v>
      </c>
      <c r="R28" s="37">
        <f t="shared" si="8"/>
        <v>8</v>
      </c>
      <c r="S28" s="37">
        <f t="shared" si="8"/>
        <v>6</v>
      </c>
      <c r="T28" s="37">
        <f t="shared" si="8"/>
        <v>5</v>
      </c>
      <c r="U28" s="37">
        <f t="shared" si="8"/>
        <v>6</v>
      </c>
      <c r="V28" s="37">
        <f t="shared" si="8"/>
        <v>6</v>
      </c>
      <c r="W28" s="37">
        <f t="shared" si="8"/>
        <v>6</v>
      </c>
      <c r="X28" s="37">
        <f t="shared" si="8"/>
        <v>8</v>
      </c>
      <c r="Y28" s="37">
        <f t="shared" si="8"/>
        <v>8</v>
      </c>
      <c r="Z28" s="37">
        <f t="shared" si="8"/>
        <v>5</v>
      </c>
      <c r="AA28" s="37">
        <f t="shared" si="8"/>
        <v>5</v>
      </c>
      <c r="AB28" s="37">
        <f t="shared" si="8"/>
        <v>5</v>
      </c>
      <c r="AC28" s="37">
        <f t="shared" si="8"/>
        <v>6</v>
      </c>
      <c r="AD28" s="37">
        <f t="shared" si="8"/>
        <v>6</v>
      </c>
      <c r="AE28" s="37">
        <f t="shared" si="8"/>
        <v>8</v>
      </c>
      <c r="AF28" s="37">
        <f t="shared" si="8"/>
        <v>8</v>
      </c>
      <c r="AG28" s="37">
        <f t="shared" si="8"/>
        <v>6</v>
      </c>
      <c r="AH28" s="37">
        <f t="shared" si="8"/>
        <v>5</v>
      </c>
      <c r="AI28" s="37">
        <f t="shared" si="8"/>
        <v>5</v>
      </c>
      <c r="AJ28" s="37">
        <f t="shared" si="8"/>
        <v>4</v>
      </c>
    </row>
    <row r="29" spans="2:42" ht="18.75" x14ac:dyDescent="0.3">
      <c r="C29" s="179" t="s">
        <v>143</v>
      </c>
      <c r="D29" s="180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2</v>
      </c>
      <c r="O29" s="37">
        <f t="shared" si="10"/>
        <v>1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1</v>
      </c>
      <c r="T29" s="37">
        <f t="shared" si="10"/>
        <v>2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2</v>
      </c>
    </row>
    <row r="30" spans="2:42" ht="18.75" x14ac:dyDescent="0.3">
      <c r="C30" s="179" t="s">
        <v>106</v>
      </c>
      <c r="D30" s="180"/>
      <c r="E30" s="36"/>
      <c r="F30" s="37">
        <f t="shared" ref="F30:AJ30" si="11">COUNTIF(F$5:F$23,"ST*")</f>
        <v>1</v>
      </c>
      <c r="G30" s="37">
        <f t="shared" si="11"/>
        <v>1</v>
      </c>
      <c r="H30" s="37">
        <f t="shared" si="11"/>
        <v>1</v>
      </c>
      <c r="I30" s="37">
        <f t="shared" si="11"/>
        <v>1</v>
      </c>
      <c r="J30" s="37">
        <f t="shared" si="11"/>
        <v>1</v>
      </c>
      <c r="K30" s="37">
        <f t="shared" si="11"/>
        <v>1</v>
      </c>
      <c r="L30" s="37">
        <f t="shared" si="11"/>
        <v>1</v>
      </c>
      <c r="M30" s="37">
        <f t="shared" si="11"/>
        <v>1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1</v>
      </c>
      <c r="AA30" s="37">
        <f t="shared" si="11"/>
        <v>1</v>
      </c>
      <c r="AB30" s="37">
        <f t="shared" si="11"/>
        <v>1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50" t="s">
        <v>104</v>
      </c>
      <c r="D31" s="251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0</v>
      </c>
      <c r="J31" s="39">
        <f t="shared" si="12"/>
        <v>0</v>
      </c>
      <c r="K31" s="39">
        <f t="shared" si="12"/>
        <v>0</v>
      </c>
      <c r="L31" s="39">
        <f t="shared" si="12"/>
        <v>0</v>
      </c>
      <c r="M31" s="39">
        <f t="shared" si="12"/>
        <v>0</v>
      </c>
      <c r="N31" s="39">
        <f t="shared" si="12"/>
        <v>-1</v>
      </c>
      <c r="O31" s="39">
        <f t="shared" si="12"/>
        <v>0</v>
      </c>
      <c r="P31" s="39">
        <f t="shared" si="12"/>
        <v>-1</v>
      </c>
      <c r="Q31" s="39">
        <f t="shared" si="12"/>
        <v>0</v>
      </c>
      <c r="R31" s="39">
        <f t="shared" si="12"/>
        <v>0</v>
      </c>
      <c r="S31" s="39">
        <f t="shared" si="12"/>
        <v>-1</v>
      </c>
      <c r="T31" s="39">
        <f t="shared" si="12"/>
        <v>0</v>
      </c>
      <c r="U31" s="39">
        <f t="shared" si="12"/>
        <v>0</v>
      </c>
      <c r="V31" s="39">
        <f t="shared" si="12"/>
        <v>0</v>
      </c>
      <c r="W31" s="39">
        <f t="shared" si="12"/>
        <v>0</v>
      </c>
      <c r="X31" s="39">
        <f t="shared" si="12"/>
        <v>0</v>
      </c>
      <c r="Y31" s="39">
        <f t="shared" si="12"/>
        <v>0</v>
      </c>
      <c r="Z31" s="39">
        <f t="shared" si="12"/>
        <v>0</v>
      </c>
      <c r="AA31" s="39">
        <f t="shared" si="12"/>
        <v>0</v>
      </c>
      <c r="AB31" s="39">
        <f t="shared" si="12"/>
        <v>0</v>
      </c>
      <c r="AC31" s="39">
        <f t="shared" si="12"/>
        <v>0</v>
      </c>
      <c r="AD31" s="39">
        <f t="shared" si="12"/>
        <v>0</v>
      </c>
      <c r="AE31" s="39">
        <f t="shared" si="12"/>
        <v>-1</v>
      </c>
      <c r="AF31" s="39">
        <f t="shared" si="12"/>
        <v>-1</v>
      </c>
      <c r="AG31" s="39">
        <f t="shared" si="12"/>
        <v>-2</v>
      </c>
      <c r="AH31" s="39">
        <f t="shared" si="12"/>
        <v>-1</v>
      </c>
      <c r="AI31" s="39">
        <f t="shared" si="12"/>
        <v>0</v>
      </c>
      <c r="AJ31" s="39">
        <f t="shared" si="12"/>
        <v>-1</v>
      </c>
    </row>
    <row r="32" spans="2:42" ht="9.75" customHeight="1" x14ac:dyDescent="0.3">
      <c r="C32" s="40"/>
      <c r="D32" s="40"/>
      <c r="E32" s="36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</row>
    <row r="33" spans="3:36" ht="18.75" x14ac:dyDescent="0.3">
      <c r="C33" s="179" t="s">
        <v>102</v>
      </c>
      <c r="D33" s="180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9</v>
      </c>
      <c r="J33" s="41">
        <f t="shared" si="13"/>
        <v>9</v>
      </c>
      <c r="K33" s="41">
        <f t="shared" si="13"/>
        <v>9</v>
      </c>
      <c r="L33" s="41">
        <f t="shared" si="13"/>
        <v>9</v>
      </c>
      <c r="M33" s="41">
        <f t="shared" si="13"/>
        <v>9</v>
      </c>
      <c r="N33" s="41">
        <f t="shared" si="13"/>
        <v>8</v>
      </c>
      <c r="O33" s="41">
        <f t="shared" si="13"/>
        <v>9</v>
      </c>
      <c r="P33" s="41">
        <f t="shared" si="13"/>
        <v>8</v>
      </c>
      <c r="Q33" s="41">
        <f t="shared" si="13"/>
        <v>9</v>
      </c>
      <c r="R33" s="41">
        <f t="shared" si="13"/>
        <v>9</v>
      </c>
      <c r="S33" s="41">
        <f t="shared" si="13"/>
        <v>8</v>
      </c>
      <c r="T33" s="41">
        <f t="shared" si="13"/>
        <v>9</v>
      </c>
      <c r="U33" s="41">
        <f t="shared" si="13"/>
        <v>9</v>
      </c>
      <c r="V33" s="41">
        <f t="shared" si="13"/>
        <v>9</v>
      </c>
      <c r="W33" s="41">
        <f t="shared" si="13"/>
        <v>9</v>
      </c>
      <c r="X33" s="41">
        <f t="shared" si="13"/>
        <v>9</v>
      </c>
      <c r="Y33" s="41">
        <f t="shared" si="13"/>
        <v>9</v>
      </c>
      <c r="Z33" s="41">
        <f t="shared" si="13"/>
        <v>9</v>
      </c>
      <c r="AA33" s="41">
        <f t="shared" si="13"/>
        <v>9</v>
      </c>
      <c r="AB33" s="41">
        <f t="shared" si="13"/>
        <v>9</v>
      </c>
      <c r="AC33" s="41">
        <f t="shared" si="13"/>
        <v>9</v>
      </c>
      <c r="AD33" s="41">
        <f t="shared" si="13"/>
        <v>9</v>
      </c>
      <c r="AE33" s="41">
        <f t="shared" si="13"/>
        <v>8</v>
      </c>
      <c r="AF33" s="41">
        <f t="shared" si="13"/>
        <v>8</v>
      </c>
      <c r="AG33" s="41">
        <f t="shared" si="13"/>
        <v>7</v>
      </c>
      <c r="AH33" s="41">
        <f t="shared" si="13"/>
        <v>8</v>
      </c>
      <c r="AI33" s="41">
        <f t="shared" si="13"/>
        <v>9</v>
      </c>
      <c r="AJ33" s="41">
        <f t="shared" si="13"/>
        <v>8</v>
      </c>
    </row>
    <row r="34" spans="3:36" ht="18.75" x14ac:dyDescent="0.3">
      <c r="C34" s="179" t="s">
        <v>90</v>
      </c>
      <c r="D34" s="180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9" t="s">
        <v>103</v>
      </c>
      <c r="D35" s="180"/>
      <c r="E35" s="36"/>
      <c r="F35" s="37">
        <f>SUM(F25,F26,F27,F28,F30)</f>
        <v>17</v>
      </c>
      <c r="G35" s="37">
        <f t="shared" ref="G35:AJ35" si="14">SUM(G25,G26,G27,G28,G30)</f>
        <v>17</v>
      </c>
      <c r="H35" s="37">
        <f t="shared" si="14"/>
        <v>16</v>
      </c>
      <c r="I35" s="37">
        <f t="shared" si="14"/>
        <v>16</v>
      </c>
      <c r="J35" s="37">
        <f t="shared" si="14"/>
        <v>18</v>
      </c>
      <c r="K35" s="37">
        <f t="shared" si="14"/>
        <v>18</v>
      </c>
      <c r="L35" s="37">
        <f t="shared" si="14"/>
        <v>16</v>
      </c>
      <c r="M35" s="37">
        <f t="shared" si="14"/>
        <v>16</v>
      </c>
      <c r="N35" s="37">
        <f t="shared" si="14"/>
        <v>14</v>
      </c>
      <c r="O35" s="37">
        <f t="shared" si="14"/>
        <v>15</v>
      </c>
      <c r="P35" s="37">
        <f t="shared" si="14"/>
        <v>14</v>
      </c>
      <c r="Q35" s="37">
        <f t="shared" si="14"/>
        <v>17</v>
      </c>
      <c r="R35" s="37">
        <f t="shared" si="14"/>
        <v>17</v>
      </c>
      <c r="S35" s="37">
        <f t="shared" si="14"/>
        <v>14</v>
      </c>
      <c r="T35" s="37">
        <f t="shared" si="14"/>
        <v>14</v>
      </c>
      <c r="U35" s="37">
        <f t="shared" si="14"/>
        <v>15</v>
      </c>
      <c r="V35" s="37">
        <f t="shared" si="14"/>
        <v>15</v>
      </c>
      <c r="W35" s="37">
        <f t="shared" si="14"/>
        <v>15</v>
      </c>
      <c r="X35" s="37">
        <f t="shared" si="14"/>
        <v>17</v>
      </c>
      <c r="Y35" s="37">
        <f t="shared" si="14"/>
        <v>17</v>
      </c>
      <c r="Z35" s="37">
        <f t="shared" si="14"/>
        <v>15</v>
      </c>
      <c r="AA35" s="37">
        <f t="shared" si="14"/>
        <v>15</v>
      </c>
      <c r="AB35" s="37">
        <f t="shared" si="14"/>
        <v>15</v>
      </c>
      <c r="AC35" s="37">
        <f t="shared" si="14"/>
        <v>15</v>
      </c>
      <c r="AD35" s="37">
        <f t="shared" si="14"/>
        <v>15</v>
      </c>
      <c r="AE35" s="37">
        <f t="shared" si="14"/>
        <v>16</v>
      </c>
      <c r="AF35" s="37">
        <f t="shared" si="14"/>
        <v>16</v>
      </c>
      <c r="AG35" s="37">
        <f t="shared" si="14"/>
        <v>13</v>
      </c>
      <c r="AH35" s="37">
        <f t="shared" si="14"/>
        <v>13</v>
      </c>
      <c r="AI35" s="37">
        <f t="shared" si="14"/>
        <v>14</v>
      </c>
      <c r="AJ35" s="37">
        <f t="shared" si="14"/>
        <v>12</v>
      </c>
    </row>
    <row r="36" spans="3:36" ht="16.5" thickBot="1" x14ac:dyDescent="0.3"/>
    <row r="37" spans="3:36" ht="16.5" thickBot="1" x14ac:dyDescent="0.3">
      <c r="F37" s="199" t="s">
        <v>233</v>
      </c>
      <c r="G37" s="200"/>
      <c r="H37" s="201"/>
    </row>
    <row r="38" spans="3:36" x14ac:dyDescent="0.25">
      <c r="F38" s="71" t="s">
        <v>142</v>
      </c>
      <c r="G38" s="202" t="s">
        <v>229</v>
      </c>
      <c r="H38" s="203"/>
    </row>
    <row r="39" spans="3:36" x14ac:dyDescent="0.25">
      <c r="F39" s="72" t="s">
        <v>119</v>
      </c>
      <c r="G39" s="220" t="s">
        <v>230</v>
      </c>
      <c r="H39" s="236"/>
    </row>
    <row r="40" spans="3:36" x14ac:dyDescent="0.25">
      <c r="F40" s="73" t="s">
        <v>227</v>
      </c>
      <c r="G40" s="205" t="s">
        <v>231</v>
      </c>
      <c r="H40" s="206"/>
    </row>
    <row r="41" spans="3:36" x14ac:dyDescent="0.25">
      <c r="F41" s="74" t="s">
        <v>228</v>
      </c>
      <c r="G41" s="207" t="s">
        <v>232</v>
      </c>
      <c r="H41" s="208"/>
    </row>
    <row r="42" spans="3:36" x14ac:dyDescent="0.25">
      <c r="F42" s="75" t="s">
        <v>144</v>
      </c>
      <c r="G42" s="191" t="s">
        <v>235</v>
      </c>
      <c r="H42" s="192"/>
    </row>
    <row r="43" spans="3:36" x14ac:dyDescent="0.25">
      <c r="F43" s="76"/>
      <c r="G43" s="193" t="s">
        <v>234</v>
      </c>
      <c r="H43" s="194"/>
    </row>
    <row r="44" spans="3:36" ht="16.5" thickBot="1" x14ac:dyDescent="0.3">
      <c r="F44" s="77" t="s">
        <v>236</v>
      </c>
      <c r="G44" s="234" t="s">
        <v>237</v>
      </c>
      <c r="H44" s="235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112" priority="1" operator="containsText" text="STMN06">
      <formula>NOT(ISERROR(SEARCH("STMN06",F5)))</formula>
    </cfRule>
    <cfRule type="containsText" dxfId="111" priority="2" operator="containsText" text="STAN13">
      <formula>NOT(ISERROR(SEARCH("STAN13",F5)))</formula>
    </cfRule>
    <cfRule type="containsText" dxfId="110" priority="3" operator="containsText" text="STNN21">
      <formula>NOT(ISERROR(SEARCH("STNN21",F5)))</formula>
    </cfRule>
    <cfRule type="containsText" dxfId="109" priority="4" operator="containsText" text="LV">
      <formula>NOT(ISERROR(SEARCH("LV",F5)))</formula>
    </cfRule>
    <cfRule type="containsText" dxfId="108" priority="5" operator="containsText" text="TR">
      <formula>NOT(ISERROR(SEARCH("TR",F5)))</formula>
    </cfRule>
    <cfRule type="containsText" dxfId="107" priority="6" operator="containsText" text="NN21">
      <formula>NOT(ISERROR(SEARCH("NN21",F5)))</formula>
    </cfRule>
    <cfRule type="containsText" dxfId="106" priority="7" operator="containsText" text="NN13">
      <formula>NOT(ISERROR(SEARCH("NN13",F5)))</formula>
    </cfRule>
    <cfRule type="containsText" dxfId="105" priority="8" operator="containsText" text="AN13">
      <formula>NOT(ISERROR(SEARCH("AN13",F5)))</formula>
    </cfRule>
    <cfRule type="containsText" dxfId="104" priority="9" operator="containsText" text="MN06">
      <formula>NOT(ISERROR(SEARCH("MN06",F5)))</formula>
    </cfRule>
    <cfRule type="containsText" dxfId="103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2" t="s">
        <v>125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" x14ac:dyDescent="0.3">
      <c r="B3" s="150" t="s">
        <v>105</v>
      </c>
      <c r="C3" s="150"/>
      <c r="D3" s="150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45"/>
      <c r="AM3" s="145"/>
      <c r="AN3" s="145"/>
      <c r="AO3" s="145"/>
      <c r="AP3" s="145"/>
    </row>
    <row r="4" spans="2:42" ht="19.5" customHeight="1" thickBot="1" x14ac:dyDescent="0.35">
      <c r="B4" s="150"/>
      <c r="C4" s="150"/>
      <c r="D4" s="15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255" t="s">
        <v>210</v>
      </c>
      <c r="D5" s="256"/>
      <c r="F5" s="61" t="s">
        <v>230</v>
      </c>
      <c r="G5" s="44" t="s">
        <v>230</v>
      </c>
      <c r="H5" s="44" t="s">
        <v>272</v>
      </c>
      <c r="I5" s="44" t="s">
        <v>109</v>
      </c>
      <c r="J5" s="44" t="s">
        <v>27</v>
      </c>
      <c r="K5" s="44" t="s">
        <v>274</v>
      </c>
      <c r="L5" s="44" t="s">
        <v>274</v>
      </c>
      <c r="M5" s="44" t="s">
        <v>274</v>
      </c>
      <c r="N5" s="107" t="s">
        <v>230</v>
      </c>
      <c r="O5" s="44" t="s">
        <v>230</v>
      </c>
      <c r="P5" s="44" t="s">
        <v>231</v>
      </c>
      <c r="Q5" s="44" t="s">
        <v>272</v>
      </c>
      <c r="R5" s="44" t="s">
        <v>27</v>
      </c>
      <c r="S5" s="44" t="s">
        <v>274</v>
      </c>
      <c r="T5" s="44" t="s">
        <v>274</v>
      </c>
      <c r="U5" s="44" t="s">
        <v>274</v>
      </c>
      <c r="V5" s="107" t="s">
        <v>230</v>
      </c>
      <c r="W5" s="44" t="s">
        <v>111</v>
      </c>
      <c r="X5" s="44" t="s">
        <v>231</v>
      </c>
      <c r="Y5" s="44" t="s">
        <v>271</v>
      </c>
      <c r="Z5" s="44" t="s">
        <v>271</v>
      </c>
      <c r="AA5" s="44" t="s">
        <v>274</v>
      </c>
      <c r="AB5" s="44" t="s">
        <v>274</v>
      </c>
      <c r="AC5" s="44" t="s">
        <v>274</v>
      </c>
      <c r="AD5" s="107" t="s">
        <v>230</v>
      </c>
      <c r="AE5" s="44" t="s">
        <v>230</v>
      </c>
      <c r="AF5" s="44" t="s">
        <v>231</v>
      </c>
      <c r="AG5" s="44" t="s">
        <v>273</v>
      </c>
      <c r="AH5" s="44" t="s">
        <v>27</v>
      </c>
      <c r="AI5" s="44" t="s">
        <v>274</v>
      </c>
      <c r="AJ5" s="62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5" t="s">
        <v>211</v>
      </c>
      <c r="D6" s="256"/>
      <c r="F6" s="63" t="s">
        <v>231</v>
      </c>
      <c r="G6" s="52" t="s">
        <v>231</v>
      </c>
      <c r="H6" s="52" t="s">
        <v>271</v>
      </c>
      <c r="I6" s="52" t="s">
        <v>271</v>
      </c>
      <c r="J6" s="52" t="s">
        <v>274</v>
      </c>
      <c r="K6" s="52" t="s">
        <v>274</v>
      </c>
      <c r="L6" s="52" t="s">
        <v>274</v>
      </c>
      <c r="M6" s="27" t="s">
        <v>230</v>
      </c>
      <c r="N6" s="52" t="s">
        <v>272</v>
      </c>
      <c r="O6" s="52" t="s">
        <v>231</v>
      </c>
      <c r="P6" s="52" t="s">
        <v>271</v>
      </c>
      <c r="Q6" s="52" t="s">
        <v>271</v>
      </c>
      <c r="R6" s="52" t="s">
        <v>274</v>
      </c>
      <c r="S6" s="52" t="s">
        <v>274</v>
      </c>
      <c r="T6" s="52" t="s">
        <v>274</v>
      </c>
      <c r="U6" s="27" t="s">
        <v>230</v>
      </c>
      <c r="V6" s="52" t="s">
        <v>108</v>
      </c>
      <c r="W6" s="52" t="s">
        <v>231</v>
      </c>
      <c r="X6" s="52" t="s">
        <v>271</v>
      </c>
      <c r="Y6" s="52" t="s">
        <v>271</v>
      </c>
      <c r="Z6" s="52" t="s">
        <v>274</v>
      </c>
      <c r="AA6" s="52" t="s">
        <v>274</v>
      </c>
      <c r="AB6" s="52" t="s">
        <v>274</v>
      </c>
      <c r="AC6" s="27" t="s">
        <v>230</v>
      </c>
      <c r="AD6" s="52" t="s">
        <v>276</v>
      </c>
      <c r="AE6" s="52" t="s">
        <v>231</v>
      </c>
      <c r="AF6" s="52" t="s">
        <v>271</v>
      </c>
      <c r="AG6" s="52" t="s">
        <v>271</v>
      </c>
      <c r="AH6" s="52" t="s">
        <v>274</v>
      </c>
      <c r="AI6" s="52" t="s">
        <v>274</v>
      </c>
      <c r="AJ6" s="64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5" t="s">
        <v>133</v>
      </c>
      <c r="D7" s="256"/>
      <c r="F7" s="63" t="s">
        <v>231</v>
      </c>
      <c r="G7" s="52" t="s">
        <v>271</v>
      </c>
      <c r="H7" s="52" t="s">
        <v>271</v>
      </c>
      <c r="I7" s="52" t="s">
        <v>274</v>
      </c>
      <c r="J7" s="52" t="s">
        <v>274</v>
      </c>
      <c r="K7" s="52" t="s">
        <v>274</v>
      </c>
      <c r="L7" s="27" t="s">
        <v>230</v>
      </c>
      <c r="M7" s="23" t="s">
        <v>230</v>
      </c>
      <c r="N7" s="52" t="s">
        <v>231</v>
      </c>
      <c r="O7" s="52" t="s">
        <v>271</v>
      </c>
      <c r="P7" s="52" t="s">
        <v>271</v>
      </c>
      <c r="Q7" s="52" t="s">
        <v>274</v>
      </c>
      <c r="R7" s="52" t="s">
        <v>274</v>
      </c>
      <c r="S7" s="52" t="s">
        <v>274</v>
      </c>
      <c r="T7" s="27" t="s">
        <v>230</v>
      </c>
      <c r="U7" s="23" t="s">
        <v>230</v>
      </c>
      <c r="V7" s="52" t="s">
        <v>231</v>
      </c>
      <c r="W7" s="52" t="s">
        <v>271</v>
      </c>
      <c r="X7" s="52" t="s">
        <v>271</v>
      </c>
      <c r="Y7" s="52" t="s">
        <v>274</v>
      </c>
      <c r="Z7" s="52" t="s">
        <v>274</v>
      </c>
      <c r="AA7" s="52" t="s">
        <v>274</v>
      </c>
      <c r="AB7" s="27" t="s">
        <v>230</v>
      </c>
      <c r="AC7" s="23" t="s">
        <v>230</v>
      </c>
      <c r="AD7" s="52" t="s">
        <v>231</v>
      </c>
      <c r="AE7" s="52" t="s">
        <v>271</v>
      </c>
      <c r="AF7" s="52" t="s">
        <v>271</v>
      </c>
      <c r="AG7" s="52" t="s">
        <v>274</v>
      </c>
      <c r="AH7" s="52" t="s">
        <v>274</v>
      </c>
      <c r="AI7" s="52" t="s">
        <v>274</v>
      </c>
      <c r="AJ7" s="64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5" t="s">
        <v>128</v>
      </c>
      <c r="D8" s="256"/>
      <c r="F8" s="63" t="s">
        <v>271</v>
      </c>
      <c r="G8" s="52" t="s">
        <v>271</v>
      </c>
      <c r="H8" s="52" t="s">
        <v>274</v>
      </c>
      <c r="I8" s="52" t="s">
        <v>274</v>
      </c>
      <c r="J8" s="52" t="s">
        <v>274</v>
      </c>
      <c r="K8" s="27" t="s">
        <v>230</v>
      </c>
      <c r="L8" s="23" t="s">
        <v>230</v>
      </c>
      <c r="M8" s="52" t="s">
        <v>231</v>
      </c>
      <c r="N8" s="52" t="s">
        <v>271</v>
      </c>
      <c r="O8" s="52" t="s">
        <v>271</v>
      </c>
      <c r="P8" s="52" t="s">
        <v>274</v>
      </c>
      <c r="Q8" s="52" t="s">
        <v>274</v>
      </c>
      <c r="R8" s="52" t="s">
        <v>274</v>
      </c>
      <c r="S8" s="27" t="s">
        <v>230</v>
      </c>
      <c r="T8" s="23" t="s">
        <v>230</v>
      </c>
      <c r="U8" s="52" t="s">
        <v>231</v>
      </c>
      <c r="V8" s="52" t="s">
        <v>109</v>
      </c>
      <c r="W8" s="52" t="s">
        <v>271</v>
      </c>
      <c r="X8" s="52" t="s">
        <v>274</v>
      </c>
      <c r="Y8" s="52" t="s">
        <v>274</v>
      </c>
      <c r="Z8" s="52" t="s">
        <v>274</v>
      </c>
      <c r="AA8" s="27" t="s">
        <v>230</v>
      </c>
      <c r="AB8" s="23" t="s">
        <v>230</v>
      </c>
      <c r="AC8" s="52" t="s">
        <v>231</v>
      </c>
      <c r="AD8" s="52" t="s">
        <v>273</v>
      </c>
      <c r="AE8" s="52" t="s">
        <v>271</v>
      </c>
      <c r="AF8" s="52" t="s">
        <v>274</v>
      </c>
      <c r="AG8" s="52" t="s">
        <v>274</v>
      </c>
      <c r="AH8" s="52" t="s">
        <v>274</v>
      </c>
      <c r="AI8" s="27" t="s">
        <v>230</v>
      </c>
      <c r="AJ8" s="64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5" t="s">
        <v>140</v>
      </c>
      <c r="D9" s="256"/>
      <c r="F9" s="63" t="s">
        <v>274</v>
      </c>
      <c r="G9" s="52" t="s">
        <v>274</v>
      </c>
      <c r="H9" s="52" t="s">
        <v>274</v>
      </c>
      <c r="I9" s="52" t="s">
        <v>30</v>
      </c>
      <c r="J9" s="27" t="s">
        <v>230</v>
      </c>
      <c r="K9" s="23" t="s">
        <v>230</v>
      </c>
      <c r="L9" s="52" t="s">
        <v>231</v>
      </c>
      <c r="M9" s="52" t="s">
        <v>271</v>
      </c>
      <c r="N9" s="52" t="s">
        <v>271</v>
      </c>
      <c r="O9" s="52" t="s">
        <v>274</v>
      </c>
      <c r="P9" s="52" t="s">
        <v>274</v>
      </c>
      <c r="Q9" s="52" t="s">
        <v>274</v>
      </c>
      <c r="R9" s="27" t="s">
        <v>230</v>
      </c>
      <c r="S9" s="23" t="s">
        <v>230</v>
      </c>
      <c r="T9" s="52" t="s">
        <v>231</v>
      </c>
      <c r="U9" s="52" t="s">
        <v>271</v>
      </c>
      <c r="V9" s="52" t="s">
        <v>271</v>
      </c>
      <c r="W9" s="52" t="s">
        <v>274</v>
      </c>
      <c r="X9" s="52" t="s">
        <v>274</v>
      </c>
      <c r="Y9" s="52" t="s">
        <v>274</v>
      </c>
      <c r="Z9" s="27" t="s">
        <v>230</v>
      </c>
      <c r="AA9" s="23" t="s">
        <v>230</v>
      </c>
      <c r="AB9" s="52" t="s">
        <v>231</v>
      </c>
      <c r="AC9" s="52" t="s">
        <v>273</v>
      </c>
      <c r="AD9" s="52" t="s">
        <v>271</v>
      </c>
      <c r="AE9" s="52" t="s">
        <v>274</v>
      </c>
      <c r="AF9" s="52" t="s">
        <v>274</v>
      </c>
      <c r="AG9" s="52" t="s">
        <v>274</v>
      </c>
      <c r="AH9" s="27" t="s">
        <v>230</v>
      </c>
      <c r="AI9" s="23" t="s">
        <v>230</v>
      </c>
      <c r="AJ9" s="64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5" t="s">
        <v>131</v>
      </c>
      <c r="D10" s="256"/>
      <c r="F10" s="63" t="s">
        <v>274</v>
      </c>
      <c r="G10" s="52" t="s">
        <v>274</v>
      </c>
      <c r="H10" s="52" t="s">
        <v>274</v>
      </c>
      <c r="I10" s="27" t="s">
        <v>230</v>
      </c>
      <c r="J10" s="23" t="s">
        <v>230</v>
      </c>
      <c r="K10" s="52" t="s">
        <v>231</v>
      </c>
      <c r="L10" s="52" t="s">
        <v>271</v>
      </c>
      <c r="M10" s="52" t="s">
        <v>271</v>
      </c>
      <c r="N10" s="52" t="s">
        <v>274</v>
      </c>
      <c r="O10" s="52" t="s">
        <v>274</v>
      </c>
      <c r="P10" s="52" t="s">
        <v>274</v>
      </c>
      <c r="Q10" s="27" t="s">
        <v>230</v>
      </c>
      <c r="R10" s="23" t="s">
        <v>230</v>
      </c>
      <c r="S10" s="52" t="s">
        <v>231</v>
      </c>
      <c r="T10" s="52" t="s">
        <v>271</v>
      </c>
      <c r="U10" s="52" t="s">
        <v>271</v>
      </c>
      <c r="V10" s="52" t="s">
        <v>274</v>
      </c>
      <c r="W10" s="52" t="s">
        <v>274</v>
      </c>
      <c r="X10" s="52" t="s">
        <v>274</v>
      </c>
      <c r="Y10" s="27" t="s">
        <v>230</v>
      </c>
      <c r="Z10" s="23" t="s">
        <v>230</v>
      </c>
      <c r="AA10" s="52" t="s">
        <v>231</v>
      </c>
      <c r="AB10" s="52" t="s">
        <v>273</v>
      </c>
      <c r="AC10" s="52" t="s">
        <v>271</v>
      </c>
      <c r="AD10" s="52" t="s">
        <v>274</v>
      </c>
      <c r="AE10" s="52" t="s">
        <v>274</v>
      </c>
      <c r="AF10" s="52" t="s">
        <v>274</v>
      </c>
      <c r="AG10" s="27" t="s">
        <v>230</v>
      </c>
      <c r="AH10" s="23" t="s">
        <v>230</v>
      </c>
      <c r="AI10" s="52" t="s">
        <v>231</v>
      </c>
      <c r="AJ10" s="64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5" t="s">
        <v>129</v>
      </c>
      <c r="D11" s="256"/>
      <c r="F11" s="63" t="s">
        <v>274</v>
      </c>
      <c r="G11" s="52" t="s">
        <v>274</v>
      </c>
      <c r="H11" s="27" t="s">
        <v>230</v>
      </c>
      <c r="I11" s="23" t="s">
        <v>230</v>
      </c>
      <c r="J11" s="52" t="s">
        <v>231</v>
      </c>
      <c r="K11" s="52" t="s">
        <v>271</v>
      </c>
      <c r="L11" s="52" t="s">
        <v>271</v>
      </c>
      <c r="M11" s="52" t="s">
        <v>274</v>
      </c>
      <c r="N11" s="52" t="s">
        <v>274</v>
      </c>
      <c r="O11" s="52" t="s">
        <v>274</v>
      </c>
      <c r="P11" s="27" t="s">
        <v>230</v>
      </c>
      <c r="Q11" s="52" t="s">
        <v>231</v>
      </c>
      <c r="R11" s="52" t="s">
        <v>273</v>
      </c>
      <c r="S11" s="52" t="s">
        <v>271</v>
      </c>
      <c r="T11" s="52" t="s">
        <v>271</v>
      </c>
      <c r="U11" s="52" t="s">
        <v>274</v>
      </c>
      <c r="V11" s="52" t="s">
        <v>274</v>
      </c>
      <c r="W11" s="52" t="s">
        <v>274</v>
      </c>
      <c r="X11" s="27" t="s">
        <v>230</v>
      </c>
      <c r="Y11" s="23" t="s">
        <v>230</v>
      </c>
      <c r="Z11" s="52" t="s">
        <v>231</v>
      </c>
      <c r="AA11" s="52" t="s">
        <v>273</v>
      </c>
      <c r="AB11" s="52" t="s">
        <v>271</v>
      </c>
      <c r="AC11" s="52" t="s">
        <v>274</v>
      </c>
      <c r="AD11" s="52" t="s">
        <v>274</v>
      </c>
      <c r="AE11" s="52" t="s">
        <v>274</v>
      </c>
      <c r="AF11" s="27" t="s">
        <v>230</v>
      </c>
      <c r="AG11" s="23" t="s">
        <v>230</v>
      </c>
      <c r="AH11" s="52" t="s">
        <v>231</v>
      </c>
      <c r="AI11" s="52" t="s">
        <v>271</v>
      </c>
      <c r="AJ11" s="64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5" t="s">
        <v>137</v>
      </c>
      <c r="D12" s="256"/>
      <c r="F12" s="63" t="s">
        <v>274</v>
      </c>
      <c r="G12" s="52" t="s">
        <v>270</v>
      </c>
      <c r="H12" s="27" t="s">
        <v>230</v>
      </c>
      <c r="I12" s="52" t="s">
        <v>231</v>
      </c>
      <c r="J12" s="52" t="s">
        <v>273</v>
      </c>
      <c r="K12" s="52" t="s">
        <v>271</v>
      </c>
      <c r="L12" s="52" t="s">
        <v>274</v>
      </c>
      <c r="M12" s="52" t="s">
        <v>274</v>
      </c>
      <c r="N12" s="52" t="s">
        <v>274</v>
      </c>
      <c r="O12" s="52" t="s">
        <v>270</v>
      </c>
      <c r="P12" s="27" t="s">
        <v>230</v>
      </c>
      <c r="Q12" s="23" t="s">
        <v>230</v>
      </c>
      <c r="R12" s="52" t="s">
        <v>272</v>
      </c>
      <c r="S12" s="52" t="s">
        <v>271</v>
      </c>
      <c r="T12" s="52" t="s">
        <v>274</v>
      </c>
      <c r="U12" s="52" t="s">
        <v>274</v>
      </c>
      <c r="V12" s="52" t="s">
        <v>274</v>
      </c>
      <c r="W12" s="27" t="s">
        <v>230</v>
      </c>
      <c r="X12" s="23" t="s">
        <v>230</v>
      </c>
      <c r="Y12" s="52" t="s">
        <v>231</v>
      </c>
      <c r="Z12" s="52" t="s">
        <v>273</v>
      </c>
      <c r="AA12" s="52" t="s">
        <v>271</v>
      </c>
      <c r="AB12" s="52" t="s">
        <v>274</v>
      </c>
      <c r="AC12" s="52" t="s">
        <v>274</v>
      </c>
      <c r="AD12" s="52" t="s">
        <v>274</v>
      </c>
      <c r="AE12" s="52" t="s">
        <v>270</v>
      </c>
      <c r="AF12" s="27" t="s">
        <v>230</v>
      </c>
      <c r="AG12" s="52" t="s">
        <v>231</v>
      </c>
      <c r="AH12" s="52" t="s">
        <v>273</v>
      </c>
      <c r="AI12" s="52" t="s">
        <v>271</v>
      </c>
      <c r="AJ12" s="64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5" t="s">
        <v>127</v>
      </c>
      <c r="D13" s="256"/>
      <c r="F13" s="111" t="s">
        <v>230</v>
      </c>
      <c r="G13" s="27" t="s">
        <v>230</v>
      </c>
      <c r="H13" s="52" t="s">
        <v>272</v>
      </c>
      <c r="I13" s="52" t="s">
        <v>231</v>
      </c>
      <c r="J13" s="52" t="s">
        <v>273</v>
      </c>
      <c r="K13" s="52" t="s">
        <v>274</v>
      </c>
      <c r="L13" s="52" t="s">
        <v>274</v>
      </c>
      <c r="M13" s="52" t="s">
        <v>274</v>
      </c>
      <c r="N13" s="27" t="s">
        <v>230</v>
      </c>
      <c r="O13" s="23" t="s">
        <v>230</v>
      </c>
      <c r="P13" s="52" t="s">
        <v>272</v>
      </c>
      <c r="Q13" s="52" t="s">
        <v>231</v>
      </c>
      <c r="R13" s="52" t="s">
        <v>271</v>
      </c>
      <c r="S13" s="52" t="s">
        <v>274</v>
      </c>
      <c r="T13" s="52" t="s">
        <v>274</v>
      </c>
      <c r="U13" s="52" t="s">
        <v>274</v>
      </c>
      <c r="V13" s="27" t="s">
        <v>230</v>
      </c>
      <c r="W13" s="23" t="s">
        <v>230</v>
      </c>
      <c r="X13" s="52" t="s">
        <v>272</v>
      </c>
      <c r="Y13" s="52" t="s">
        <v>273</v>
      </c>
      <c r="Z13" s="52" t="s">
        <v>271</v>
      </c>
      <c r="AA13" s="52" t="s">
        <v>274</v>
      </c>
      <c r="AB13" s="52" t="s">
        <v>274</v>
      </c>
      <c r="AC13" s="52" t="s">
        <v>274</v>
      </c>
      <c r="AD13" s="27" t="s">
        <v>230</v>
      </c>
      <c r="AE13" s="23" t="s">
        <v>230</v>
      </c>
      <c r="AF13" s="52" t="s">
        <v>272</v>
      </c>
      <c r="AG13" s="52" t="s">
        <v>273</v>
      </c>
      <c r="AH13" s="52" t="s">
        <v>271</v>
      </c>
      <c r="AI13" s="52" t="s">
        <v>274</v>
      </c>
      <c r="AJ13" s="64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5" t="s">
        <v>139</v>
      </c>
      <c r="D14" s="256"/>
      <c r="F14" s="63" t="s">
        <v>274</v>
      </c>
      <c r="G14" s="52" t="s">
        <v>272</v>
      </c>
      <c r="H14" s="52" t="s">
        <v>231</v>
      </c>
      <c r="I14" s="52" t="s">
        <v>271</v>
      </c>
      <c r="J14" s="52" t="s">
        <v>274</v>
      </c>
      <c r="K14" s="52" t="s">
        <v>274</v>
      </c>
      <c r="L14" s="52" t="s">
        <v>274</v>
      </c>
      <c r="M14" s="27" t="s">
        <v>230</v>
      </c>
      <c r="N14" s="23" t="s">
        <v>230</v>
      </c>
      <c r="O14" s="52" t="s">
        <v>272</v>
      </c>
      <c r="P14" s="52" t="s">
        <v>231</v>
      </c>
      <c r="Q14" s="52" t="s">
        <v>271</v>
      </c>
      <c r="R14" s="52" t="s">
        <v>274</v>
      </c>
      <c r="S14" s="52" t="s">
        <v>274</v>
      </c>
      <c r="T14" s="52" t="s">
        <v>274</v>
      </c>
      <c r="U14" s="27" t="s">
        <v>230</v>
      </c>
      <c r="V14" s="23" t="s">
        <v>230</v>
      </c>
      <c r="W14" s="52" t="s">
        <v>272</v>
      </c>
      <c r="X14" s="52" t="s">
        <v>231</v>
      </c>
      <c r="Y14" s="52" t="s">
        <v>271</v>
      </c>
      <c r="Z14" s="52" t="s">
        <v>274</v>
      </c>
      <c r="AA14" s="52" t="s">
        <v>274</v>
      </c>
      <c r="AB14" s="52" t="s">
        <v>274</v>
      </c>
      <c r="AC14" s="27" t="s">
        <v>230</v>
      </c>
      <c r="AD14" s="23" t="s">
        <v>230</v>
      </c>
      <c r="AE14" s="52" t="s">
        <v>272</v>
      </c>
      <c r="AF14" s="52" t="s">
        <v>231</v>
      </c>
      <c r="AG14" s="52" t="s">
        <v>271</v>
      </c>
      <c r="AH14" s="52" t="s">
        <v>274</v>
      </c>
      <c r="AI14" s="52" t="s">
        <v>274</v>
      </c>
      <c r="AJ14" s="64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5" t="s">
        <v>134</v>
      </c>
      <c r="D15" s="256"/>
      <c r="F15" s="63" t="s">
        <v>23</v>
      </c>
      <c r="G15" s="52" t="s">
        <v>231</v>
      </c>
      <c r="H15" s="52" t="s">
        <v>271</v>
      </c>
      <c r="I15" s="52" t="s">
        <v>274</v>
      </c>
      <c r="J15" s="52" t="s">
        <v>274</v>
      </c>
      <c r="K15" s="52" t="s">
        <v>274</v>
      </c>
      <c r="L15" s="27" t="s">
        <v>230</v>
      </c>
      <c r="M15" s="23" t="s">
        <v>230</v>
      </c>
      <c r="N15" s="52" t="s">
        <v>231</v>
      </c>
      <c r="O15" s="52" t="s">
        <v>231</v>
      </c>
      <c r="P15" s="52" t="s">
        <v>271</v>
      </c>
      <c r="Q15" s="52" t="s">
        <v>274</v>
      </c>
      <c r="R15" s="52" t="s">
        <v>274</v>
      </c>
      <c r="S15" s="52" t="s">
        <v>274</v>
      </c>
      <c r="T15" s="27" t="s">
        <v>230</v>
      </c>
      <c r="U15" s="23" t="s">
        <v>230</v>
      </c>
      <c r="V15" s="52" t="s">
        <v>231</v>
      </c>
      <c r="W15" s="52" t="s">
        <v>231</v>
      </c>
      <c r="X15" s="52" t="s">
        <v>271</v>
      </c>
      <c r="Y15" s="52" t="s">
        <v>274</v>
      </c>
      <c r="Z15" s="52" t="s">
        <v>274</v>
      </c>
      <c r="AA15" s="52" t="s">
        <v>274</v>
      </c>
      <c r="AB15" s="27" t="s">
        <v>230</v>
      </c>
      <c r="AC15" s="23" t="s">
        <v>230</v>
      </c>
      <c r="AD15" s="52" t="s">
        <v>231</v>
      </c>
      <c r="AE15" s="52" t="s">
        <v>231</v>
      </c>
      <c r="AF15" s="52" t="s">
        <v>271</v>
      </c>
      <c r="AG15" s="52" t="s">
        <v>274</v>
      </c>
      <c r="AH15" s="52" t="s">
        <v>274</v>
      </c>
      <c r="AI15" s="52" t="s">
        <v>274</v>
      </c>
      <c r="AJ15" s="64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5" t="s">
        <v>136</v>
      </c>
      <c r="D16" s="256"/>
      <c r="F16" s="63" t="s">
        <v>271</v>
      </c>
      <c r="G16" s="52" t="s">
        <v>271</v>
      </c>
      <c r="H16" s="52" t="s">
        <v>274</v>
      </c>
      <c r="I16" s="52" t="s">
        <v>274</v>
      </c>
      <c r="J16" s="52" t="s">
        <v>274</v>
      </c>
      <c r="K16" s="27" t="s">
        <v>230</v>
      </c>
      <c r="L16" s="23" t="s">
        <v>230</v>
      </c>
      <c r="M16" s="52" t="s">
        <v>231</v>
      </c>
      <c r="N16" s="52" t="s">
        <v>273</v>
      </c>
      <c r="O16" s="52" t="s">
        <v>271</v>
      </c>
      <c r="P16" s="52" t="s">
        <v>274</v>
      </c>
      <c r="Q16" s="52" t="s">
        <v>274</v>
      </c>
      <c r="R16" s="52" t="s">
        <v>274</v>
      </c>
      <c r="S16" s="27" t="s">
        <v>230</v>
      </c>
      <c r="T16" s="23" t="s">
        <v>230</v>
      </c>
      <c r="U16" s="52" t="s">
        <v>231</v>
      </c>
      <c r="V16" s="52" t="s">
        <v>271</v>
      </c>
      <c r="W16" s="52" t="s">
        <v>271</v>
      </c>
      <c r="X16" s="52" t="s">
        <v>274</v>
      </c>
      <c r="Y16" s="52" t="s">
        <v>274</v>
      </c>
      <c r="Z16" s="52" t="s">
        <v>274</v>
      </c>
      <c r="AA16" s="27" t="s">
        <v>230</v>
      </c>
      <c r="AB16" s="23" t="s">
        <v>230</v>
      </c>
      <c r="AC16" s="52" t="s">
        <v>231</v>
      </c>
      <c r="AD16" s="52" t="s">
        <v>271</v>
      </c>
      <c r="AE16" s="52" t="s">
        <v>271</v>
      </c>
      <c r="AF16" s="52" t="s">
        <v>274</v>
      </c>
      <c r="AG16" s="52" t="s">
        <v>274</v>
      </c>
      <c r="AH16" s="52" t="s">
        <v>274</v>
      </c>
      <c r="AI16" s="27" t="s">
        <v>230</v>
      </c>
      <c r="AJ16" s="64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5" t="s">
        <v>141</v>
      </c>
      <c r="D17" s="256"/>
      <c r="F17" s="63" t="s">
        <v>274</v>
      </c>
      <c r="G17" s="52" t="s">
        <v>274</v>
      </c>
      <c r="H17" s="52" t="s">
        <v>274</v>
      </c>
      <c r="I17" s="52" t="s">
        <v>30</v>
      </c>
      <c r="J17" s="27" t="s">
        <v>230</v>
      </c>
      <c r="K17" s="23" t="s">
        <v>230</v>
      </c>
      <c r="L17" s="52" t="s">
        <v>231</v>
      </c>
      <c r="M17" s="52" t="s">
        <v>273</v>
      </c>
      <c r="N17" s="52" t="s">
        <v>271</v>
      </c>
      <c r="O17" s="52" t="s">
        <v>274</v>
      </c>
      <c r="P17" s="52" t="s">
        <v>274</v>
      </c>
      <c r="Q17" s="52" t="s">
        <v>274</v>
      </c>
      <c r="R17" s="27" t="s">
        <v>230</v>
      </c>
      <c r="S17" s="23" t="s">
        <v>230</v>
      </c>
      <c r="T17" s="52" t="s">
        <v>231</v>
      </c>
      <c r="U17" s="52" t="s">
        <v>273</v>
      </c>
      <c r="V17" s="52" t="s">
        <v>271</v>
      </c>
      <c r="W17" s="52" t="s">
        <v>274</v>
      </c>
      <c r="X17" s="52" t="s">
        <v>274</v>
      </c>
      <c r="Y17" s="52" t="s">
        <v>274</v>
      </c>
      <c r="Z17" s="27" t="s">
        <v>230</v>
      </c>
      <c r="AA17" s="23" t="s">
        <v>230</v>
      </c>
      <c r="AB17" s="52" t="s">
        <v>231</v>
      </c>
      <c r="AC17" s="52" t="s">
        <v>271</v>
      </c>
      <c r="AD17" s="52" t="s">
        <v>271</v>
      </c>
      <c r="AE17" s="52" t="s">
        <v>274</v>
      </c>
      <c r="AF17" s="52" t="s">
        <v>274</v>
      </c>
      <c r="AG17" s="52" t="s">
        <v>274</v>
      </c>
      <c r="AH17" s="27" t="s">
        <v>230</v>
      </c>
      <c r="AI17" s="23" t="s">
        <v>230</v>
      </c>
      <c r="AJ17" s="64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5" t="s">
        <v>132</v>
      </c>
      <c r="D18" s="256"/>
      <c r="F18" s="63" t="s">
        <v>274</v>
      </c>
      <c r="G18" s="52" t="s">
        <v>274</v>
      </c>
      <c r="H18" s="52" t="s">
        <v>274</v>
      </c>
      <c r="I18" s="27" t="s">
        <v>230</v>
      </c>
      <c r="J18" s="23" t="s">
        <v>230</v>
      </c>
      <c r="K18" s="52" t="s">
        <v>231</v>
      </c>
      <c r="L18" s="52" t="s">
        <v>273</v>
      </c>
      <c r="M18" s="52" t="s">
        <v>271</v>
      </c>
      <c r="N18" s="52" t="s">
        <v>274</v>
      </c>
      <c r="O18" s="52" t="s">
        <v>274</v>
      </c>
      <c r="P18" s="52" t="s">
        <v>274</v>
      </c>
      <c r="Q18" s="27" t="s">
        <v>230</v>
      </c>
      <c r="R18" s="23" t="s">
        <v>230</v>
      </c>
      <c r="S18" s="52" t="s">
        <v>231</v>
      </c>
      <c r="T18" s="52" t="s">
        <v>273</v>
      </c>
      <c r="U18" s="52" t="s">
        <v>271</v>
      </c>
      <c r="V18" s="52" t="s">
        <v>274</v>
      </c>
      <c r="W18" s="52" t="s">
        <v>274</v>
      </c>
      <c r="X18" s="52" t="s">
        <v>274</v>
      </c>
      <c r="Y18" s="27" t="s">
        <v>230</v>
      </c>
      <c r="Z18" s="23" t="s">
        <v>230</v>
      </c>
      <c r="AA18" s="52" t="s">
        <v>231</v>
      </c>
      <c r="AB18" s="52" t="s">
        <v>271</v>
      </c>
      <c r="AC18" s="52" t="s">
        <v>271</v>
      </c>
      <c r="AD18" s="52" t="s">
        <v>274</v>
      </c>
      <c r="AE18" s="52" t="s">
        <v>274</v>
      </c>
      <c r="AF18" s="52" t="s">
        <v>274</v>
      </c>
      <c r="AG18" s="27" t="s">
        <v>230</v>
      </c>
      <c r="AH18" s="23" t="s">
        <v>230</v>
      </c>
      <c r="AI18" s="52" t="s">
        <v>231</v>
      </c>
      <c r="AJ18" s="64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5" t="s">
        <v>130</v>
      </c>
      <c r="D19" s="256"/>
      <c r="F19" s="63" t="s">
        <v>274</v>
      </c>
      <c r="G19" s="52" t="s">
        <v>274</v>
      </c>
      <c r="H19" s="27" t="s">
        <v>230</v>
      </c>
      <c r="I19" s="23" t="s">
        <v>230</v>
      </c>
      <c r="J19" s="52" t="s">
        <v>231</v>
      </c>
      <c r="K19" s="52" t="s">
        <v>273</v>
      </c>
      <c r="L19" s="52" t="s">
        <v>271</v>
      </c>
      <c r="M19" s="52" t="s">
        <v>274</v>
      </c>
      <c r="N19" s="52" t="s">
        <v>274</v>
      </c>
      <c r="O19" s="52" t="s">
        <v>274</v>
      </c>
      <c r="P19" s="27" t="s">
        <v>230</v>
      </c>
      <c r="Q19" s="23" t="s">
        <v>230</v>
      </c>
      <c r="R19" s="52" t="s">
        <v>231</v>
      </c>
      <c r="S19" s="52" t="s">
        <v>273</v>
      </c>
      <c r="T19" s="52" t="s">
        <v>271</v>
      </c>
      <c r="U19" s="52" t="s">
        <v>274</v>
      </c>
      <c r="V19" s="52" t="s">
        <v>274</v>
      </c>
      <c r="W19" s="52" t="s">
        <v>274</v>
      </c>
      <c r="X19" s="27" t="s">
        <v>230</v>
      </c>
      <c r="Y19" s="23" t="s">
        <v>230</v>
      </c>
      <c r="Z19" s="52" t="s">
        <v>231</v>
      </c>
      <c r="AA19" s="52" t="s">
        <v>271</v>
      </c>
      <c r="AB19" s="52" t="s">
        <v>271</v>
      </c>
      <c r="AC19" s="52" t="s">
        <v>274</v>
      </c>
      <c r="AD19" s="52" t="s">
        <v>274</v>
      </c>
      <c r="AE19" s="52" t="s">
        <v>274</v>
      </c>
      <c r="AF19" s="27" t="s">
        <v>230</v>
      </c>
      <c r="AG19" s="23" t="s">
        <v>230</v>
      </c>
      <c r="AH19" s="52" t="s">
        <v>231</v>
      </c>
      <c r="AI19" s="104" t="s">
        <v>273</v>
      </c>
      <c r="AJ19" s="64"/>
      <c r="AL19" s="51"/>
      <c r="AM19" s="51"/>
      <c r="AN19" s="51"/>
      <c r="AO19" s="51"/>
      <c r="AP19" s="51"/>
    </row>
    <row r="20" spans="2:42" ht="18.75" x14ac:dyDescent="0.25">
      <c r="B20" s="37">
        <v>16</v>
      </c>
      <c r="C20" s="255" t="s">
        <v>138</v>
      </c>
      <c r="D20" s="256"/>
      <c r="F20" s="63" t="s">
        <v>274</v>
      </c>
      <c r="G20" s="27" t="s">
        <v>230</v>
      </c>
      <c r="H20" s="23" t="s">
        <v>230</v>
      </c>
      <c r="I20" s="52" t="s">
        <v>272</v>
      </c>
      <c r="J20" s="52" t="s">
        <v>271</v>
      </c>
      <c r="K20" s="52" t="s">
        <v>271</v>
      </c>
      <c r="L20" s="52" t="s">
        <v>274</v>
      </c>
      <c r="M20" s="52" t="s">
        <v>274</v>
      </c>
      <c r="N20" s="52" t="s">
        <v>274</v>
      </c>
      <c r="O20" s="27" t="s">
        <v>230</v>
      </c>
      <c r="P20" s="23" t="s">
        <v>230</v>
      </c>
      <c r="Q20" s="52" t="s">
        <v>272</v>
      </c>
      <c r="R20" s="52" t="s">
        <v>231</v>
      </c>
      <c r="S20" s="52" t="s">
        <v>271</v>
      </c>
      <c r="T20" s="52" t="s">
        <v>274</v>
      </c>
      <c r="U20" s="52" t="s">
        <v>274</v>
      </c>
      <c r="V20" s="52" t="s">
        <v>274</v>
      </c>
      <c r="W20" s="27" t="s">
        <v>230</v>
      </c>
      <c r="X20" s="23" t="s">
        <v>230</v>
      </c>
      <c r="Y20" s="52" t="s">
        <v>231</v>
      </c>
      <c r="Z20" s="52" t="s">
        <v>273</v>
      </c>
      <c r="AA20" s="52" t="s">
        <v>271</v>
      </c>
      <c r="AB20" s="52" t="s">
        <v>274</v>
      </c>
      <c r="AC20" s="52" t="s">
        <v>274</v>
      </c>
      <c r="AD20" s="52" t="s">
        <v>274</v>
      </c>
      <c r="AE20" s="27" t="s">
        <v>230</v>
      </c>
      <c r="AF20" s="23" t="s">
        <v>230</v>
      </c>
      <c r="AG20" s="52" t="s">
        <v>231</v>
      </c>
      <c r="AH20" s="52" t="s">
        <v>273</v>
      </c>
      <c r="AI20" s="52" t="s">
        <v>271</v>
      </c>
      <c r="AJ20" s="64"/>
      <c r="AL20" s="51"/>
      <c r="AM20" s="51"/>
      <c r="AN20" s="51"/>
      <c r="AO20" s="51"/>
      <c r="AP20" s="51"/>
    </row>
    <row r="21" spans="2:42" ht="19.5" thickBot="1" x14ac:dyDescent="0.3">
      <c r="B21" s="37">
        <v>17</v>
      </c>
      <c r="C21" s="255" t="s">
        <v>135</v>
      </c>
      <c r="D21" s="256"/>
      <c r="F21" s="118" t="s">
        <v>230</v>
      </c>
      <c r="G21" s="113" t="s">
        <v>230</v>
      </c>
      <c r="H21" s="65" t="s">
        <v>231</v>
      </c>
      <c r="I21" s="65" t="s">
        <v>271</v>
      </c>
      <c r="J21" s="65" t="s">
        <v>271</v>
      </c>
      <c r="K21" s="65" t="s">
        <v>274</v>
      </c>
      <c r="L21" s="65" t="s">
        <v>274</v>
      </c>
      <c r="M21" s="65" t="s">
        <v>274</v>
      </c>
      <c r="N21" s="112" t="s">
        <v>230</v>
      </c>
      <c r="O21" s="113" t="s">
        <v>230</v>
      </c>
      <c r="P21" s="65" t="s">
        <v>272</v>
      </c>
      <c r="Q21" s="65" t="s">
        <v>271</v>
      </c>
      <c r="R21" s="65" t="s">
        <v>271</v>
      </c>
      <c r="S21" s="65" t="s">
        <v>274</v>
      </c>
      <c r="T21" s="65" t="s">
        <v>274</v>
      </c>
      <c r="U21" s="65" t="s">
        <v>274</v>
      </c>
      <c r="V21" s="112" t="s">
        <v>230</v>
      </c>
      <c r="W21" s="113" t="s">
        <v>230</v>
      </c>
      <c r="X21" s="65" t="s">
        <v>272</v>
      </c>
      <c r="Y21" s="65" t="s">
        <v>273</v>
      </c>
      <c r="Z21" s="65" t="s">
        <v>271</v>
      </c>
      <c r="AA21" s="65" t="s">
        <v>274</v>
      </c>
      <c r="AB21" s="65" t="s">
        <v>274</v>
      </c>
      <c r="AC21" s="65" t="s">
        <v>274</v>
      </c>
      <c r="AD21" s="112" t="s">
        <v>230</v>
      </c>
      <c r="AE21" s="113" t="s">
        <v>230</v>
      </c>
      <c r="AF21" s="65" t="s">
        <v>272</v>
      </c>
      <c r="AG21" s="65" t="s">
        <v>271</v>
      </c>
      <c r="AH21" s="65" t="s">
        <v>271</v>
      </c>
      <c r="AI21" s="65" t="s">
        <v>274</v>
      </c>
      <c r="AJ21" s="66"/>
      <c r="AL21" s="51"/>
      <c r="AM21" s="51"/>
      <c r="AN21" s="51"/>
      <c r="AO21" s="51"/>
      <c r="AP21" s="51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9" t="s">
        <v>91</v>
      </c>
      <c r="D23" s="180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9" t="s">
        <v>92</v>
      </c>
      <c r="D24" s="180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9" t="s">
        <v>72</v>
      </c>
      <c r="D25" s="180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9" t="s">
        <v>73</v>
      </c>
      <c r="D26" s="180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9" t="s">
        <v>106</v>
      </c>
      <c r="D27" s="180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0" t="s">
        <v>104</v>
      </c>
      <c r="D28" s="251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</row>
    <row r="30" spans="2:42" ht="18.75" x14ac:dyDescent="0.3">
      <c r="C30" s="179" t="s">
        <v>102</v>
      </c>
      <c r="D30" s="180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9" t="s">
        <v>90</v>
      </c>
      <c r="D31" s="180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9" t="s">
        <v>103</v>
      </c>
      <c r="D32" s="180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30:D30"/>
    <mergeCell ref="C31:D31"/>
    <mergeCell ref="C32:D32"/>
    <mergeCell ref="C24:D24"/>
    <mergeCell ref="C25:D25"/>
    <mergeCell ref="C26:D26"/>
    <mergeCell ref="C27:D27"/>
    <mergeCell ref="C28:D28"/>
    <mergeCell ref="F29:AJ29"/>
    <mergeCell ref="C16:D16"/>
    <mergeCell ref="C17:D17"/>
    <mergeCell ref="C18:D18"/>
    <mergeCell ref="C23:D23"/>
    <mergeCell ref="C19:D19"/>
    <mergeCell ref="C20:D20"/>
    <mergeCell ref="C21:D21"/>
    <mergeCell ref="B3:D4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I21">
    <cfRule type="containsText" dxfId="102" priority="2" operator="containsText" text="STN">
      <formula>NOT(ISERROR(SEARCH("STN",F5)))</formula>
    </cfRule>
    <cfRule type="containsText" dxfId="101" priority="3" operator="containsText" text="STN">
      <formula>NOT(ISERROR(SEARCH("STN",F5)))</formula>
    </cfRule>
    <cfRule type="containsText" dxfId="100" priority="4" operator="containsText" text="STM">
      <formula>NOT(ISERROR(SEARCH("STM",F5)))</formula>
    </cfRule>
    <cfRule type="containsText" dxfId="99" priority="5" operator="containsText" text="M">
      <formula>NOT(ISERROR(SEARCH("M",F5)))</formula>
    </cfRule>
    <cfRule type="containsText" dxfId="98" priority="6" operator="containsText" text="STM1">
      <formula>NOT(ISERROR(SEARCH("STM1",F5)))</formula>
    </cfRule>
    <cfRule type="containsText" dxfId="97" priority="7" operator="containsText" text="M">
      <formula>NOT(ISERROR(SEARCH("M",F5)))</formula>
    </cfRule>
    <cfRule type="containsText" dxfId="96" priority="8" operator="containsText" text="STM">
      <formula>NOT(ISERROR(SEARCH("STM",F5)))</formula>
    </cfRule>
    <cfRule type="containsText" dxfId="95" priority="9" operator="containsText" text="STM">
      <formula>NOT(ISERROR(SEARCH("STM",F5)))</formula>
    </cfRule>
  </conditionalFormatting>
  <conditionalFormatting sqref="F5:AJ21">
    <cfRule type="containsText" dxfId="94" priority="1" operator="containsText" text="AN13">
      <formula>NOT(ISERROR(SEARCH("AN13",F5)))</formula>
    </cfRule>
  </conditionalFormatting>
  <conditionalFormatting sqref="G5:AI5 F6:AI21">
    <cfRule type="containsText" dxfId="93" priority="10" operator="containsText" text="STM1">
      <formula>NOT(ISERROR(SEARCH("STM1",F5)))</formula>
    </cfRule>
    <cfRule type="containsText" dxfId="92" priority="11" operator="containsText" text="STA">
      <formula>NOT(ISERROR(SEARCH("STA",F5)))</formula>
    </cfRule>
    <cfRule type="containsText" dxfId="91" priority="12" operator="containsText" text="STM1">
      <formula>NOT(ISERROR(SEARCH("STM1",F5)))</formula>
    </cfRule>
    <cfRule type="containsText" dxfId="90" priority="13" operator="containsText" text="O">
      <formula>NOT(ISERROR(SEARCH("O",F5)))</formula>
    </cfRule>
    <cfRule type="containsText" dxfId="89" priority="14" operator="containsText" text="N">
      <formula>NOT(ISERROR(SEARCH("N",F5)))</formula>
    </cfRule>
    <cfRule type="containsText" dxfId="88" priority="15" operator="containsText" text="A">
      <formula>NOT(ISERROR(SEARCH("A",F5)))</formula>
    </cfRule>
    <cfRule type="containsText" dxfId="87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8" t="s">
        <v>117</v>
      </c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K2" s="144" t="s">
        <v>112</v>
      </c>
      <c r="AL2" s="144" t="s">
        <v>113</v>
      </c>
      <c r="AM2" s="144" t="s">
        <v>116</v>
      </c>
      <c r="AN2" s="144" t="s">
        <v>114</v>
      </c>
      <c r="AO2" s="144" t="s">
        <v>115</v>
      </c>
    </row>
    <row r="3" spans="2:41" ht="39" x14ac:dyDescent="0.3">
      <c r="B3" s="259" t="s">
        <v>105</v>
      </c>
      <c r="C3" s="260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5"/>
      <c r="AL3" s="145"/>
      <c r="AM3" s="145"/>
      <c r="AN3" s="145"/>
      <c r="AO3" s="145"/>
    </row>
    <row r="4" spans="2:41" ht="19.5" thickBot="1" x14ac:dyDescent="0.35">
      <c r="B4" s="261"/>
      <c r="C4" s="262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6"/>
      <c r="AL4" s="146"/>
      <c r="AM4" s="146"/>
      <c r="AN4" s="146"/>
      <c r="AO4" s="146"/>
    </row>
    <row r="5" spans="2:41" ht="18.75" x14ac:dyDescent="0.25">
      <c r="B5" s="257" t="s">
        <v>79</v>
      </c>
      <c r="C5" s="257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7" t="s">
        <v>80</v>
      </c>
      <c r="C6" s="257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7" t="s">
        <v>81</v>
      </c>
      <c r="C7" s="257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7" t="s">
        <v>82</v>
      </c>
      <c r="C8" s="257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7" t="s">
        <v>83</v>
      </c>
      <c r="C9" s="257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7" t="s">
        <v>84</v>
      </c>
      <c r="C10" s="257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7" t="s">
        <v>85</v>
      </c>
      <c r="C11" s="257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7" t="s">
        <v>86</v>
      </c>
      <c r="C12" s="257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7" t="s">
        <v>87</v>
      </c>
      <c r="C13" s="257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7" t="s">
        <v>88</v>
      </c>
      <c r="C14" s="257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7" t="s">
        <v>89</v>
      </c>
      <c r="C15" s="257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3" t="s">
        <v>91</v>
      </c>
      <c r="C17" s="183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3" t="s">
        <v>92</v>
      </c>
      <c r="C18" s="183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3" t="s">
        <v>72</v>
      </c>
      <c r="C19" s="183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3" t="s">
        <v>73</v>
      </c>
      <c r="C20" s="183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9" t="s">
        <v>106</v>
      </c>
      <c r="C21" s="180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1" t="s">
        <v>104</v>
      </c>
      <c r="C22" s="181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</row>
    <row r="24" spans="2:35" ht="18.75" x14ac:dyDescent="0.3">
      <c r="B24" s="183" t="s">
        <v>102</v>
      </c>
      <c r="C24" s="183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3" t="s">
        <v>90</v>
      </c>
      <c r="C25" s="183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3" t="s">
        <v>103</v>
      </c>
      <c r="C26" s="183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86" priority="23" operator="containsText" text="STN">
      <formula>NOT(ISERROR(SEARCH("STN",E5)))</formula>
    </cfRule>
    <cfRule type="containsText" dxfId="85" priority="24" operator="containsText" text="STN">
      <formula>NOT(ISERROR(SEARCH("STN",E5)))</formula>
    </cfRule>
    <cfRule type="containsText" dxfId="84" priority="25" operator="containsText" text="STM">
      <formula>NOT(ISERROR(SEARCH("STM",E5)))</formula>
    </cfRule>
    <cfRule type="containsText" dxfId="83" priority="26" operator="containsText" text="M">
      <formula>NOT(ISERROR(SEARCH("M",E5)))</formula>
    </cfRule>
    <cfRule type="containsText" dxfId="82" priority="27" operator="containsText" text="STM1">
      <formula>NOT(ISERROR(SEARCH("STM1",E5)))</formula>
    </cfRule>
    <cfRule type="containsText" dxfId="81" priority="28" operator="containsText" text="M">
      <formula>NOT(ISERROR(SEARCH("M",E5)))</formula>
    </cfRule>
    <cfRule type="containsText" dxfId="80" priority="29" operator="containsText" text="STM">
      <formula>NOT(ISERROR(SEARCH("STM",E5)))</formula>
    </cfRule>
    <cfRule type="containsText" dxfId="79" priority="30" operator="containsText" text="STM">
      <formula>NOT(ISERROR(SEARCH("STM",E5)))</formula>
    </cfRule>
  </conditionalFormatting>
  <conditionalFormatting sqref="E5:AH15">
    <cfRule type="containsText" dxfId="78" priority="19" operator="containsText" text="A">
      <formula>NOT(ISERROR(SEARCH("A",E5)))</formula>
    </cfRule>
    <cfRule type="containsText" dxfId="77" priority="5" operator="containsText" text="STM1">
      <formula>NOT(ISERROR(SEARCH("STM1",E5)))</formula>
    </cfRule>
  </conditionalFormatting>
  <conditionalFormatting sqref="E11:AH15">
    <cfRule type="containsText" dxfId="76" priority="16" operator="containsText" text="STM1">
      <formula>NOT(ISERROR(SEARCH("STM1",E11)))</formula>
    </cfRule>
    <cfRule type="containsText" dxfId="75" priority="17" operator="containsText" text="O">
      <formula>NOT(ISERROR(SEARCH("O",E11)))</formula>
    </cfRule>
    <cfRule type="containsText" dxfId="74" priority="18" operator="containsText" text="N">
      <formula>NOT(ISERROR(SEARCH("N",E11)))</formula>
    </cfRule>
    <cfRule type="containsText" dxfId="73" priority="6" operator="containsText" text="STN">
      <formula>NOT(ISERROR(SEARCH("STN",E11)))</formula>
    </cfRule>
    <cfRule type="containsText" dxfId="72" priority="7" operator="containsText" text="STN">
      <formula>NOT(ISERROR(SEARCH("STN",E11)))</formula>
    </cfRule>
    <cfRule type="containsText" dxfId="71" priority="8" operator="containsText" text="STM">
      <formula>NOT(ISERROR(SEARCH("STM",E11)))</formula>
    </cfRule>
    <cfRule type="containsText" dxfId="70" priority="9" operator="containsText" text="M">
      <formula>NOT(ISERROR(SEARCH("M",E11)))</formula>
    </cfRule>
    <cfRule type="containsText" dxfId="69" priority="10" operator="containsText" text="STM1">
      <formula>NOT(ISERROR(SEARCH("STM1",E11)))</formula>
    </cfRule>
    <cfRule type="containsText" dxfId="68" priority="11" operator="containsText" text="M">
      <formula>NOT(ISERROR(SEARCH("M",E11)))</formula>
    </cfRule>
    <cfRule type="containsText" dxfId="67" priority="12" operator="containsText" text="STM">
      <formula>NOT(ISERROR(SEARCH("STM",E11)))</formula>
    </cfRule>
    <cfRule type="containsText" dxfId="66" priority="13" operator="containsText" text="STM">
      <formula>NOT(ISERROR(SEARCH("STM",E11)))</formula>
    </cfRule>
    <cfRule type="containsText" dxfId="65" priority="14" operator="containsText" text="STM1">
      <formula>NOT(ISERROR(SEARCH("STM1",E11)))</formula>
    </cfRule>
    <cfRule type="containsText" dxfId="64" priority="15" operator="containsText" text="STA">
      <formula>NOT(ISERROR(SEARCH("STA",E11)))</formula>
    </cfRule>
    <cfRule type="containsText" dxfId="63" priority="20" operator="containsText" text="M">
      <formula>NOT(ISERROR(SEARCH("M",E11)))</formula>
    </cfRule>
  </conditionalFormatting>
  <conditionalFormatting sqref="E5:AI15">
    <cfRule type="containsText" dxfId="62" priority="3" operator="containsText" text="STM1">
      <formula>NOT(ISERROR(SEARCH("STM1",E5)))</formula>
    </cfRule>
    <cfRule type="containsText" dxfId="61" priority="4" operator="containsText" text="STM1">
      <formula>NOT(ISERROR(SEARCH("STM1",E5)))</formula>
    </cfRule>
    <cfRule type="containsText" dxfId="60" priority="1" operator="containsText" text="STN">
      <formula>NOT(ISERROR(SEARCH("STN",E5)))</formula>
    </cfRule>
    <cfRule type="containsText" dxfId="59" priority="2" operator="containsText" text="STA">
      <formula>NOT(ISERROR(SEARCH("STA",E5)))</formula>
    </cfRule>
  </conditionalFormatting>
  <conditionalFormatting sqref="F5:AH5 E6:AH10">
    <cfRule type="containsText" dxfId="58" priority="31" operator="containsText" text="STM1">
      <formula>NOT(ISERROR(SEARCH("STM1",E5)))</formula>
    </cfRule>
    <cfRule type="containsText" dxfId="57" priority="32" operator="containsText" text="STA">
      <formula>NOT(ISERROR(SEARCH("STA",E5)))</formula>
    </cfRule>
    <cfRule type="containsText" dxfId="56" priority="33" operator="containsText" text="STM1">
      <formula>NOT(ISERROR(SEARCH("STM1",E5)))</formula>
    </cfRule>
    <cfRule type="containsText" dxfId="55" priority="34" operator="containsText" text="O">
      <formula>NOT(ISERROR(SEARCH("O",E5)))</formula>
    </cfRule>
    <cfRule type="containsText" dxfId="54" priority="35" operator="containsText" text="N">
      <formula>NOT(ISERROR(SEARCH("N",E5)))</formula>
    </cfRule>
    <cfRule type="containsText" dxfId="53" priority="36" operator="containsText" text="A">
      <formula>NOT(ISERROR(SEARCH("A",E5)))</formula>
    </cfRule>
    <cfRule type="containsText" dxfId="52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Export Checker</vt:lpstr>
      <vt:lpstr>Sheet2</vt:lpstr>
      <vt:lpstr>Load Control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2025-11-30T06:05:15Z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