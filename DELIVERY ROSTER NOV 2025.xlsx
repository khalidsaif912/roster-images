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90347\OneDrive - Oman Air\Desktop\New Rosters\"/>
    </mc:Choice>
  </mc:AlternateContent>
  <xr:revisionPtr revIDLastSave="27" documentId="14_{E8887920-6C7E-42E6-9110-8D0A6CBD0689}" xr6:coauthVersionLast="36" xr6:coauthVersionMax="36" xr10:uidLastSave="{7EDC9303-EF90-43B6-A0E9-B67912B30625}"/>
  <bookViews>
    <workbookView xWindow="0" yWindow="0" windowWidth="24720" windowHeight="12225" firstSheet="4" activeTab="10" xr2:uid="{9736B67C-D61B-41E1-B07B-429B3D8AE9CC}"/>
  </bookViews>
  <sheets>
    <sheet name="Import Checkers (2)" sheetId="21" r:id="rId1"/>
    <sheet name="Export Checkers" sheetId="6" r:id="rId2"/>
    <sheet name="Export Operators" sheetId="9" r:id="rId3"/>
    <sheet name="Import Operator" sheetId="14" r:id="rId4"/>
    <sheet name="Flight Attending" sheetId="19" r:id="rId5"/>
    <sheet name="Relocation Staffs" sheetId="20" r:id="rId6"/>
    <sheet name="Acceptance" sheetId="13" r:id="rId7"/>
    <sheet name="Documentation FNL " sheetId="8" r:id="rId8"/>
    <sheet name="Import Checkers" sheetId="11" r:id="rId9"/>
    <sheet name="Load Control" sheetId="10" r:id="rId10"/>
    <sheet name="Delivery" sheetId="17" r:id="rId11"/>
    <sheet name="Delivery Operators" sheetId="18" r:id="rId12"/>
  </sheets>
  <definedNames>
    <definedName name="setting_MonthList" localSheetId="0">#REF!</definedName>
    <definedName name="setting_MonthList">#REF!</definedName>
    <definedName name="Settings_Holidays" localSheetId="0">OFFSET(#REF!,1,0,COUNTA(#REF!)-1,1)</definedName>
    <definedName name="Settings_Holidays">OFFSET(#REF!,1,0,COUNTA(#REF!)-1,1)</definedName>
    <definedName name="Settings_ShiftLegends" localSheetId="0">OFFSET(#REF!,1,0,COUNTA(#REF!)-1,1)</definedName>
    <definedName name="Settings_ShiftLegends">OFFSET(#REF!,1,0,COUNTA(#REF!)-1,1)</definedName>
    <definedName name="Settings_Weekend" localSheetId="0">OFFSET(#REF!,1,0,COUNTA(#REF!)-1,1)</definedName>
    <definedName name="Settings_Weekend">OFFSET(#REF!,1,0,COUNTA(#REF!)-1,1)</definedName>
    <definedName name="Settings_YearList" localSheetId="0">OFFSET(#REF!,1,0,COUNTA(#REF!)-1,1)</definedName>
    <definedName name="Settings_YearList">OFFSET(#REF!,1,0,COUNTA(#REF!)-1,1)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8" i="21" l="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AH25" i="21"/>
  <c r="AG25" i="21"/>
  <c r="AF25" i="21"/>
  <c r="AE25" i="21"/>
  <c r="AD25" i="21"/>
  <c r="AC25" i="21"/>
  <c r="AB25" i="21"/>
  <c r="AA25" i="21"/>
  <c r="Z25" i="21"/>
  <c r="Y25" i="21"/>
  <c r="X25" i="21"/>
  <c r="X33" i="21" s="1"/>
  <c r="W25" i="21"/>
  <c r="W33" i="21" s="1"/>
  <c r="V25" i="21"/>
  <c r="V33" i="21" s="1"/>
  <c r="U25" i="21"/>
  <c r="U33" i="21" s="1"/>
  <c r="T25" i="21"/>
  <c r="T33" i="21" s="1"/>
  <c r="S25" i="21"/>
  <c r="S33" i="21" s="1"/>
  <c r="R25" i="21"/>
  <c r="R33" i="21" s="1"/>
  <c r="Q25" i="21"/>
  <c r="Q33" i="21" s="1"/>
  <c r="P25" i="21"/>
  <c r="P33" i="21" s="1"/>
  <c r="O25" i="21"/>
  <c r="O33" i="21" s="1"/>
  <c r="N25" i="21"/>
  <c r="M25" i="21"/>
  <c r="L25" i="21"/>
  <c r="K25" i="21"/>
  <c r="J25" i="21"/>
  <c r="I25" i="21"/>
  <c r="H25" i="21"/>
  <c r="G25" i="21"/>
  <c r="F25" i="21"/>
  <c r="E25" i="21"/>
  <c r="AH24" i="21"/>
  <c r="AH33" i="21" s="1"/>
  <c r="AG24" i="21"/>
  <c r="AG31" i="21" s="1"/>
  <c r="AG29" i="21" s="1"/>
  <c r="AF24" i="21"/>
  <c r="AF31" i="21" s="1"/>
  <c r="AF29" i="21" s="1"/>
  <c r="AE24" i="21"/>
  <c r="AE33" i="21" s="1"/>
  <c r="AD24" i="21"/>
  <c r="AD33" i="21" s="1"/>
  <c r="AC24" i="21"/>
  <c r="AC33" i="21" s="1"/>
  <c r="AB24" i="21"/>
  <c r="AB31" i="21" s="1"/>
  <c r="AB29" i="21" s="1"/>
  <c r="AA24" i="21"/>
  <c r="AA33" i="21" s="1"/>
  <c r="Z24" i="21"/>
  <c r="Z31" i="21" s="1"/>
  <c r="Z29" i="21" s="1"/>
  <c r="Y24" i="21"/>
  <c r="Y33" i="21" s="1"/>
  <c r="X24" i="21"/>
  <c r="X31" i="21" s="1"/>
  <c r="X29" i="21" s="1"/>
  <c r="W24" i="21"/>
  <c r="W31" i="21" s="1"/>
  <c r="W29" i="21" s="1"/>
  <c r="V24" i="21"/>
  <c r="V31" i="21" s="1"/>
  <c r="V29" i="21" s="1"/>
  <c r="U24" i="21"/>
  <c r="U31" i="21" s="1"/>
  <c r="U29" i="21" s="1"/>
  <c r="T24" i="21"/>
  <c r="T31" i="21" s="1"/>
  <c r="T29" i="21" s="1"/>
  <c r="S24" i="21"/>
  <c r="S31" i="21" s="1"/>
  <c r="S29" i="21" s="1"/>
  <c r="R24" i="21"/>
  <c r="R31" i="21" s="1"/>
  <c r="R29" i="21" s="1"/>
  <c r="Q24" i="21"/>
  <c r="Q31" i="21" s="1"/>
  <c r="Q29" i="21" s="1"/>
  <c r="P24" i="21"/>
  <c r="P31" i="21" s="1"/>
  <c r="P29" i="21" s="1"/>
  <c r="O24" i="21"/>
  <c r="O31" i="21" s="1"/>
  <c r="O29" i="21" s="1"/>
  <c r="N24" i="21"/>
  <c r="N33" i="21" s="1"/>
  <c r="M24" i="21"/>
  <c r="M33" i="21" s="1"/>
  <c r="L24" i="21"/>
  <c r="L33" i="21" s="1"/>
  <c r="K24" i="21"/>
  <c r="K33" i="21" s="1"/>
  <c r="J24" i="21"/>
  <c r="J33" i="21" s="1"/>
  <c r="I24" i="21"/>
  <c r="I33" i="21" s="1"/>
  <c r="H24" i="21"/>
  <c r="H33" i="21" s="1"/>
  <c r="G24" i="21"/>
  <c r="G33" i="21" s="1"/>
  <c r="F24" i="21"/>
  <c r="F33" i="21" s="1"/>
  <c r="E24" i="21"/>
  <c r="E33" i="21" s="1"/>
  <c r="AO22" i="21"/>
  <c r="AN22" i="21"/>
  <c r="AM22" i="21"/>
  <c r="AL22" i="21"/>
  <c r="AK22" i="21"/>
  <c r="AO19" i="21"/>
  <c r="AN19" i="21"/>
  <c r="AM19" i="21"/>
  <c r="AL19" i="21"/>
  <c r="AK19" i="21"/>
  <c r="AO18" i="21"/>
  <c r="AN18" i="21"/>
  <c r="AM18" i="21"/>
  <c r="AL18" i="21"/>
  <c r="AK18" i="21"/>
  <c r="AO17" i="21"/>
  <c r="AN17" i="21"/>
  <c r="AM17" i="21"/>
  <c r="AL17" i="21"/>
  <c r="AK17" i="21"/>
  <c r="AO16" i="21"/>
  <c r="AN16" i="21"/>
  <c r="AM16" i="21"/>
  <c r="AL16" i="21"/>
  <c r="AK16" i="21"/>
  <c r="AO15" i="21"/>
  <c r="AN15" i="21"/>
  <c r="AM15" i="21"/>
  <c r="AL15" i="21"/>
  <c r="AK15" i="21"/>
  <c r="AO14" i="21"/>
  <c r="AN14" i="21"/>
  <c r="AM14" i="21"/>
  <c r="AL14" i="21"/>
  <c r="AK14" i="21"/>
  <c r="AO13" i="21"/>
  <c r="AN13" i="21"/>
  <c r="AM13" i="21"/>
  <c r="AL13" i="21"/>
  <c r="AK13" i="21"/>
  <c r="AO12" i="21"/>
  <c r="AN12" i="21"/>
  <c r="AM12" i="21"/>
  <c r="AL12" i="21"/>
  <c r="AK12" i="21"/>
  <c r="AO11" i="21"/>
  <c r="AN11" i="21"/>
  <c r="AM11" i="21"/>
  <c r="AL11" i="21"/>
  <c r="AK11" i="21"/>
  <c r="AO10" i="21"/>
  <c r="AN10" i="21"/>
  <c r="AM10" i="21"/>
  <c r="AL10" i="21"/>
  <c r="AK10" i="21"/>
  <c r="AO9" i="21"/>
  <c r="AN9" i="21"/>
  <c r="AM9" i="21"/>
  <c r="AL9" i="21"/>
  <c r="AK9" i="21"/>
  <c r="AO8" i="21"/>
  <c r="AN8" i="21"/>
  <c r="AM8" i="21"/>
  <c r="AL8" i="21"/>
  <c r="AK8" i="21"/>
  <c r="AO7" i="21"/>
  <c r="AN7" i="21"/>
  <c r="AM7" i="21"/>
  <c r="AL7" i="21"/>
  <c r="AK7" i="21"/>
  <c r="AO6" i="21"/>
  <c r="AN6" i="21"/>
  <c r="AM6" i="21"/>
  <c r="AL6" i="21"/>
  <c r="AK6" i="21"/>
  <c r="AO5" i="21"/>
  <c r="AN5" i="21"/>
  <c r="AM5" i="21"/>
  <c r="AL5" i="21"/>
  <c r="AK5" i="21"/>
  <c r="E31" i="21" l="1"/>
  <c r="E29" i="21" s="1"/>
  <c r="F31" i="21"/>
  <c r="F29" i="21" s="1"/>
  <c r="G31" i="21"/>
  <c r="G29" i="21" s="1"/>
  <c r="H31" i="21"/>
  <c r="H29" i="21" s="1"/>
  <c r="I31" i="21"/>
  <c r="I29" i="21" s="1"/>
  <c r="AD31" i="21"/>
  <c r="AD29" i="21" s="1"/>
  <c r="K31" i="21"/>
  <c r="K29" i="21" s="1"/>
  <c r="L31" i="21"/>
  <c r="L29" i="21" s="1"/>
  <c r="M31" i="21"/>
  <c r="M29" i="21" s="1"/>
  <c r="AH31" i="21"/>
  <c r="AH29" i="21" s="1"/>
  <c r="Z33" i="21"/>
  <c r="AB33" i="21"/>
  <c r="AF33" i="21"/>
  <c r="AG33" i="21"/>
  <c r="Y31" i="21"/>
  <c r="Y29" i="21" s="1"/>
  <c r="AA31" i="21"/>
  <c r="AA29" i="21" s="1"/>
  <c r="AC31" i="21"/>
  <c r="AC29" i="21" s="1"/>
  <c r="J31" i="21"/>
  <c r="J29" i="21" s="1"/>
  <c r="AE31" i="21"/>
  <c r="AE29" i="21" s="1"/>
  <c r="N31" i="21"/>
  <c r="N29" i="21" s="1"/>
  <c r="Z29" i="18"/>
  <c r="AE33" i="18"/>
  <c r="AB33" i="18"/>
  <c r="AA33" i="18"/>
  <c r="Z33" i="18"/>
  <c r="Y33" i="18"/>
  <c r="W33" i="18"/>
  <c r="V33" i="18"/>
  <c r="T33" i="18"/>
  <c r="S33" i="18"/>
  <c r="R33" i="18"/>
  <c r="Q33" i="18"/>
  <c r="O33" i="18"/>
  <c r="N33" i="18"/>
  <c r="M33" i="18"/>
  <c r="K33" i="18"/>
  <c r="J33" i="18"/>
  <c r="I33" i="18"/>
  <c r="G33" i="18"/>
  <c r="E33" i="18"/>
  <c r="AA32" i="18"/>
  <c r="Q32" i="18"/>
  <c r="P32" i="18"/>
  <c r="J32" i="18"/>
  <c r="I32" i="18"/>
  <c r="AG31" i="18"/>
  <c r="V31" i="18"/>
  <c r="Q31" i="18"/>
  <c r="P31" i="18"/>
  <c r="O31" i="18"/>
  <c r="I31" i="18"/>
  <c r="G31" i="18"/>
  <c r="E31" i="18"/>
  <c r="E36" i="18" s="1"/>
  <c r="Z30" i="18"/>
  <c r="F36" i="18" l="1"/>
  <c r="G36" i="18"/>
  <c r="X36" i="18"/>
  <c r="AB36" i="18"/>
  <c r="AC36" i="18"/>
  <c r="L36" i="18"/>
  <c r="M36" i="18"/>
  <c r="N36" i="18"/>
  <c r="AF36" i="18"/>
  <c r="AG36" i="18"/>
  <c r="AH36" i="18"/>
  <c r="O36" i="18"/>
  <c r="U36" i="18"/>
  <c r="Z36" i="18"/>
  <c r="H36" i="18"/>
  <c r="AD36" i="18"/>
  <c r="P36" i="18"/>
  <c r="Q36" i="18"/>
  <c r="R36" i="18"/>
  <c r="S36" i="18"/>
  <c r="T36" i="18"/>
  <c r="Y36" i="18"/>
  <c r="AA36" i="18"/>
  <c r="AE36" i="18"/>
  <c r="V36" i="18"/>
  <c r="W36" i="18"/>
  <c r="I36" i="18"/>
  <c r="J36" i="18"/>
  <c r="K36" i="18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AH11" i="20"/>
  <c r="AG11" i="20"/>
  <c r="AF11" i="20"/>
  <c r="AE11" i="20"/>
  <c r="AD11" i="20"/>
  <c r="AC11" i="20"/>
  <c r="AB11" i="20"/>
  <c r="AA11" i="20"/>
  <c r="AA17" i="20" s="1"/>
  <c r="AA15" i="20" s="1"/>
  <c r="Z11" i="20"/>
  <c r="Y11" i="20"/>
  <c r="X11" i="20"/>
  <c r="W11" i="20"/>
  <c r="V11" i="20"/>
  <c r="U11" i="20"/>
  <c r="T11" i="20"/>
  <c r="S11" i="20"/>
  <c r="S17" i="20" s="1"/>
  <c r="S15" i="20" s="1"/>
  <c r="R11" i="20"/>
  <c r="Q11" i="20"/>
  <c r="P11" i="20"/>
  <c r="O11" i="20"/>
  <c r="N11" i="20"/>
  <c r="M11" i="20"/>
  <c r="L11" i="20"/>
  <c r="K11" i="20"/>
  <c r="K17" i="20" s="1"/>
  <c r="K15" i="20" s="1"/>
  <c r="J11" i="20"/>
  <c r="I11" i="20"/>
  <c r="H11" i="20"/>
  <c r="G11" i="20"/>
  <c r="F11" i="20"/>
  <c r="E11" i="20"/>
  <c r="AH10" i="20"/>
  <c r="AH17" i="20" s="1"/>
  <c r="AH15" i="20" s="1"/>
  <c r="AG10" i="20"/>
  <c r="AG17" i="20" s="1"/>
  <c r="AG15" i="20" s="1"/>
  <c r="AF10" i="20"/>
  <c r="AF17" i="20" s="1"/>
  <c r="AF15" i="20" s="1"/>
  <c r="AE10" i="20"/>
  <c r="AE17" i="20" s="1"/>
  <c r="AE15" i="20" s="1"/>
  <c r="AD10" i="20"/>
  <c r="AD17" i="20" s="1"/>
  <c r="AD15" i="20" s="1"/>
  <c r="AC10" i="20"/>
  <c r="AC17" i="20" s="1"/>
  <c r="AC15" i="20" s="1"/>
  <c r="AB10" i="20"/>
  <c r="AB17" i="20" s="1"/>
  <c r="AB15" i="20" s="1"/>
  <c r="AA10" i="20"/>
  <c r="Z10" i="20"/>
  <c r="Z17" i="20" s="1"/>
  <c r="Z15" i="20" s="1"/>
  <c r="Y10" i="20"/>
  <c r="Y17" i="20" s="1"/>
  <c r="Y15" i="20" s="1"/>
  <c r="X10" i="20"/>
  <c r="X17" i="20" s="1"/>
  <c r="X15" i="20" s="1"/>
  <c r="W10" i="20"/>
  <c r="W17" i="20" s="1"/>
  <c r="W15" i="20" s="1"/>
  <c r="V10" i="20"/>
  <c r="V17" i="20" s="1"/>
  <c r="V15" i="20" s="1"/>
  <c r="U10" i="20"/>
  <c r="U17" i="20" s="1"/>
  <c r="U15" i="20" s="1"/>
  <c r="T10" i="20"/>
  <c r="T17" i="20" s="1"/>
  <c r="T15" i="20" s="1"/>
  <c r="S10" i="20"/>
  <c r="R10" i="20"/>
  <c r="R17" i="20" s="1"/>
  <c r="R15" i="20" s="1"/>
  <c r="Q10" i="20"/>
  <c r="Q17" i="20" s="1"/>
  <c r="Q15" i="20" s="1"/>
  <c r="P10" i="20"/>
  <c r="P17" i="20" s="1"/>
  <c r="P15" i="20" s="1"/>
  <c r="O10" i="20"/>
  <c r="O17" i="20" s="1"/>
  <c r="O15" i="20" s="1"/>
  <c r="N10" i="20"/>
  <c r="N17" i="20" s="1"/>
  <c r="N15" i="20" s="1"/>
  <c r="M10" i="20"/>
  <c r="M17" i="20" s="1"/>
  <c r="M15" i="20" s="1"/>
  <c r="L10" i="20"/>
  <c r="L17" i="20" s="1"/>
  <c r="L15" i="20" s="1"/>
  <c r="K10" i="20"/>
  <c r="J10" i="20"/>
  <c r="J17" i="20" s="1"/>
  <c r="J15" i="20" s="1"/>
  <c r="I10" i="20"/>
  <c r="I17" i="20" s="1"/>
  <c r="I15" i="20" s="1"/>
  <c r="H10" i="20"/>
  <c r="H17" i="20" s="1"/>
  <c r="H15" i="20" s="1"/>
  <c r="G10" i="20"/>
  <c r="G17" i="20" s="1"/>
  <c r="G15" i="20" s="1"/>
  <c r="F10" i="20"/>
  <c r="F17" i="20" s="1"/>
  <c r="F15" i="20" s="1"/>
  <c r="E10" i="20"/>
  <c r="E17" i="20" s="1"/>
  <c r="E15" i="20" s="1"/>
  <c r="AO8" i="20"/>
  <c r="AN8" i="20"/>
  <c r="AM8" i="20"/>
  <c r="AL8" i="20"/>
  <c r="AK8" i="20"/>
  <c r="AO7" i="20"/>
  <c r="AN7" i="20"/>
  <c r="AM7" i="20"/>
  <c r="AL7" i="20"/>
  <c r="AK7" i="20"/>
  <c r="AO6" i="20"/>
  <c r="AN6" i="20"/>
  <c r="AM6" i="20"/>
  <c r="AL6" i="20"/>
  <c r="AK6" i="20"/>
  <c r="AO5" i="20"/>
  <c r="AN5" i="20"/>
  <c r="AM5" i="20"/>
  <c r="AL5" i="20"/>
  <c r="AK5" i="20"/>
  <c r="AH25" i="19" l="1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AH24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AH21" i="19"/>
  <c r="AH28" i="19" s="1"/>
  <c r="AH26" i="19" s="1"/>
  <c r="AG21" i="19"/>
  <c r="AG28" i="19" s="1"/>
  <c r="AG26" i="19" s="1"/>
  <c r="AF21" i="19"/>
  <c r="AE21" i="19"/>
  <c r="AD21" i="19"/>
  <c r="AD28" i="19" s="1"/>
  <c r="AD26" i="19" s="1"/>
  <c r="AC21" i="19"/>
  <c r="AB21" i="19"/>
  <c r="AA21" i="19"/>
  <c r="AA28" i="19" s="1"/>
  <c r="AA26" i="19" s="1"/>
  <c r="Z21" i="19"/>
  <c r="Z28" i="19" s="1"/>
  <c r="Z26" i="19" s="1"/>
  <c r="Y21" i="19"/>
  <c r="Y28" i="19" s="1"/>
  <c r="Y26" i="19" s="1"/>
  <c r="X21" i="19"/>
  <c r="W21" i="19"/>
  <c r="V21" i="19"/>
  <c r="V28" i="19" s="1"/>
  <c r="V26" i="19" s="1"/>
  <c r="U21" i="19"/>
  <c r="T21" i="19"/>
  <c r="S21" i="19"/>
  <c r="S28" i="19" s="1"/>
  <c r="S26" i="19" s="1"/>
  <c r="R21" i="19"/>
  <c r="R28" i="19" s="1"/>
  <c r="R26" i="19" s="1"/>
  <c r="Q21" i="19"/>
  <c r="Q28" i="19" s="1"/>
  <c r="Q26" i="19" s="1"/>
  <c r="P21" i="19"/>
  <c r="O21" i="19"/>
  <c r="N21" i="19"/>
  <c r="N28" i="19" s="1"/>
  <c r="N26" i="19" s="1"/>
  <c r="M21" i="19"/>
  <c r="L21" i="19"/>
  <c r="K21" i="19"/>
  <c r="K28" i="19" s="1"/>
  <c r="K26" i="19" s="1"/>
  <c r="J21" i="19"/>
  <c r="J28" i="19" s="1"/>
  <c r="J26" i="19" s="1"/>
  <c r="I21" i="19"/>
  <c r="I28" i="19" s="1"/>
  <c r="I26" i="19" s="1"/>
  <c r="H21" i="19"/>
  <c r="G21" i="19"/>
  <c r="F21" i="19"/>
  <c r="F28" i="19" s="1"/>
  <c r="F26" i="19" s="1"/>
  <c r="E21" i="19"/>
  <c r="AO18" i="19"/>
  <c r="AN18" i="19"/>
  <c r="AM18" i="19"/>
  <c r="AL18" i="19"/>
  <c r="AK18" i="19"/>
  <c r="AO17" i="19"/>
  <c r="AN17" i="19"/>
  <c r="AM17" i="19"/>
  <c r="AL17" i="19"/>
  <c r="AK17" i="19"/>
  <c r="AO16" i="19"/>
  <c r="AN16" i="19"/>
  <c r="AM16" i="19"/>
  <c r="AL16" i="19"/>
  <c r="AK16" i="19"/>
  <c r="AO15" i="19"/>
  <c r="AN15" i="19"/>
  <c r="AM15" i="19"/>
  <c r="AL15" i="19"/>
  <c r="AK15" i="19"/>
  <c r="AO14" i="19"/>
  <c r="AN14" i="19"/>
  <c r="AM14" i="19"/>
  <c r="AL14" i="19"/>
  <c r="AK14" i="19"/>
  <c r="AO13" i="19"/>
  <c r="AN13" i="19"/>
  <c r="AM13" i="19"/>
  <c r="AL13" i="19"/>
  <c r="AK13" i="19"/>
  <c r="AO12" i="19"/>
  <c r="AN12" i="19"/>
  <c r="AM12" i="19"/>
  <c r="AL12" i="19"/>
  <c r="AK12" i="19"/>
  <c r="AO11" i="19"/>
  <c r="AN11" i="19"/>
  <c r="AM11" i="19"/>
  <c r="AL11" i="19"/>
  <c r="AK11" i="19"/>
  <c r="AO10" i="19"/>
  <c r="AN10" i="19"/>
  <c r="AM10" i="19"/>
  <c r="AL10" i="19"/>
  <c r="AK10" i="19"/>
  <c r="AO9" i="19"/>
  <c r="AN9" i="19"/>
  <c r="AM9" i="19"/>
  <c r="AL9" i="19"/>
  <c r="AK9" i="19"/>
  <c r="AO8" i="19"/>
  <c r="AN8" i="19"/>
  <c r="AM8" i="19"/>
  <c r="AL8" i="19"/>
  <c r="AK8" i="19"/>
  <c r="AO7" i="19"/>
  <c r="AN7" i="19"/>
  <c r="AM7" i="19"/>
  <c r="AL7" i="19"/>
  <c r="AK7" i="19"/>
  <c r="AO6" i="19"/>
  <c r="AN6" i="19"/>
  <c r="AM6" i="19"/>
  <c r="AL6" i="19"/>
  <c r="AK6" i="19"/>
  <c r="AO5" i="19"/>
  <c r="AN5" i="19"/>
  <c r="AM5" i="19"/>
  <c r="AL5" i="19"/>
  <c r="AK5" i="19"/>
  <c r="AO13" i="18"/>
  <c r="AN13" i="18"/>
  <c r="AM13" i="18"/>
  <c r="AL13" i="18"/>
  <c r="AK13" i="18"/>
  <c r="AO12" i="18"/>
  <c r="AN12" i="18"/>
  <c r="AM12" i="18"/>
  <c r="AL12" i="18"/>
  <c r="AK12" i="18"/>
  <c r="AO11" i="18"/>
  <c r="AN11" i="18"/>
  <c r="AM11" i="18"/>
  <c r="AL11" i="18"/>
  <c r="AK11" i="18"/>
  <c r="AO10" i="18"/>
  <c r="AN10" i="18"/>
  <c r="AM10" i="18"/>
  <c r="AL10" i="18"/>
  <c r="AK10" i="18"/>
  <c r="AO9" i="18"/>
  <c r="AN9" i="18"/>
  <c r="AM9" i="18"/>
  <c r="AL9" i="18"/>
  <c r="AK9" i="18"/>
  <c r="AO8" i="18"/>
  <c r="AN8" i="18"/>
  <c r="AM8" i="18"/>
  <c r="AL8" i="18"/>
  <c r="AK8" i="18"/>
  <c r="AO7" i="18"/>
  <c r="AN7" i="18"/>
  <c r="AM7" i="18"/>
  <c r="AL7" i="18"/>
  <c r="AK7" i="18"/>
  <c r="AO6" i="18"/>
  <c r="AN6" i="18"/>
  <c r="AM6" i="18"/>
  <c r="AL6" i="18"/>
  <c r="AK6" i="18"/>
  <c r="AO5" i="18"/>
  <c r="AN5" i="18"/>
  <c r="AM5" i="18"/>
  <c r="AL5" i="18"/>
  <c r="AK5" i="18"/>
  <c r="L28" i="19" l="1"/>
  <c r="L26" i="19" s="1"/>
  <c r="T28" i="19"/>
  <c r="T26" i="19" s="1"/>
  <c r="AB28" i="19"/>
  <c r="AB26" i="19" s="1"/>
  <c r="E28" i="19"/>
  <c r="E26" i="19" s="1"/>
  <c r="M28" i="19"/>
  <c r="M26" i="19" s="1"/>
  <c r="U28" i="19"/>
  <c r="U26" i="19" s="1"/>
  <c r="AC28" i="19"/>
  <c r="AC26" i="19" s="1"/>
  <c r="G28" i="19"/>
  <c r="G26" i="19" s="1"/>
  <c r="O28" i="19"/>
  <c r="O26" i="19" s="1"/>
  <c r="W28" i="19"/>
  <c r="W26" i="19" s="1"/>
  <c r="AE28" i="19"/>
  <c r="AE26" i="19" s="1"/>
  <c r="H28" i="19"/>
  <c r="H26" i="19" s="1"/>
  <c r="P28" i="19"/>
  <c r="P26" i="19" s="1"/>
  <c r="X28" i="19"/>
  <c r="X26" i="19" s="1"/>
  <c r="AF28" i="19"/>
  <c r="AF26" i="19" s="1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E21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G20" i="17"/>
  <c r="E20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G19" i="17"/>
  <c r="E19" i="17"/>
  <c r="AO17" i="17"/>
  <c r="AN17" i="17"/>
  <c r="AM17" i="17"/>
  <c r="AL17" i="17"/>
  <c r="AK17" i="17"/>
  <c r="AO13" i="17"/>
  <c r="AN13" i="17"/>
  <c r="AM13" i="17"/>
  <c r="AL13" i="17"/>
  <c r="AK13" i="17"/>
  <c r="AO12" i="17"/>
  <c r="AN12" i="17"/>
  <c r="AM12" i="17"/>
  <c r="AL12" i="17"/>
  <c r="AK12" i="17"/>
  <c r="AO11" i="17"/>
  <c r="AN11" i="17"/>
  <c r="AM11" i="17"/>
  <c r="AL11" i="17"/>
  <c r="AK11" i="17"/>
  <c r="AO10" i="17"/>
  <c r="AN10" i="17"/>
  <c r="AM10" i="17"/>
  <c r="AL10" i="17"/>
  <c r="AK10" i="17"/>
  <c r="AO9" i="17"/>
  <c r="AN9" i="17"/>
  <c r="AM9" i="17"/>
  <c r="AL9" i="17"/>
  <c r="AK9" i="17"/>
  <c r="AO8" i="17"/>
  <c r="AN8" i="17"/>
  <c r="AM8" i="17"/>
  <c r="AL8" i="17"/>
  <c r="AK8" i="17"/>
  <c r="AO7" i="17"/>
  <c r="AN7" i="17"/>
  <c r="AM7" i="17"/>
  <c r="AL7" i="17"/>
  <c r="AK7" i="17"/>
  <c r="AO6" i="17"/>
  <c r="AN6" i="17"/>
  <c r="AM6" i="17"/>
  <c r="AL6" i="17"/>
  <c r="AK6" i="17"/>
  <c r="AO5" i="17"/>
  <c r="AN5" i="17"/>
  <c r="AM5" i="17"/>
  <c r="AL5" i="17"/>
  <c r="AK5" i="17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AH22" i="14"/>
  <c r="AG22" i="14"/>
  <c r="AF22" i="14"/>
  <c r="AF29" i="14" s="1"/>
  <c r="AF27" i="14" s="1"/>
  <c r="AE22" i="14"/>
  <c r="AD22" i="14"/>
  <c r="AD29" i="14" s="1"/>
  <c r="AD27" i="14" s="1"/>
  <c r="AC22" i="14"/>
  <c r="AB22" i="14"/>
  <c r="AB29" i="14" s="1"/>
  <c r="AB27" i="14" s="1"/>
  <c r="AA22" i="14"/>
  <c r="Z22" i="14"/>
  <c r="Y22" i="14"/>
  <c r="X22" i="14"/>
  <c r="X29" i="14" s="1"/>
  <c r="X27" i="14" s="1"/>
  <c r="W22" i="14"/>
  <c r="V22" i="14"/>
  <c r="V29" i="14" s="1"/>
  <c r="V27" i="14" s="1"/>
  <c r="U22" i="14"/>
  <c r="T22" i="14"/>
  <c r="T29" i="14" s="1"/>
  <c r="T27" i="14" s="1"/>
  <c r="S22" i="14"/>
  <c r="R22" i="14"/>
  <c r="Q22" i="14"/>
  <c r="P22" i="14"/>
  <c r="P29" i="14" s="1"/>
  <c r="P27" i="14" s="1"/>
  <c r="O22" i="14"/>
  <c r="N22" i="14"/>
  <c r="N29" i="14" s="1"/>
  <c r="N27" i="14" s="1"/>
  <c r="M22" i="14"/>
  <c r="L22" i="14"/>
  <c r="L29" i="14" s="1"/>
  <c r="L27" i="14" s="1"/>
  <c r="K22" i="14"/>
  <c r="J22" i="14"/>
  <c r="I22" i="14"/>
  <c r="H22" i="14"/>
  <c r="H29" i="14" s="1"/>
  <c r="H27" i="14" s="1"/>
  <c r="G22" i="14"/>
  <c r="F22" i="14"/>
  <c r="F29" i="14" s="1"/>
  <c r="F27" i="14" s="1"/>
  <c r="E22" i="14"/>
  <c r="AO20" i="14"/>
  <c r="AN20" i="14"/>
  <c r="AM20" i="14"/>
  <c r="AL20" i="14"/>
  <c r="AK20" i="14"/>
  <c r="AO18" i="14"/>
  <c r="AN18" i="14"/>
  <c r="AM18" i="14"/>
  <c r="AL18" i="14"/>
  <c r="AK18" i="14"/>
  <c r="AO17" i="14"/>
  <c r="AN17" i="14"/>
  <c r="AM17" i="14"/>
  <c r="AL17" i="14"/>
  <c r="AK17" i="14"/>
  <c r="AO16" i="14"/>
  <c r="AN16" i="14"/>
  <c r="AM16" i="14"/>
  <c r="AL16" i="14"/>
  <c r="AK16" i="14"/>
  <c r="AO15" i="14"/>
  <c r="AN15" i="14"/>
  <c r="AM15" i="14"/>
  <c r="AL15" i="14"/>
  <c r="AK15" i="14"/>
  <c r="AO14" i="14"/>
  <c r="AN14" i="14"/>
  <c r="AM14" i="14"/>
  <c r="AL14" i="14"/>
  <c r="AK14" i="14"/>
  <c r="AO13" i="14"/>
  <c r="AN13" i="14"/>
  <c r="AM13" i="14"/>
  <c r="AL13" i="14"/>
  <c r="AK13" i="14"/>
  <c r="AO12" i="14"/>
  <c r="AN12" i="14"/>
  <c r="AM12" i="14"/>
  <c r="AL12" i="14"/>
  <c r="AK12" i="14"/>
  <c r="AO11" i="14"/>
  <c r="AN11" i="14"/>
  <c r="AM11" i="14"/>
  <c r="AL11" i="14"/>
  <c r="AK11" i="14"/>
  <c r="AO10" i="14"/>
  <c r="AN10" i="14"/>
  <c r="AM10" i="14"/>
  <c r="AL10" i="14"/>
  <c r="AK10" i="14"/>
  <c r="AO9" i="14"/>
  <c r="AN9" i="14"/>
  <c r="AM9" i="14"/>
  <c r="AL9" i="14"/>
  <c r="AK9" i="14"/>
  <c r="AO8" i="14"/>
  <c r="AN8" i="14"/>
  <c r="AM8" i="14"/>
  <c r="AL8" i="14"/>
  <c r="AK8" i="14"/>
  <c r="AO7" i="14"/>
  <c r="AN7" i="14"/>
  <c r="AM7" i="14"/>
  <c r="AL7" i="14"/>
  <c r="AK7" i="14"/>
  <c r="AO6" i="14"/>
  <c r="AN6" i="14"/>
  <c r="AM6" i="14"/>
  <c r="AL6" i="14"/>
  <c r="AK6" i="14"/>
  <c r="AO5" i="14"/>
  <c r="AN5" i="14"/>
  <c r="AM5" i="14"/>
  <c r="AL5" i="14"/>
  <c r="AK5" i="14"/>
  <c r="AK5" i="9"/>
  <c r="AL5" i="9"/>
  <c r="AM5" i="9"/>
  <c r="AN5" i="9"/>
  <c r="AO5" i="9"/>
  <c r="AK6" i="9"/>
  <c r="AL6" i="9"/>
  <c r="AM6" i="9"/>
  <c r="AN6" i="9"/>
  <c r="AO6" i="9"/>
  <c r="AK7" i="9"/>
  <c r="AL7" i="9"/>
  <c r="AM7" i="9"/>
  <c r="AN7" i="9"/>
  <c r="AO7" i="9"/>
  <c r="AK8" i="9"/>
  <c r="AL8" i="9"/>
  <c r="AM8" i="9"/>
  <c r="AN8" i="9"/>
  <c r="AO8" i="9"/>
  <c r="AK9" i="9"/>
  <c r="AL9" i="9"/>
  <c r="AM9" i="9"/>
  <c r="AN9" i="9"/>
  <c r="AO9" i="9"/>
  <c r="AK10" i="9"/>
  <c r="AL10" i="9"/>
  <c r="AM10" i="9"/>
  <c r="AN10" i="9"/>
  <c r="AO10" i="9"/>
  <c r="AK11" i="9"/>
  <c r="AL11" i="9"/>
  <c r="AM11" i="9"/>
  <c r="AN11" i="9"/>
  <c r="AO11" i="9"/>
  <c r="AK12" i="9"/>
  <c r="AL12" i="9"/>
  <c r="AM12" i="9"/>
  <c r="AN12" i="9"/>
  <c r="AO12" i="9"/>
  <c r="AK13" i="9"/>
  <c r="AL13" i="9"/>
  <c r="AM13" i="9"/>
  <c r="AN13" i="9"/>
  <c r="AO13" i="9"/>
  <c r="AK14" i="9"/>
  <c r="AL14" i="9"/>
  <c r="AM14" i="9"/>
  <c r="AN14" i="9"/>
  <c r="AO14" i="9"/>
  <c r="AK15" i="9"/>
  <c r="AL15" i="9"/>
  <c r="AM15" i="9"/>
  <c r="AN15" i="9"/>
  <c r="AO15" i="9"/>
  <c r="AK16" i="9"/>
  <c r="AL16" i="9"/>
  <c r="AM16" i="9"/>
  <c r="AN16" i="9"/>
  <c r="AO16" i="9"/>
  <c r="AK17" i="9"/>
  <c r="AL17" i="9"/>
  <c r="AM17" i="9"/>
  <c r="AN17" i="9"/>
  <c r="AO17" i="9"/>
  <c r="AK18" i="9"/>
  <c r="AL18" i="9"/>
  <c r="AM18" i="9"/>
  <c r="AN18" i="9"/>
  <c r="AO18" i="9"/>
  <c r="AK19" i="9"/>
  <c r="AL19" i="9"/>
  <c r="AM19" i="9"/>
  <c r="AN19" i="9"/>
  <c r="AO19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E22" i="9"/>
  <c r="F22" i="9"/>
  <c r="G22" i="9"/>
  <c r="H22" i="9"/>
  <c r="I22" i="9"/>
  <c r="J22" i="9"/>
  <c r="K22" i="9"/>
  <c r="L22" i="9"/>
  <c r="M22" i="9"/>
  <c r="N22" i="9"/>
  <c r="N28" i="9" s="1"/>
  <c r="N26" i="9" s="1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Z30" i="9" s="1"/>
  <c r="AA24" i="9"/>
  <c r="AB24" i="9"/>
  <c r="AC24" i="9"/>
  <c r="AD24" i="9"/>
  <c r="AE24" i="9"/>
  <c r="AF24" i="9"/>
  <c r="AG24" i="9"/>
  <c r="AH24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Z28" i="9"/>
  <c r="Z26" i="9" s="1"/>
  <c r="F24" i="13"/>
  <c r="G24" i="13"/>
  <c r="H24" i="13"/>
  <c r="I24" i="13"/>
  <c r="J24" i="13"/>
  <c r="K24" i="13"/>
  <c r="L24" i="13"/>
  <c r="M24" i="13"/>
  <c r="N24" i="13"/>
  <c r="O24" i="13"/>
  <c r="R24" i="13"/>
  <c r="S24" i="13"/>
  <c r="T24" i="13"/>
  <c r="U24" i="13"/>
  <c r="V24" i="13"/>
  <c r="AA24" i="13"/>
  <c r="AB24" i="13"/>
  <c r="AC24" i="13"/>
  <c r="AD24" i="13"/>
  <c r="AE24" i="13"/>
  <c r="AF24" i="13"/>
  <c r="AG24" i="13"/>
  <c r="AH24" i="13"/>
  <c r="E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Q24" i="13" s="1"/>
  <c r="P19" i="13"/>
  <c r="O19" i="13"/>
  <c r="N19" i="13"/>
  <c r="M19" i="13"/>
  <c r="L19" i="13"/>
  <c r="K19" i="13"/>
  <c r="J19" i="13"/>
  <c r="I19" i="13"/>
  <c r="H19" i="13"/>
  <c r="G19" i="13"/>
  <c r="F19" i="13"/>
  <c r="E19" i="13"/>
  <c r="AH18" i="13"/>
  <c r="AG18" i="13"/>
  <c r="AF18" i="13"/>
  <c r="AE18" i="13"/>
  <c r="AD18" i="13"/>
  <c r="AC18" i="13"/>
  <c r="AB18" i="13"/>
  <c r="AA18" i="13"/>
  <c r="Z18" i="13"/>
  <c r="Z24" i="13" s="1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J18" i="13"/>
  <c r="I18" i="13"/>
  <c r="H18" i="13"/>
  <c r="G18" i="13"/>
  <c r="F18" i="13"/>
  <c r="E18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E24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AH24" i="11"/>
  <c r="AG24" i="11"/>
  <c r="AF24" i="11"/>
  <c r="AE24" i="11"/>
  <c r="AE31" i="11" s="1"/>
  <c r="AE29" i="11" s="1"/>
  <c r="AD24" i="11"/>
  <c r="AC24" i="11"/>
  <c r="AB24" i="11"/>
  <c r="AA24" i="11"/>
  <c r="Z24" i="11"/>
  <c r="Y24" i="11"/>
  <c r="X24" i="11"/>
  <c r="W24" i="11"/>
  <c r="W31" i="11" s="1"/>
  <c r="W29" i="11" s="1"/>
  <c r="V24" i="11"/>
  <c r="U24" i="11"/>
  <c r="T24" i="11"/>
  <c r="T33" i="11" s="1"/>
  <c r="S24" i="11"/>
  <c r="R24" i="11"/>
  <c r="Q24" i="11"/>
  <c r="P24" i="11"/>
  <c r="O24" i="11"/>
  <c r="O31" i="11" s="1"/>
  <c r="O29" i="11" s="1"/>
  <c r="N24" i="11"/>
  <c r="M24" i="11"/>
  <c r="L24" i="11"/>
  <c r="K24" i="11"/>
  <c r="J24" i="11"/>
  <c r="I24" i="11"/>
  <c r="H24" i="11"/>
  <c r="H31" i="11" s="1"/>
  <c r="H29" i="11" s="1"/>
  <c r="G24" i="11"/>
  <c r="F24" i="11"/>
  <c r="AO22" i="11"/>
  <c r="AN22" i="11"/>
  <c r="AM22" i="11"/>
  <c r="AL22" i="11"/>
  <c r="AK22" i="11"/>
  <c r="AO19" i="11"/>
  <c r="AN19" i="11"/>
  <c r="AM19" i="11"/>
  <c r="AL19" i="11"/>
  <c r="AK19" i="11"/>
  <c r="AO18" i="11"/>
  <c r="AN18" i="11"/>
  <c r="AM18" i="11"/>
  <c r="AL18" i="11"/>
  <c r="AK18" i="11"/>
  <c r="AO17" i="11"/>
  <c r="AN17" i="11"/>
  <c r="AM17" i="11"/>
  <c r="AL17" i="11"/>
  <c r="AK17" i="11"/>
  <c r="AO16" i="11"/>
  <c r="AN16" i="11"/>
  <c r="AM16" i="11"/>
  <c r="AL16" i="11"/>
  <c r="AK16" i="11"/>
  <c r="AO15" i="11"/>
  <c r="AN15" i="11"/>
  <c r="AM15" i="11"/>
  <c r="AL15" i="11"/>
  <c r="AK15" i="11"/>
  <c r="AO14" i="11"/>
  <c r="AN14" i="11"/>
  <c r="AM14" i="11"/>
  <c r="AL14" i="11"/>
  <c r="AK14" i="11"/>
  <c r="AO13" i="11"/>
  <c r="AN13" i="11"/>
  <c r="AM13" i="11"/>
  <c r="AL13" i="11"/>
  <c r="AK13" i="11"/>
  <c r="AO12" i="11"/>
  <c r="AN12" i="11"/>
  <c r="AM12" i="11"/>
  <c r="AL12" i="11"/>
  <c r="AK12" i="11"/>
  <c r="AO11" i="11"/>
  <c r="AN11" i="11"/>
  <c r="AM11" i="11"/>
  <c r="AL11" i="11"/>
  <c r="AK11" i="11"/>
  <c r="AO10" i="11"/>
  <c r="AN10" i="11"/>
  <c r="AM10" i="11"/>
  <c r="AL10" i="11"/>
  <c r="AK10" i="11"/>
  <c r="AO9" i="11"/>
  <c r="AN9" i="11"/>
  <c r="AM9" i="11"/>
  <c r="AL9" i="11"/>
  <c r="AK9" i="11"/>
  <c r="AO8" i="11"/>
  <c r="AN8" i="11"/>
  <c r="AM8" i="11"/>
  <c r="AL8" i="11"/>
  <c r="AK8" i="11"/>
  <c r="AO7" i="11"/>
  <c r="AN7" i="11"/>
  <c r="AM7" i="11"/>
  <c r="AL7" i="11"/>
  <c r="AK7" i="11"/>
  <c r="AO6" i="11"/>
  <c r="AN6" i="11"/>
  <c r="AM6" i="11"/>
  <c r="AL6" i="11"/>
  <c r="AK6" i="11"/>
  <c r="AO5" i="11"/>
  <c r="AN5" i="11"/>
  <c r="AM5" i="11"/>
  <c r="AL5" i="11"/>
  <c r="AK5" i="11"/>
  <c r="AD26" i="17" l="1"/>
  <c r="AD24" i="17" s="1"/>
  <c r="F26" i="17"/>
  <c r="F24" i="17" s="1"/>
  <c r="G31" i="11"/>
  <c r="G29" i="11" s="1"/>
  <c r="AB33" i="11"/>
  <c r="AA31" i="11"/>
  <c r="AA29" i="11" s="1"/>
  <c r="N26" i="17"/>
  <c r="N24" i="17" s="1"/>
  <c r="V26" i="17"/>
  <c r="V24" i="17" s="1"/>
  <c r="K26" i="17"/>
  <c r="K24" i="17" s="1"/>
  <c r="S26" i="17"/>
  <c r="S24" i="17" s="1"/>
  <c r="AA26" i="17"/>
  <c r="AA24" i="17" s="1"/>
  <c r="H26" i="17"/>
  <c r="H24" i="17" s="1"/>
  <c r="P26" i="17"/>
  <c r="P24" i="17" s="1"/>
  <c r="X26" i="17"/>
  <c r="X24" i="17" s="1"/>
  <c r="AF26" i="17"/>
  <c r="AF24" i="17" s="1"/>
  <c r="L26" i="17"/>
  <c r="L24" i="17" s="1"/>
  <c r="T26" i="17"/>
  <c r="T24" i="17" s="1"/>
  <c r="AB26" i="17"/>
  <c r="AB24" i="17" s="1"/>
  <c r="E26" i="17"/>
  <c r="E24" i="17" s="1"/>
  <c r="M26" i="17"/>
  <c r="M24" i="17" s="1"/>
  <c r="U26" i="17"/>
  <c r="U24" i="17" s="1"/>
  <c r="AC26" i="17"/>
  <c r="AC24" i="17" s="1"/>
  <c r="G26" i="17"/>
  <c r="G24" i="17" s="1"/>
  <c r="O26" i="17"/>
  <c r="O24" i="17" s="1"/>
  <c r="W26" i="17"/>
  <c r="W24" i="17" s="1"/>
  <c r="AE26" i="17"/>
  <c r="AE24" i="17" s="1"/>
  <c r="I28" i="17"/>
  <c r="Q28" i="17"/>
  <c r="Y28" i="17"/>
  <c r="AG28" i="17"/>
  <c r="J28" i="17"/>
  <c r="R28" i="17"/>
  <c r="Z28" i="17"/>
  <c r="AH28" i="17"/>
  <c r="I26" i="17"/>
  <c r="I24" i="17" s="1"/>
  <c r="Q26" i="17"/>
  <c r="Q24" i="17" s="1"/>
  <c r="Y26" i="17"/>
  <c r="Y24" i="17" s="1"/>
  <c r="AG26" i="17"/>
  <c r="AG24" i="17" s="1"/>
  <c r="K28" i="17"/>
  <c r="S28" i="17"/>
  <c r="AA28" i="17"/>
  <c r="J26" i="17"/>
  <c r="J24" i="17" s="1"/>
  <c r="R26" i="17"/>
  <c r="R24" i="17" s="1"/>
  <c r="Z26" i="17"/>
  <c r="Z24" i="17" s="1"/>
  <c r="AH26" i="17"/>
  <c r="AH24" i="17" s="1"/>
  <c r="L28" i="17"/>
  <c r="T28" i="17"/>
  <c r="AB28" i="17"/>
  <c r="E28" i="17"/>
  <c r="M28" i="17"/>
  <c r="U28" i="17"/>
  <c r="AC28" i="17"/>
  <c r="F28" i="17"/>
  <c r="N28" i="17"/>
  <c r="V28" i="17"/>
  <c r="AD28" i="17"/>
  <c r="G28" i="17"/>
  <c r="O28" i="17"/>
  <c r="W28" i="17"/>
  <c r="AE28" i="17"/>
  <c r="H28" i="17"/>
  <c r="P28" i="17"/>
  <c r="X28" i="17"/>
  <c r="AF28" i="17"/>
  <c r="M29" i="14"/>
  <c r="M27" i="14" s="1"/>
  <c r="AC29" i="14"/>
  <c r="AC27" i="14" s="1"/>
  <c r="G29" i="14"/>
  <c r="G27" i="14" s="1"/>
  <c r="O29" i="14"/>
  <c r="O27" i="14" s="1"/>
  <c r="W29" i="14"/>
  <c r="W27" i="14" s="1"/>
  <c r="AE29" i="14"/>
  <c r="AE27" i="14" s="1"/>
  <c r="I29" i="14"/>
  <c r="I27" i="14" s="1"/>
  <c r="Q29" i="14"/>
  <c r="Q27" i="14" s="1"/>
  <c r="Y29" i="14"/>
  <c r="Y27" i="14" s="1"/>
  <c r="AG29" i="14"/>
  <c r="AG27" i="14" s="1"/>
  <c r="K29" i="14"/>
  <c r="K27" i="14" s="1"/>
  <c r="S29" i="14"/>
  <c r="S27" i="14" s="1"/>
  <c r="AA29" i="14"/>
  <c r="AA27" i="14" s="1"/>
  <c r="AH30" i="9"/>
  <c r="AH28" i="9"/>
  <c r="AH26" i="9" s="1"/>
  <c r="J29" i="14"/>
  <c r="J27" i="14" s="1"/>
  <c r="R29" i="14"/>
  <c r="R27" i="14" s="1"/>
  <c r="Z29" i="14"/>
  <c r="Z27" i="14" s="1"/>
  <c r="AH29" i="14"/>
  <c r="AH27" i="14" s="1"/>
  <c r="E29" i="14"/>
  <c r="E27" i="14" s="1"/>
  <c r="U29" i="14"/>
  <c r="U27" i="14" s="1"/>
  <c r="Q30" i="9"/>
  <c r="T28" i="9"/>
  <c r="T26" i="9" s="1"/>
  <c r="AF30" i="9"/>
  <c r="AE28" i="9"/>
  <c r="AE26" i="9" s="1"/>
  <c r="X30" i="9"/>
  <c r="P28" i="9"/>
  <c r="P26" i="9" s="1"/>
  <c r="AC28" i="9"/>
  <c r="AC26" i="9" s="1"/>
  <c r="W30" i="9"/>
  <c r="V28" i="9"/>
  <c r="V26" i="9" s="1"/>
  <c r="J28" i="9"/>
  <c r="J26" i="9" s="1"/>
  <c r="J30" i="9"/>
  <c r="G28" i="9"/>
  <c r="G26" i="9" s="1"/>
  <c r="F30" i="9"/>
  <c r="G30" i="9"/>
  <c r="H30" i="9"/>
  <c r="P30" i="9"/>
  <c r="X28" i="9"/>
  <c r="X26" i="9" s="1"/>
  <c r="AF28" i="9"/>
  <c r="AF26" i="9" s="1"/>
  <c r="R30" i="9"/>
  <c r="R28" i="9"/>
  <c r="R26" i="9" s="1"/>
  <c r="AG30" i="9"/>
  <c r="L28" i="9"/>
  <c r="L26" i="9" s="1"/>
  <c r="AA30" i="9"/>
  <c r="AD30" i="9"/>
  <c r="AD28" i="9"/>
  <c r="AD26" i="9" s="1"/>
  <c r="AE30" i="9"/>
  <c r="U30" i="9"/>
  <c r="M30" i="9"/>
  <c r="AC30" i="9"/>
  <c r="V30" i="9"/>
  <c r="W28" i="9"/>
  <c r="W26" i="9" s="1"/>
  <c r="O30" i="9"/>
  <c r="O28" i="9"/>
  <c r="O26" i="9" s="1"/>
  <c r="H28" i="9"/>
  <c r="H26" i="9" s="1"/>
  <c r="Y30" i="9"/>
  <c r="I30" i="9"/>
  <c r="T30" i="9"/>
  <c r="AB28" i="9"/>
  <c r="AB26" i="9" s="1"/>
  <c r="S30" i="9"/>
  <c r="N30" i="9"/>
  <c r="K30" i="9"/>
  <c r="AB30" i="9"/>
  <c r="L30" i="9"/>
  <c r="F28" i="9"/>
  <c r="F26" i="9" s="1"/>
  <c r="U28" i="9"/>
  <c r="U26" i="9" s="1"/>
  <c r="M28" i="9"/>
  <c r="M26" i="9" s="1"/>
  <c r="E30" i="9"/>
  <c r="E28" i="9"/>
  <c r="E26" i="9" s="1"/>
  <c r="AA28" i="9"/>
  <c r="AA26" i="9" s="1"/>
  <c r="S28" i="9"/>
  <c r="S26" i="9" s="1"/>
  <c r="K28" i="9"/>
  <c r="K26" i="9" s="1"/>
  <c r="AG28" i="9"/>
  <c r="AG26" i="9" s="1"/>
  <c r="Y28" i="9"/>
  <c r="Y26" i="9" s="1"/>
  <c r="Q28" i="9"/>
  <c r="Q26" i="9" s="1"/>
  <c r="I28" i="9"/>
  <c r="I26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Q22" i="13"/>
  <c r="AG22" i="13"/>
  <c r="J22" i="13"/>
  <c r="R22" i="13"/>
  <c r="Z22" i="13"/>
  <c r="AH22" i="13"/>
  <c r="AH33" i="11"/>
  <c r="AG33" i="11"/>
  <c r="AF31" i="11"/>
  <c r="AF29" i="11" s="1"/>
  <c r="AD31" i="11"/>
  <c r="AD29" i="11" s="1"/>
  <c r="AC31" i="11"/>
  <c r="AC29" i="11" s="1"/>
  <c r="AB31" i="11"/>
  <c r="AB29" i="11" s="1"/>
  <c r="Z33" i="11"/>
  <c r="Y33" i="11"/>
  <c r="X31" i="11"/>
  <c r="X29" i="11" s="1"/>
  <c r="V31" i="11"/>
  <c r="V29" i="11" s="1"/>
  <c r="U31" i="11"/>
  <c r="U29" i="11" s="1"/>
  <c r="T31" i="11"/>
  <c r="T29" i="11" s="1"/>
  <c r="S31" i="11"/>
  <c r="S29" i="11" s="1"/>
  <c r="R33" i="11"/>
  <c r="M31" i="11"/>
  <c r="M29" i="11" s="1"/>
  <c r="Q33" i="11"/>
  <c r="P31" i="11"/>
  <c r="P29" i="11" s="1"/>
  <c r="N31" i="11"/>
  <c r="N29" i="11" s="1"/>
  <c r="L31" i="11"/>
  <c r="L29" i="11" s="1"/>
  <c r="L33" i="11"/>
  <c r="K31" i="11"/>
  <c r="K29" i="11" s="1"/>
  <c r="I33" i="11"/>
  <c r="F31" i="11"/>
  <c r="F29" i="11" s="1"/>
  <c r="E31" i="11"/>
  <c r="E29" i="11" s="1"/>
  <c r="J33" i="11"/>
  <c r="P33" i="11"/>
  <c r="I31" i="11"/>
  <c r="I29" i="11" s="1"/>
  <c r="Q31" i="11"/>
  <c r="Q29" i="11" s="1"/>
  <c r="Y31" i="11"/>
  <c r="Y29" i="11" s="1"/>
  <c r="AG31" i="11"/>
  <c r="AG29" i="11" s="1"/>
  <c r="K33" i="11"/>
  <c r="S33" i="11"/>
  <c r="AA33" i="11"/>
  <c r="J31" i="11"/>
  <c r="J29" i="11" s="1"/>
  <c r="R31" i="11"/>
  <c r="R29" i="11" s="1"/>
  <c r="Z31" i="11"/>
  <c r="Z29" i="11" s="1"/>
  <c r="AH31" i="11"/>
  <c r="AH29" i="11" s="1"/>
  <c r="E33" i="11"/>
  <c r="M33" i="11"/>
  <c r="U33" i="11"/>
  <c r="AC33" i="11"/>
  <c r="F33" i="11"/>
  <c r="N33" i="11"/>
  <c r="V33" i="11"/>
  <c r="AD33" i="11"/>
  <c r="G33" i="11"/>
  <c r="O33" i="11"/>
  <c r="W33" i="11"/>
  <c r="AE33" i="11"/>
  <c r="H33" i="11"/>
  <c r="AF33" i="11"/>
  <c r="X33" i="11"/>
  <c r="AH20" i="10" l="1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AO14" i="10"/>
  <c r="AN14" i="10"/>
  <c r="AM14" i="10"/>
  <c r="AL14" i="10"/>
  <c r="AK14" i="10"/>
  <c r="AO13" i="10"/>
  <c r="AN13" i="10"/>
  <c r="AM13" i="10"/>
  <c r="AL13" i="10"/>
  <c r="AK13" i="10"/>
  <c r="AO12" i="10"/>
  <c r="AN12" i="10"/>
  <c r="AM12" i="10"/>
  <c r="AL12" i="10"/>
  <c r="AK12" i="10"/>
  <c r="AO11" i="10"/>
  <c r="AN11" i="10"/>
  <c r="AM11" i="10"/>
  <c r="AL11" i="10"/>
  <c r="AK11" i="10"/>
  <c r="AO10" i="10"/>
  <c r="AN10" i="10"/>
  <c r="AM10" i="10"/>
  <c r="AL10" i="10"/>
  <c r="AK10" i="10"/>
  <c r="AO9" i="10"/>
  <c r="AN9" i="10"/>
  <c r="AM9" i="10"/>
  <c r="AL9" i="10"/>
  <c r="AK9" i="10"/>
  <c r="AO8" i="10"/>
  <c r="AN8" i="10"/>
  <c r="AM8" i="10"/>
  <c r="AL8" i="10"/>
  <c r="AK8" i="10"/>
  <c r="AO7" i="10"/>
  <c r="AN7" i="10"/>
  <c r="AM7" i="10"/>
  <c r="AL7" i="10"/>
  <c r="AK7" i="10"/>
  <c r="AO6" i="10"/>
  <c r="AN6" i="10"/>
  <c r="AM6" i="10"/>
  <c r="AL6" i="10"/>
  <c r="AK6" i="10"/>
  <c r="AO5" i="10"/>
  <c r="AN5" i="10"/>
  <c r="AM5" i="10"/>
  <c r="AL5" i="10"/>
  <c r="AK5" i="10"/>
  <c r="AB23" i="10" l="1"/>
  <c r="AB21" i="10" s="1"/>
  <c r="AA23" i="10"/>
  <c r="AA21" i="10" s="1"/>
  <c r="T23" i="10"/>
  <c r="T21" i="10" s="1"/>
  <c r="Z25" i="10"/>
  <c r="R25" i="10"/>
  <c r="AH25" i="10"/>
  <c r="L23" i="10"/>
  <c r="L21" i="10" s="1"/>
  <c r="J25" i="10"/>
  <c r="S23" i="10"/>
  <c r="S21" i="10" s="1"/>
  <c r="K23" i="10"/>
  <c r="K21" i="10" s="1"/>
  <c r="F23" i="10"/>
  <c r="F21" i="10" s="1"/>
  <c r="N23" i="10"/>
  <c r="N21" i="10" s="1"/>
  <c r="V23" i="10"/>
  <c r="V21" i="10" s="1"/>
  <c r="AD23" i="10"/>
  <c r="AD21" i="10" s="1"/>
  <c r="H23" i="10"/>
  <c r="H21" i="10" s="1"/>
  <c r="P23" i="10"/>
  <c r="P21" i="10" s="1"/>
  <c r="X23" i="10"/>
  <c r="X21" i="10" s="1"/>
  <c r="AF23" i="10"/>
  <c r="AF21" i="10" s="1"/>
  <c r="M23" i="10"/>
  <c r="M21" i="10" s="1"/>
  <c r="U23" i="10"/>
  <c r="U21" i="10" s="1"/>
  <c r="AC23" i="10"/>
  <c r="AC21" i="10" s="1"/>
  <c r="I23" i="10"/>
  <c r="I21" i="10" s="1"/>
  <c r="Q23" i="10"/>
  <c r="Q21" i="10" s="1"/>
  <c r="Y23" i="10"/>
  <c r="Y21" i="10" s="1"/>
  <c r="AG23" i="10"/>
  <c r="AG21" i="10" s="1"/>
  <c r="K25" i="10"/>
  <c r="S25" i="10"/>
  <c r="AA25" i="10"/>
  <c r="J23" i="10"/>
  <c r="J21" i="10" s="1"/>
  <c r="R23" i="10"/>
  <c r="R21" i="10" s="1"/>
  <c r="Z23" i="10"/>
  <c r="Z21" i="10" s="1"/>
  <c r="AH23" i="10"/>
  <c r="AH21" i="10" s="1"/>
  <c r="L25" i="10"/>
  <c r="T25" i="10"/>
  <c r="AB25" i="10"/>
  <c r="G23" i="10"/>
  <c r="G21" i="10" s="1"/>
  <c r="O23" i="10"/>
  <c r="O21" i="10" s="1"/>
  <c r="W23" i="10"/>
  <c r="W21" i="10" s="1"/>
  <c r="AE23" i="10"/>
  <c r="AE21" i="10" s="1"/>
  <c r="E23" i="10"/>
  <c r="E21" i="10" s="1"/>
  <c r="I25" i="10"/>
  <c r="Q25" i="10"/>
  <c r="Y25" i="10"/>
  <c r="AG25" i="10"/>
  <c r="E25" i="10"/>
  <c r="M25" i="10"/>
  <c r="U25" i="10"/>
  <c r="AC25" i="10"/>
  <c r="F25" i="10"/>
  <c r="N25" i="10"/>
  <c r="V25" i="10"/>
  <c r="AD25" i="10"/>
  <c r="G25" i="10"/>
  <c r="O25" i="10"/>
  <c r="W25" i="10"/>
  <c r="AE25" i="10"/>
  <c r="H25" i="10"/>
  <c r="P25" i="10"/>
  <c r="X25" i="10"/>
  <c r="AF25" i="10"/>
  <c r="AO19" i="8"/>
  <c r="AN19" i="8"/>
  <c r="AM19" i="8"/>
  <c r="AL19" i="8"/>
  <c r="AK19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AO22" i="8"/>
  <c r="AN22" i="8"/>
  <c r="AM22" i="8"/>
  <c r="AL22" i="8"/>
  <c r="AK22" i="8"/>
  <c r="AO18" i="8"/>
  <c r="AN18" i="8"/>
  <c r="AM18" i="8"/>
  <c r="AL18" i="8"/>
  <c r="AK18" i="8"/>
  <c r="AO17" i="8"/>
  <c r="AN17" i="8"/>
  <c r="AM17" i="8"/>
  <c r="AL17" i="8"/>
  <c r="AK17" i="8"/>
  <c r="AO16" i="8"/>
  <c r="AN16" i="8"/>
  <c r="AM16" i="8"/>
  <c r="AL16" i="8"/>
  <c r="AK16" i="8"/>
  <c r="AO15" i="8"/>
  <c r="AN15" i="8"/>
  <c r="AM15" i="8"/>
  <c r="AL15" i="8"/>
  <c r="AK15" i="8"/>
  <c r="AO14" i="8"/>
  <c r="AN14" i="8"/>
  <c r="AM14" i="8"/>
  <c r="AL14" i="8"/>
  <c r="AK14" i="8"/>
  <c r="AO13" i="8"/>
  <c r="AN13" i="8"/>
  <c r="AM13" i="8"/>
  <c r="AL13" i="8"/>
  <c r="AK13" i="8"/>
  <c r="AO12" i="8"/>
  <c r="AN12" i="8"/>
  <c r="AM12" i="8"/>
  <c r="AL12" i="8"/>
  <c r="AK12" i="8"/>
  <c r="AO11" i="8"/>
  <c r="AN11" i="8"/>
  <c r="AM11" i="8"/>
  <c r="AL11" i="8"/>
  <c r="AK11" i="8"/>
  <c r="AO10" i="8"/>
  <c r="AN10" i="8"/>
  <c r="AM10" i="8"/>
  <c r="AL10" i="8"/>
  <c r="AK10" i="8"/>
  <c r="AO9" i="8"/>
  <c r="AN9" i="8"/>
  <c r="AM9" i="8"/>
  <c r="AL9" i="8"/>
  <c r="AK9" i="8"/>
  <c r="AO8" i="8"/>
  <c r="AN8" i="8"/>
  <c r="AM8" i="8"/>
  <c r="AL8" i="8"/>
  <c r="AK8" i="8"/>
  <c r="AO7" i="8"/>
  <c r="AN7" i="8"/>
  <c r="AM7" i="8"/>
  <c r="AL7" i="8"/>
  <c r="AK7" i="8"/>
  <c r="AO6" i="8"/>
  <c r="AN6" i="8"/>
  <c r="AM6" i="8"/>
  <c r="AL6" i="8"/>
  <c r="AK6" i="8"/>
  <c r="AO5" i="8"/>
  <c r="AN5" i="8"/>
  <c r="AM5" i="8"/>
  <c r="AL5" i="8"/>
  <c r="AK5" i="8"/>
  <c r="AE31" i="8" l="1"/>
  <c r="AE29" i="8" s="1"/>
  <c r="AD31" i="8"/>
  <c r="AD29" i="8" s="1"/>
  <c r="V31" i="8"/>
  <c r="V29" i="8" s="1"/>
  <c r="N31" i="8"/>
  <c r="N29" i="8" s="1"/>
  <c r="F31" i="8"/>
  <c r="F29" i="8" s="1"/>
  <c r="E31" i="8"/>
  <c r="E29" i="8" s="1"/>
  <c r="AC31" i="8"/>
  <c r="AC29" i="8" s="1"/>
  <c r="W31" i="8"/>
  <c r="W29" i="8" s="1"/>
  <c r="O31" i="8"/>
  <c r="O29" i="8" s="1"/>
  <c r="U31" i="8"/>
  <c r="U29" i="8" s="1"/>
  <c r="M31" i="8"/>
  <c r="M29" i="8" s="1"/>
  <c r="G31" i="8"/>
  <c r="G29" i="8" s="1"/>
  <c r="P31" i="8"/>
  <c r="P29" i="8" s="1"/>
  <c r="AG33" i="8"/>
  <c r="H31" i="8"/>
  <c r="H29" i="8" s="1"/>
  <c r="Y33" i="8"/>
  <c r="J33" i="8"/>
  <c r="R33" i="8"/>
  <c r="Z33" i="8"/>
  <c r="AH33" i="8"/>
  <c r="AF31" i="8"/>
  <c r="AF29" i="8" s="1"/>
  <c r="Q33" i="8"/>
  <c r="K31" i="8"/>
  <c r="K29" i="8" s="1"/>
  <c r="AA31" i="8"/>
  <c r="AA29" i="8" s="1"/>
  <c r="X31" i="8"/>
  <c r="X29" i="8" s="1"/>
  <c r="I33" i="8"/>
  <c r="S31" i="8"/>
  <c r="S29" i="8" s="1"/>
  <c r="L31" i="8"/>
  <c r="L29" i="8" s="1"/>
  <c r="T31" i="8"/>
  <c r="T29" i="8" s="1"/>
  <c r="AB31" i="8"/>
  <c r="AB29" i="8" s="1"/>
  <c r="I31" i="8"/>
  <c r="I29" i="8" s="1"/>
  <c r="Q31" i="8"/>
  <c r="Q29" i="8" s="1"/>
  <c r="Y31" i="8"/>
  <c r="Y29" i="8" s="1"/>
  <c r="AG31" i="8"/>
  <c r="AG29" i="8" s="1"/>
  <c r="K33" i="8"/>
  <c r="S33" i="8"/>
  <c r="AA33" i="8"/>
  <c r="J31" i="8"/>
  <c r="J29" i="8" s="1"/>
  <c r="R31" i="8"/>
  <c r="R29" i="8" s="1"/>
  <c r="Z31" i="8"/>
  <c r="Z29" i="8" s="1"/>
  <c r="AH31" i="8"/>
  <c r="AH29" i="8" s="1"/>
  <c r="L33" i="8"/>
  <c r="T33" i="8"/>
  <c r="AB33" i="8"/>
  <c r="E33" i="8"/>
  <c r="M33" i="8"/>
  <c r="U33" i="8"/>
  <c r="AC33" i="8"/>
  <c r="F33" i="8"/>
  <c r="N33" i="8"/>
  <c r="V33" i="8"/>
  <c r="AD33" i="8"/>
  <c r="G33" i="8"/>
  <c r="O33" i="8"/>
  <c r="W33" i="8"/>
  <c r="AE33" i="8"/>
  <c r="H33" i="8"/>
  <c r="P33" i="8"/>
  <c r="X33" i="8"/>
  <c r="AF33" i="8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K6" i="6"/>
  <c r="AL6" i="6"/>
  <c r="AM6" i="6"/>
  <c r="AN6" i="6"/>
  <c r="AO6" i="6"/>
  <c r="AK7" i="6"/>
  <c r="AL7" i="6"/>
  <c r="AM7" i="6"/>
  <c r="AN7" i="6"/>
  <c r="AO7" i="6"/>
  <c r="AK8" i="6"/>
  <c r="AL8" i="6"/>
  <c r="AM8" i="6"/>
  <c r="AN8" i="6"/>
  <c r="AO8" i="6"/>
  <c r="AK9" i="6"/>
  <c r="AL9" i="6"/>
  <c r="AM9" i="6"/>
  <c r="AN9" i="6"/>
  <c r="AO9" i="6"/>
  <c r="AK10" i="6"/>
  <c r="AL10" i="6"/>
  <c r="AM10" i="6"/>
  <c r="AN10" i="6"/>
  <c r="AO10" i="6"/>
  <c r="AK11" i="6"/>
  <c r="AL11" i="6"/>
  <c r="AM11" i="6"/>
  <c r="AN11" i="6"/>
  <c r="AO11" i="6"/>
  <c r="AK12" i="6"/>
  <c r="AL12" i="6"/>
  <c r="AM12" i="6"/>
  <c r="AN12" i="6"/>
  <c r="AO12" i="6"/>
  <c r="AK13" i="6"/>
  <c r="AL13" i="6"/>
  <c r="AM13" i="6"/>
  <c r="AN13" i="6"/>
  <c r="AO13" i="6"/>
  <c r="AK14" i="6"/>
  <c r="AL14" i="6"/>
  <c r="AM14" i="6"/>
  <c r="AN14" i="6"/>
  <c r="AO14" i="6"/>
  <c r="AK15" i="6"/>
  <c r="AL15" i="6"/>
  <c r="AM15" i="6"/>
  <c r="AN15" i="6"/>
  <c r="AO15" i="6"/>
  <c r="AK16" i="6"/>
  <c r="AL16" i="6"/>
  <c r="AM16" i="6"/>
  <c r="AN16" i="6"/>
  <c r="AO16" i="6"/>
  <c r="AK17" i="6"/>
  <c r="AL17" i="6"/>
  <c r="AM17" i="6"/>
  <c r="AN17" i="6"/>
  <c r="AO17" i="6"/>
  <c r="AK18" i="6"/>
  <c r="AL18" i="6"/>
  <c r="AM18" i="6"/>
  <c r="AN18" i="6"/>
  <c r="AO18" i="6"/>
  <c r="AK19" i="6"/>
  <c r="AL19" i="6"/>
  <c r="AM19" i="6"/>
  <c r="AN19" i="6"/>
  <c r="AO19" i="6"/>
  <c r="AK20" i="6"/>
  <c r="AL20" i="6"/>
  <c r="AM20" i="6"/>
  <c r="AN20" i="6"/>
  <c r="AO20" i="6"/>
  <c r="AK21" i="6"/>
  <c r="AL21" i="6"/>
  <c r="AM21" i="6"/>
  <c r="AN21" i="6"/>
  <c r="AO21" i="6"/>
  <c r="AK22" i="6"/>
  <c r="AL22" i="6"/>
  <c r="AM22" i="6"/>
  <c r="AN22" i="6"/>
  <c r="AO22" i="6"/>
  <c r="AK23" i="6"/>
  <c r="AL23" i="6"/>
  <c r="AM23" i="6"/>
  <c r="AN23" i="6"/>
  <c r="AO23" i="6"/>
  <c r="AK24" i="6"/>
  <c r="AL24" i="6"/>
  <c r="AM24" i="6"/>
  <c r="AN24" i="6"/>
  <c r="AO24" i="6"/>
  <c r="AK25" i="6"/>
  <c r="AL25" i="6"/>
  <c r="AM25" i="6"/>
  <c r="AN25" i="6"/>
  <c r="AO25" i="6"/>
  <c r="AK26" i="6"/>
  <c r="AL26" i="6"/>
  <c r="AM26" i="6"/>
  <c r="AN26" i="6"/>
  <c r="AO26" i="6"/>
  <c r="AK27" i="6"/>
  <c r="AL27" i="6"/>
  <c r="AM27" i="6"/>
  <c r="AN27" i="6"/>
  <c r="AO27" i="6"/>
  <c r="AK28" i="6"/>
  <c r="AL28" i="6"/>
  <c r="AM28" i="6"/>
  <c r="AN28" i="6"/>
  <c r="AO28" i="6"/>
  <c r="AK29" i="6"/>
  <c r="AL29" i="6"/>
  <c r="AM29" i="6"/>
  <c r="AN29" i="6"/>
  <c r="AO29" i="6"/>
  <c r="AK30" i="6"/>
  <c r="AL30" i="6"/>
  <c r="AM30" i="6"/>
  <c r="AN30" i="6"/>
  <c r="AO30" i="6"/>
  <c r="AK31" i="6"/>
  <c r="AL31" i="6"/>
  <c r="AM31" i="6"/>
  <c r="AN31" i="6"/>
  <c r="AO31" i="6"/>
  <c r="AK32" i="6"/>
  <c r="AL32" i="6"/>
  <c r="AM32" i="6"/>
  <c r="AN32" i="6"/>
  <c r="AO32" i="6"/>
  <c r="AK33" i="6"/>
  <c r="AL33" i="6"/>
  <c r="AM33" i="6"/>
  <c r="AN33" i="6"/>
  <c r="AO33" i="6"/>
  <c r="AK34" i="6"/>
  <c r="AL34" i="6"/>
  <c r="AM34" i="6"/>
  <c r="AN34" i="6"/>
  <c r="AO34" i="6"/>
  <c r="AO5" i="6"/>
  <c r="AN5" i="6"/>
  <c r="AM5" i="6"/>
  <c r="AL5" i="6"/>
  <c r="AK5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E40" i="6" l="1"/>
  <c r="AH39" i="6"/>
  <c r="AG39" i="6"/>
  <c r="AF39" i="6"/>
  <c r="AF45" i="6" s="1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Q43" i="6" s="1"/>
  <c r="P36" i="6"/>
  <c r="O36" i="6"/>
  <c r="N36" i="6"/>
  <c r="M36" i="6"/>
  <c r="L36" i="6"/>
  <c r="K36" i="6"/>
  <c r="J36" i="6"/>
  <c r="I36" i="6"/>
  <c r="H36" i="6"/>
  <c r="G36" i="6"/>
  <c r="F36" i="6"/>
  <c r="E36" i="6"/>
  <c r="AH45" i="6" l="1"/>
  <c r="AG43" i="6"/>
  <c r="AG45" i="6"/>
  <c r="AF43" i="6"/>
  <c r="AE43" i="6"/>
  <c r="AE45" i="6"/>
  <c r="AD43" i="6"/>
  <c r="AD45" i="6"/>
  <c r="AC43" i="6"/>
  <c r="AC45" i="6"/>
  <c r="AB45" i="6"/>
  <c r="AB43" i="6"/>
  <c r="AA45" i="6"/>
  <c r="Z45" i="6"/>
  <c r="Y45" i="6"/>
  <c r="Y43" i="6"/>
  <c r="X43" i="6"/>
  <c r="X45" i="6"/>
  <c r="W43" i="6"/>
  <c r="W45" i="6"/>
  <c r="V43" i="6"/>
  <c r="V45" i="6"/>
  <c r="U43" i="6"/>
  <c r="U45" i="6"/>
  <c r="T43" i="6"/>
  <c r="T45" i="6"/>
  <c r="S45" i="6"/>
  <c r="R45" i="6"/>
  <c r="Q45" i="6"/>
  <c r="P43" i="6"/>
  <c r="P45" i="6"/>
  <c r="O43" i="6"/>
  <c r="O45" i="6"/>
  <c r="N43" i="6"/>
  <c r="N45" i="6"/>
  <c r="M43" i="6"/>
  <c r="M45" i="6"/>
  <c r="L43" i="6"/>
  <c r="L45" i="6"/>
  <c r="J45" i="6"/>
  <c r="K45" i="6"/>
  <c r="I45" i="6"/>
  <c r="G45" i="6"/>
  <c r="H45" i="6"/>
  <c r="F45" i="6"/>
  <c r="E45" i="6"/>
  <c r="G43" i="6"/>
  <c r="I43" i="6"/>
  <c r="E43" i="6"/>
  <c r="E41" i="6" s="1"/>
  <c r="F43" i="6"/>
  <c r="H43" i="6"/>
  <c r="K43" i="6"/>
  <c r="S43" i="6"/>
  <c r="AA43" i="6"/>
  <c r="J43" i="6"/>
  <c r="R43" i="6"/>
  <c r="Z43" i="6"/>
  <c r="AH43" i="6"/>
</calcChain>
</file>

<file path=xl/sharedStrings.xml><?xml version="1.0" encoding="utf-8"?>
<sst xmlns="http://schemas.openxmlformats.org/spreadsheetml/2006/main" count="6504" uniqueCount="138">
  <si>
    <t>M1</t>
  </si>
  <si>
    <t>M2</t>
  </si>
  <si>
    <t>A1</t>
  </si>
  <si>
    <t>N1</t>
  </si>
  <si>
    <t>N2</t>
  </si>
  <si>
    <t>O1</t>
  </si>
  <si>
    <t>O2</t>
  </si>
  <si>
    <t>O3</t>
  </si>
  <si>
    <t xml:space="preserve">Night Shift </t>
  </si>
  <si>
    <t>Offday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</si>
  <si>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</si>
  <si>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</si>
  <si>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</si>
  <si>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</si>
  <si>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</si>
  <si>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</si>
  <si>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</si>
  <si>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</si>
  <si>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</si>
  <si>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</si>
  <si>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</si>
  <si>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>Staff 12</t>
  </si>
  <si>
    <t>Staff 13</t>
  </si>
  <si>
    <t>Staff 14</t>
  </si>
  <si>
    <t>Staff 15</t>
  </si>
  <si>
    <t>Staff 16</t>
  </si>
  <si>
    <t>Staff 17</t>
  </si>
  <si>
    <t>Staff 18</t>
  </si>
  <si>
    <t>Staff 19</t>
  </si>
  <si>
    <t>Staff 20</t>
  </si>
  <si>
    <t>Staff 21</t>
  </si>
  <si>
    <t>Staff 22</t>
  </si>
  <si>
    <t>Staff 23</t>
  </si>
  <si>
    <t>Staff 24</t>
  </si>
  <si>
    <t>Staff 25</t>
  </si>
  <si>
    <t>Staff 26</t>
  </si>
  <si>
    <t>Staff 27</t>
  </si>
  <si>
    <t>Staff 28</t>
  </si>
  <si>
    <t>Staff 29</t>
  </si>
  <si>
    <t>Staff 30</t>
  </si>
  <si>
    <t xml:space="preserve">Minimum Requirement </t>
  </si>
  <si>
    <t xml:space="preserve">Morning Shift </t>
  </si>
  <si>
    <t xml:space="preserve">Afternoon Shift </t>
  </si>
  <si>
    <t>N3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</si>
  <si>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</si>
  <si>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</si>
  <si>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</si>
  <si>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</si>
  <si>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</si>
  <si>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</si>
  <si>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</si>
  <si>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</si>
  <si>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</si>
  <si>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</si>
  <si>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</si>
  <si>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</si>
  <si>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</si>
  <si>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</si>
  <si>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</si>
  <si>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</si>
  <si>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STN1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</si>
  <si>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</si>
  <si>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</si>
  <si>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</si>
  <si>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</si>
  <si>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</si>
  <si>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</si>
  <si>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</si>
  <si>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Export Checkers Roster for the Month of September 2025</t>
  </si>
  <si>
    <t>Documentation Roster for the Month of September 2025</t>
  </si>
  <si>
    <t>M3</t>
  </si>
  <si>
    <t>M4</t>
  </si>
  <si>
    <t>M5</t>
  </si>
  <si>
    <t>Export Load Control Roster for the Month of September 2025</t>
  </si>
  <si>
    <t>Import Checkers Roster for the Month of September 2025</t>
  </si>
  <si>
    <t>STAA2</t>
  </si>
  <si>
    <t>STN2</t>
  </si>
  <si>
    <t>M</t>
  </si>
  <si>
    <t>A3</t>
  </si>
  <si>
    <t>A4</t>
  </si>
  <si>
    <t>N1N</t>
  </si>
  <si>
    <t>STA3</t>
  </si>
  <si>
    <t>STM3</t>
  </si>
  <si>
    <t>Export Operators Roster for the Month of September 2025</t>
  </si>
  <si>
    <t>Import Operators Roster for the Month of September 2025</t>
  </si>
  <si>
    <t>Flight Attending (Export and Import)  Roster for the Month of September 2025</t>
  </si>
  <si>
    <t>SN82424 Riyadh Al Sulti</t>
  </si>
  <si>
    <t>SN81079 Mohamed Al Kulaibi</t>
  </si>
  <si>
    <t>SN82422 Mahir Al Balushi</t>
  </si>
  <si>
    <t>SN82587  Yousuf Al Balushi</t>
  </si>
  <si>
    <t>82568 MUNAAM</t>
  </si>
  <si>
    <t>82538 AIMAN</t>
  </si>
  <si>
    <t>2817 ADIL SALIM</t>
  </si>
  <si>
    <t>80629 OSAMA</t>
  </si>
  <si>
    <t>82463 ABDULLAH</t>
  </si>
  <si>
    <t>82533 MAJID</t>
  </si>
  <si>
    <t>8610 YASSER</t>
  </si>
  <si>
    <t>8931 ADIL HASAN</t>
  </si>
  <si>
    <t>82453 NAIF DARWISH</t>
  </si>
  <si>
    <t>990801 HAITHAM</t>
  </si>
  <si>
    <t>81222 HUMAID</t>
  </si>
  <si>
    <t>82542 ABDULLAH</t>
  </si>
  <si>
    <t>990758 ANWAR</t>
  </si>
  <si>
    <t>82539 ABDULLA KHA</t>
  </si>
  <si>
    <t>82572 HAITHAM</t>
  </si>
  <si>
    <t>82461 NAIF SAADI</t>
  </si>
  <si>
    <t>990876 MURSHID</t>
  </si>
  <si>
    <t>82432 MOHAMED KHA</t>
  </si>
  <si>
    <t>82532 MOHAMMED SAL</t>
  </si>
  <si>
    <t>82585 AHMED</t>
  </si>
  <si>
    <t>82552 AMMAR</t>
  </si>
  <si>
    <t>82655 IMAD</t>
  </si>
  <si>
    <t>Import Delivery Operators Roster for the Month of November 2025</t>
  </si>
  <si>
    <t>8859 SULTAN</t>
  </si>
  <si>
    <t>990893 HAFIDH</t>
  </si>
  <si>
    <t>990347 MAQBOOL</t>
  </si>
  <si>
    <t>81022 FAISAL NOOR</t>
  </si>
  <si>
    <t>990754 JABIR</t>
  </si>
  <si>
    <t>81259 MOHD LAL</t>
  </si>
  <si>
    <t>82113 ABDULLAH</t>
  </si>
  <si>
    <t>81025 YAHYA</t>
  </si>
  <si>
    <t>82544 FAISAL MOHD</t>
  </si>
  <si>
    <t>80591 SALAM</t>
  </si>
  <si>
    <t>8740 MUBARAK</t>
  </si>
  <si>
    <t>8758 MAHMOUD</t>
  </si>
  <si>
    <t>MN06</t>
  </si>
  <si>
    <t>AN13</t>
  </si>
  <si>
    <t>NN21</t>
  </si>
  <si>
    <t>MN07</t>
  </si>
  <si>
    <t>MN11</t>
  </si>
  <si>
    <t>MN12</t>
  </si>
  <si>
    <t>STM06</t>
  </si>
  <si>
    <t>STA13</t>
  </si>
  <si>
    <t>STN21</t>
  </si>
  <si>
    <t>Import Delviery with Supervisor Roster for the Month of November 2025</t>
  </si>
  <si>
    <t>REST</t>
  </si>
  <si>
    <t>A/L</t>
  </si>
  <si>
    <t>82130 MOHD TOBI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</si>
</sst>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AA8C8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/>
    <xf numFmtId="0" fontId="3" fillId="0" borderId="3" xfId="0" applyFont="1" applyBorder="1" applyAlignment="1" applyProtection="1">
      <alignment horizontal="center" vertical="center"/>
      <protection locked="0"/>
    </xf>
    <xf numFmtId="0" fontId="6" fillId="3" borderId="13" xfId="0" applyFont="1" applyFill="1" applyBorder="1" applyAlignment="1">
      <alignment horizontal="center" vertical="center" textRotation="90"/>
    </xf>
    <xf numFmtId="0" fontId="6" fillId="3" borderId="3" xfId="0" applyFont="1" applyFill="1" applyBorder="1" applyAlignment="1">
      <alignment horizontal="center" vertical="center" textRotation="90"/>
    </xf>
    <xf numFmtId="0" fontId="6" fillId="3" borderId="11" xfId="0" applyFont="1" applyFill="1" applyBorder="1" applyAlignment="1">
      <alignment horizontal="center" vertical="center" textRotation="90"/>
    </xf>
    <xf numFmtId="0" fontId="7" fillId="3" borderId="14" xfId="0" applyFont="1" applyFill="1" applyBorder="1"/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7" fillId="3" borderId="9" xfId="0" applyFont="1" applyFill="1" applyBorder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6" fillId="3" borderId="1" xfId="0" applyFont="1" applyFill="1" applyBorder="1" applyAlignment="1">
      <alignment horizontal="center" vertical="center" textRotation="90"/>
    </xf>
    <xf numFmtId="0" fontId="11" fillId="5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6" fillId="0" borderId="5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6" fillId="0" borderId="12" xfId="0" applyFont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5" fillId="2" borderId="5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</cellXfs>
  <cellStyles count="1">
    <cellStyle name="Normal" xfId="0" builtinId="0"/>
  </cellStyles>
  <dxfs count="1192"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</dxfs>
  <tableStyles count="0" defaultTableStyle="TableStyleMedium2" defaultPivotStyle="PivotStyleLight16"/>
  <colors>
    <mruColors>
      <color rgb="FFDAA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341F-9A1F-48F1-AE61-FDF6AD7749F3}">
  <dimension ref="B2:AO33"/>
  <sheetViews>
    <sheetView topLeftCell="A2" zoomScale="90" zoomScaleNormal="90" workbookViewId="0">
      <selection activeCell="G26" sqref="G26"/>
    </sheetView>
  </sheetViews>
  <sheetFormatPr defaultRowHeight="15.75" x14ac:dyDescent="0.25"/>
  <cols>
    <col min="1" max="1" width="3.42578125" style="1" customWidth="1"/>
    <col min="2" max="2" width="12.85546875" style="1" customWidth="1"/>
    <col min="3" max="3" width="15.4257812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39" t="s">
        <v>74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K2" s="36" t="s">
        <v>63</v>
      </c>
      <c r="AL2" s="36" t="s">
        <v>64</v>
      </c>
      <c r="AM2" s="36" t="s">
        <v>67</v>
      </c>
      <c r="AN2" s="36" t="s">
        <v>65</v>
      </c>
      <c r="AO2" s="36" t="s">
        <v>66</v>
      </c>
    </row>
    <row r="3" spans="2:41" ht="39" x14ac:dyDescent="0.3">
      <c r="B3" s="41" t="s">
        <v>56</v>
      </c>
      <c r="C3" s="42"/>
      <c r="E3" s="12" t="s">
        <v>46</v>
      </c>
      <c r="F3" s="13" t="s">
        <v>47</v>
      </c>
      <c r="G3" s="13" t="s">
        <v>48</v>
      </c>
      <c r="H3" s="13" t="s">
        <v>49</v>
      </c>
      <c r="I3" s="13" t="s">
        <v>50</v>
      </c>
      <c r="J3" s="13" t="s">
        <v>51</v>
      </c>
      <c r="K3" s="13" t="s">
        <v>52</v>
      </c>
      <c r="L3" s="13" t="s">
        <v>46</v>
      </c>
      <c r="M3" s="13" t="s">
        <v>47</v>
      </c>
      <c r="N3" s="13" t="s">
        <v>48</v>
      </c>
      <c r="O3" s="13" t="s">
        <v>49</v>
      </c>
      <c r="P3" s="13" t="s">
        <v>50</v>
      </c>
      <c r="Q3" s="13" t="s">
        <v>51</v>
      </c>
      <c r="R3" s="13" t="s">
        <v>52</v>
      </c>
      <c r="S3" s="13" t="s">
        <v>46</v>
      </c>
      <c r="T3" s="13" t="s">
        <v>47</v>
      </c>
      <c r="U3" s="13" t="s">
        <v>48</v>
      </c>
      <c r="V3" s="13" t="s">
        <v>49</v>
      </c>
      <c r="W3" s="13" t="s">
        <v>50</v>
      </c>
      <c r="X3" s="13" t="s">
        <v>51</v>
      </c>
      <c r="Y3" s="13" t="s">
        <v>52</v>
      </c>
      <c r="Z3" s="13" t="s">
        <v>46</v>
      </c>
      <c r="AA3" s="13" t="s">
        <v>47</v>
      </c>
      <c r="AB3" s="13" t="s">
        <v>48</v>
      </c>
      <c r="AC3" s="13" t="s">
        <v>49</v>
      </c>
      <c r="AD3" s="13" t="s">
        <v>50</v>
      </c>
      <c r="AE3" s="13" t="s">
        <v>51</v>
      </c>
      <c r="AF3" s="13" t="s">
        <v>52</v>
      </c>
      <c r="AG3" s="13" t="s">
        <v>46</v>
      </c>
      <c r="AH3" s="14" t="s">
        <v>47</v>
      </c>
      <c r="AI3" s="15"/>
      <c r="AK3" s="37"/>
      <c r="AL3" s="37"/>
      <c r="AM3" s="37"/>
      <c r="AN3" s="37"/>
      <c r="AO3" s="37"/>
    </row>
    <row r="4" spans="2:41" ht="19.5" thickBot="1" x14ac:dyDescent="0.35">
      <c r="B4" s="43"/>
      <c r="C4" s="44"/>
      <c r="E4" s="16">
        <v>1</v>
      </c>
      <c r="F4" s="17">
        <v>2</v>
      </c>
      <c r="G4" s="17">
        <v>3</v>
      </c>
      <c r="H4" s="17">
        <v>4</v>
      </c>
      <c r="I4" s="17">
        <v>5</v>
      </c>
      <c r="J4" s="17">
        <v>6</v>
      </c>
      <c r="K4" s="17">
        <v>7</v>
      </c>
      <c r="L4" s="17">
        <v>8</v>
      </c>
      <c r="M4" s="17">
        <v>9</v>
      </c>
      <c r="N4" s="17">
        <v>10</v>
      </c>
      <c r="O4" s="17">
        <v>11</v>
      </c>
      <c r="P4" s="17">
        <v>12</v>
      </c>
      <c r="Q4" s="17">
        <v>13</v>
      </c>
      <c r="R4" s="17">
        <v>14</v>
      </c>
      <c r="S4" s="17">
        <v>15</v>
      </c>
      <c r="T4" s="17">
        <v>16</v>
      </c>
      <c r="U4" s="17">
        <v>17</v>
      </c>
      <c r="V4" s="17">
        <v>18</v>
      </c>
      <c r="W4" s="17">
        <v>19</v>
      </c>
      <c r="X4" s="17">
        <v>20</v>
      </c>
      <c r="Y4" s="17">
        <v>21</v>
      </c>
      <c r="Z4" s="17">
        <v>22</v>
      </c>
      <c r="AA4" s="17">
        <v>23</v>
      </c>
      <c r="AB4" s="17">
        <v>24</v>
      </c>
      <c r="AC4" s="17">
        <v>25</v>
      </c>
      <c r="AD4" s="17">
        <v>26</v>
      </c>
      <c r="AE4" s="17">
        <v>27</v>
      </c>
      <c r="AF4" s="17">
        <v>28</v>
      </c>
      <c r="AG4" s="17">
        <v>29</v>
      </c>
      <c r="AH4" s="18">
        <v>30</v>
      </c>
      <c r="AI4" s="19"/>
      <c r="AK4" s="38"/>
      <c r="AL4" s="38"/>
      <c r="AM4" s="38"/>
      <c r="AN4" s="38"/>
      <c r="AO4" s="38"/>
    </row>
    <row r="5" spans="2:41" ht="18.75" x14ac:dyDescent="0.25">
      <c r="B5" s="40" t="s">
        <v>10</v>
      </c>
      <c r="C5" s="40"/>
      <c r="E5" s="11" t="s">
        <v>58</v>
      </c>
      <c r="F5" s="7" t="s">
        <v>62</v>
      </c>
      <c r="G5" s="7" t="s">
        <v>59</v>
      </c>
      <c r="H5" s="7" t="s">
        <v>75</v>
      </c>
      <c r="I5" s="7" t="s">
        <v>60</v>
      </c>
      <c r="J5" s="7" t="s">
        <v>5</v>
      </c>
      <c r="K5" s="7" t="s">
        <v>6</v>
      </c>
      <c r="L5" s="7" t="s">
        <v>7</v>
      </c>
      <c r="M5" s="7" t="s">
        <v>0</v>
      </c>
      <c r="N5" s="7" t="s">
        <v>62</v>
      </c>
      <c r="O5" s="7" t="s">
        <v>59</v>
      </c>
      <c r="P5" s="7" t="s">
        <v>61</v>
      </c>
      <c r="Q5" s="7" t="s">
        <v>60</v>
      </c>
      <c r="R5" s="7" t="s">
        <v>5</v>
      </c>
      <c r="S5" s="7" t="s">
        <v>6</v>
      </c>
      <c r="T5" s="7" t="s">
        <v>7</v>
      </c>
      <c r="U5" s="7" t="s">
        <v>0</v>
      </c>
      <c r="V5" s="7" t="s">
        <v>2</v>
      </c>
      <c r="W5" s="7" t="s">
        <v>44</v>
      </c>
      <c r="X5" s="7" t="s">
        <v>78</v>
      </c>
      <c r="Y5" s="7" t="s">
        <v>4</v>
      </c>
      <c r="Z5" s="7" t="s">
        <v>5</v>
      </c>
      <c r="AA5" s="7" t="s">
        <v>6</v>
      </c>
      <c r="AB5" s="7" t="s">
        <v>7</v>
      </c>
      <c r="AC5" s="7" t="s">
        <v>0</v>
      </c>
      <c r="AD5" s="7" t="s">
        <v>1</v>
      </c>
      <c r="AE5" s="7" t="s">
        <v>59</v>
      </c>
      <c r="AF5" s="7" t="s">
        <v>3</v>
      </c>
      <c r="AG5" s="7" t="s">
        <v>4</v>
      </c>
      <c r="AH5" s="8" t="s">
        <v>5</v>
      </c>
      <c r="AI5" s="10"/>
      <c r="AK5" s="26">
        <f>COUNTIF($E5:$AI5,"ST*")</f>
        <v>10</v>
      </c>
      <c r="AL5" s="26">
        <f>COUNTIF($E5:$AI5,"M*")</f>
        <v>4</v>
      </c>
      <c r="AM5" s="26">
        <f>COUNTIF($E5:$AI5,"A*")</f>
        <v>3</v>
      </c>
      <c r="AN5" s="26">
        <f>COUNTIF($E5:$AI5,"N*")</f>
        <v>3</v>
      </c>
      <c r="AO5" s="26">
        <f>COUNTIF($E5:$AI5,"O*")</f>
        <v>10</v>
      </c>
    </row>
    <row r="6" spans="2:41" ht="18.75" x14ac:dyDescent="0.25">
      <c r="B6" s="40" t="s">
        <v>11</v>
      </c>
      <c r="C6" s="40"/>
      <c r="E6" s="27" t="s">
        <v>59</v>
      </c>
      <c r="F6" s="27" t="s">
        <v>61</v>
      </c>
      <c r="G6" s="27" t="s">
        <v>3</v>
      </c>
      <c r="H6" s="27" t="s">
        <v>4</v>
      </c>
      <c r="I6" s="27" t="s">
        <v>5</v>
      </c>
      <c r="J6" s="27" t="s">
        <v>6</v>
      </c>
      <c r="K6" s="27" t="s">
        <v>7</v>
      </c>
      <c r="L6" s="27" t="s">
        <v>62</v>
      </c>
      <c r="M6" s="27" t="s">
        <v>62</v>
      </c>
      <c r="N6" s="27" t="s">
        <v>59</v>
      </c>
      <c r="O6" s="27" t="s">
        <v>61</v>
      </c>
      <c r="P6" s="27" t="s">
        <v>3</v>
      </c>
      <c r="Q6" s="27" t="s">
        <v>5</v>
      </c>
      <c r="R6" s="27" t="s">
        <v>6</v>
      </c>
      <c r="S6" s="27" t="s">
        <v>7</v>
      </c>
      <c r="T6" s="27" t="s">
        <v>0</v>
      </c>
      <c r="U6" s="27" t="s">
        <v>1</v>
      </c>
      <c r="V6" s="27" t="s">
        <v>2</v>
      </c>
      <c r="W6" s="27" t="s">
        <v>61</v>
      </c>
      <c r="X6" s="27" t="s">
        <v>3</v>
      </c>
      <c r="Y6" s="27" t="s">
        <v>5</v>
      </c>
      <c r="Z6" s="27" t="s">
        <v>6</v>
      </c>
      <c r="AA6" s="27" t="s">
        <v>7</v>
      </c>
      <c r="AB6" s="27" t="s">
        <v>0</v>
      </c>
      <c r="AC6" s="27" t="s">
        <v>62</v>
      </c>
      <c r="AD6" s="27" t="s">
        <v>2</v>
      </c>
      <c r="AE6" s="27" t="s">
        <v>3</v>
      </c>
      <c r="AF6" s="27" t="s">
        <v>4</v>
      </c>
      <c r="AG6" s="27" t="s">
        <v>5</v>
      </c>
      <c r="AH6" s="9" t="s">
        <v>6</v>
      </c>
      <c r="AI6" s="2"/>
      <c r="AK6" s="26">
        <f t="shared" ref="AK6:AK22" si="0">COUNTIF($E6:$AI6,"ST*")</f>
        <v>8</v>
      </c>
      <c r="AL6" s="26">
        <f t="shared" ref="AL6:AL22" si="1">COUNTIF($E6:$AI6,"M*")</f>
        <v>3</v>
      </c>
      <c r="AM6" s="26">
        <f t="shared" ref="AM6:AM22" si="2">COUNTIF($E6:$AI6,"A*")</f>
        <v>2</v>
      </c>
      <c r="AN6" s="26">
        <f t="shared" ref="AN6:AN22" si="3">COUNTIF($E6:$AI6,"N*")</f>
        <v>6</v>
      </c>
      <c r="AO6" s="26">
        <f t="shared" ref="AO6:AO22" si="4">COUNTIF($E6:$AI6,"O*")</f>
        <v>11</v>
      </c>
    </row>
    <row r="7" spans="2:41" ht="18.75" x14ac:dyDescent="0.25">
      <c r="B7" s="40" t="s">
        <v>12</v>
      </c>
      <c r="C7" s="40"/>
      <c r="E7" s="27" t="s">
        <v>2</v>
      </c>
      <c r="F7" s="27" t="s">
        <v>3</v>
      </c>
      <c r="G7" s="27" t="s">
        <v>4</v>
      </c>
      <c r="H7" s="27" t="s">
        <v>5</v>
      </c>
      <c r="I7" s="27" t="s">
        <v>6</v>
      </c>
      <c r="J7" s="27" t="s">
        <v>7</v>
      </c>
      <c r="K7" s="27" t="s">
        <v>58</v>
      </c>
      <c r="L7" s="27" t="s">
        <v>62</v>
      </c>
      <c r="M7" s="27" t="s">
        <v>59</v>
      </c>
      <c r="N7" s="27" t="s">
        <v>3</v>
      </c>
      <c r="O7" s="27" t="s">
        <v>4</v>
      </c>
      <c r="P7" s="27" t="s">
        <v>5</v>
      </c>
      <c r="Q7" s="27" t="s">
        <v>6</v>
      </c>
      <c r="R7" s="27" t="s">
        <v>7</v>
      </c>
      <c r="S7" s="27" t="s">
        <v>58</v>
      </c>
      <c r="T7" s="27" t="s">
        <v>62</v>
      </c>
      <c r="U7" s="27" t="s">
        <v>59</v>
      </c>
      <c r="V7" s="27" t="s">
        <v>60</v>
      </c>
      <c r="W7" s="27" t="s">
        <v>76</v>
      </c>
      <c r="X7" s="27" t="s">
        <v>5</v>
      </c>
      <c r="Y7" s="27" t="s">
        <v>6</v>
      </c>
      <c r="Z7" s="27" t="s">
        <v>7</v>
      </c>
      <c r="AA7" s="27" t="s">
        <v>0</v>
      </c>
      <c r="AB7" s="27" t="s">
        <v>1</v>
      </c>
      <c r="AC7" s="27" t="s">
        <v>2</v>
      </c>
      <c r="AD7" s="27" t="s">
        <v>3</v>
      </c>
      <c r="AE7" s="27" t="s">
        <v>4</v>
      </c>
      <c r="AF7" s="27" t="s">
        <v>5</v>
      </c>
      <c r="AG7" s="27" t="s">
        <v>6</v>
      </c>
      <c r="AH7" s="9" t="s">
        <v>7</v>
      </c>
      <c r="AI7" s="2"/>
      <c r="AK7" s="26">
        <f t="shared" si="0"/>
        <v>8</v>
      </c>
      <c r="AL7" s="26">
        <f t="shared" si="1"/>
        <v>2</v>
      </c>
      <c r="AM7" s="26">
        <f t="shared" si="2"/>
        <v>2</v>
      </c>
      <c r="AN7" s="26">
        <f t="shared" si="3"/>
        <v>6</v>
      </c>
      <c r="AO7" s="26">
        <f t="shared" si="4"/>
        <v>12</v>
      </c>
    </row>
    <row r="8" spans="2:41" ht="18.75" x14ac:dyDescent="0.25">
      <c r="B8" s="40" t="s">
        <v>13</v>
      </c>
      <c r="C8" s="40"/>
      <c r="E8" s="27" t="s">
        <v>3</v>
      </c>
      <c r="F8" s="27" t="s">
        <v>4</v>
      </c>
      <c r="G8" s="27" t="s">
        <v>5</v>
      </c>
      <c r="H8" s="27" t="s">
        <v>6</v>
      </c>
      <c r="I8" s="27" t="s">
        <v>7</v>
      </c>
      <c r="J8" s="27" t="s">
        <v>58</v>
      </c>
      <c r="K8" s="27" t="s">
        <v>62</v>
      </c>
      <c r="L8" s="27" t="s">
        <v>44</v>
      </c>
      <c r="M8" s="27" t="s">
        <v>3</v>
      </c>
      <c r="N8" s="27" t="s">
        <v>4</v>
      </c>
      <c r="O8" s="27" t="s">
        <v>5</v>
      </c>
      <c r="P8" s="27" t="s">
        <v>6</v>
      </c>
      <c r="Q8" s="27" t="s">
        <v>7</v>
      </c>
      <c r="R8" s="27" t="s">
        <v>58</v>
      </c>
      <c r="S8" s="27" t="s">
        <v>62</v>
      </c>
      <c r="T8" s="27" t="s">
        <v>2</v>
      </c>
      <c r="U8" s="27" t="s">
        <v>60</v>
      </c>
      <c r="V8" s="27" t="s">
        <v>4</v>
      </c>
      <c r="W8" s="27" t="s">
        <v>5</v>
      </c>
      <c r="X8" s="27" t="s">
        <v>6</v>
      </c>
      <c r="Y8" s="27" t="s">
        <v>7</v>
      </c>
      <c r="Z8" s="27" t="s">
        <v>0</v>
      </c>
      <c r="AA8" s="27" t="s">
        <v>2</v>
      </c>
      <c r="AB8" s="27" t="s">
        <v>44</v>
      </c>
      <c r="AC8" s="27" t="s">
        <v>78</v>
      </c>
      <c r="AD8" s="27" t="s">
        <v>3</v>
      </c>
      <c r="AE8" s="27" t="s">
        <v>5</v>
      </c>
      <c r="AF8" s="27" t="s">
        <v>6</v>
      </c>
      <c r="AG8" s="27" t="s">
        <v>7</v>
      </c>
      <c r="AH8" s="9" t="s">
        <v>0</v>
      </c>
      <c r="AI8" s="2"/>
      <c r="AK8" s="26">
        <f t="shared" si="0"/>
        <v>5</v>
      </c>
      <c r="AL8" s="26">
        <f t="shared" si="1"/>
        <v>2</v>
      </c>
      <c r="AM8" s="26">
        <f t="shared" si="2"/>
        <v>5</v>
      </c>
      <c r="AN8" s="26">
        <f t="shared" si="3"/>
        <v>6</v>
      </c>
      <c r="AO8" s="26">
        <f t="shared" si="4"/>
        <v>12</v>
      </c>
    </row>
    <row r="9" spans="2:41" ht="18.75" x14ac:dyDescent="0.25">
      <c r="B9" s="40" t="s">
        <v>14</v>
      </c>
      <c r="C9" s="40"/>
      <c r="E9" s="27" t="s">
        <v>4</v>
      </c>
      <c r="F9" s="27" t="s">
        <v>5</v>
      </c>
      <c r="G9" s="27" t="s">
        <v>6</v>
      </c>
      <c r="H9" s="27" t="s">
        <v>7</v>
      </c>
      <c r="I9" s="27" t="s">
        <v>0</v>
      </c>
      <c r="J9" s="27" t="s">
        <v>1</v>
      </c>
      <c r="K9" s="27" t="s">
        <v>2</v>
      </c>
      <c r="L9" s="27" t="s">
        <v>3</v>
      </c>
      <c r="M9" s="27" t="s">
        <v>4</v>
      </c>
      <c r="N9" s="27" t="s">
        <v>5</v>
      </c>
      <c r="O9" s="27" t="s">
        <v>6</v>
      </c>
      <c r="P9" s="27" t="s">
        <v>7</v>
      </c>
      <c r="Q9" s="27" t="s">
        <v>0</v>
      </c>
      <c r="R9" s="27" t="s">
        <v>1</v>
      </c>
      <c r="S9" s="27" t="s">
        <v>2</v>
      </c>
      <c r="T9" s="27" t="s">
        <v>44</v>
      </c>
      <c r="U9" s="27" t="s">
        <v>3</v>
      </c>
      <c r="V9" s="27" t="s">
        <v>5</v>
      </c>
      <c r="W9" s="27" t="s">
        <v>6</v>
      </c>
      <c r="X9" s="27" t="s">
        <v>7</v>
      </c>
      <c r="Y9" s="27" t="s">
        <v>58</v>
      </c>
      <c r="Z9" s="27" t="s">
        <v>62</v>
      </c>
      <c r="AA9" s="27" t="s">
        <v>59</v>
      </c>
      <c r="AB9" s="27" t="s">
        <v>61</v>
      </c>
      <c r="AC9" s="27" t="s">
        <v>60</v>
      </c>
      <c r="AD9" s="27" t="s">
        <v>5</v>
      </c>
      <c r="AE9" s="27" t="s">
        <v>6</v>
      </c>
      <c r="AF9" s="27" t="s">
        <v>7</v>
      </c>
      <c r="AG9" s="27" t="s">
        <v>58</v>
      </c>
      <c r="AH9" s="9" t="s">
        <v>2</v>
      </c>
      <c r="AI9" s="2"/>
      <c r="AK9" s="26">
        <f t="shared" si="0"/>
        <v>6</v>
      </c>
      <c r="AL9" s="26">
        <f t="shared" si="1"/>
        <v>4</v>
      </c>
      <c r="AM9" s="26">
        <f t="shared" si="2"/>
        <v>4</v>
      </c>
      <c r="AN9" s="26">
        <f t="shared" si="3"/>
        <v>4</v>
      </c>
      <c r="AO9" s="26">
        <f t="shared" si="4"/>
        <v>12</v>
      </c>
    </row>
    <row r="10" spans="2:41" ht="18.75" x14ac:dyDescent="0.25">
      <c r="B10" s="40" t="s">
        <v>15</v>
      </c>
      <c r="C10" s="40"/>
      <c r="E10" s="27" t="s">
        <v>5</v>
      </c>
      <c r="F10" s="27" t="s">
        <v>6</v>
      </c>
      <c r="G10" s="27" t="s">
        <v>7</v>
      </c>
      <c r="H10" s="27" t="s">
        <v>0</v>
      </c>
      <c r="I10" s="27" t="s">
        <v>2</v>
      </c>
      <c r="J10" s="27" t="s">
        <v>44</v>
      </c>
      <c r="K10" s="27" t="s">
        <v>3</v>
      </c>
      <c r="L10" s="27" t="s">
        <v>4</v>
      </c>
      <c r="M10" s="27" t="s">
        <v>5</v>
      </c>
      <c r="N10" s="27" t="s">
        <v>6</v>
      </c>
      <c r="O10" s="27" t="s">
        <v>7</v>
      </c>
      <c r="P10" s="27" t="s">
        <v>0</v>
      </c>
      <c r="Q10" s="27" t="s">
        <v>1</v>
      </c>
      <c r="R10" s="27" t="s">
        <v>2</v>
      </c>
      <c r="S10" s="27" t="s">
        <v>44</v>
      </c>
      <c r="T10" s="27" t="s">
        <v>3</v>
      </c>
      <c r="U10" s="27" t="s">
        <v>5</v>
      </c>
      <c r="V10" s="27" t="s">
        <v>6</v>
      </c>
      <c r="W10" s="27" t="s">
        <v>7</v>
      </c>
      <c r="X10" s="27" t="s">
        <v>58</v>
      </c>
      <c r="Y10" s="27" t="s">
        <v>62</v>
      </c>
      <c r="Z10" s="27" t="s">
        <v>2</v>
      </c>
      <c r="AA10" s="27" t="s">
        <v>44</v>
      </c>
      <c r="AB10" s="27" t="s">
        <v>3</v>
      </c>
      <c r="AC10" s="27" t="s">
        <v>5</v>
      </c>
      <c r="AD10" s="27" t="s">
        <v>6</v>
      </c>
      <c r="AE10" s="27" t="s">
        <v>7</v>
      </c>
      <c r="AF10" s="27" t="s">
        <v>0</v>
      </c>
      <c r="AG10" s="27" t="s">
        <v>1</v>
      </c>
      <c r="AH10" s="9" t="s">
        <v>2</v>
      </c>
      <c r="AI10" s="2"/>
      <c r="AK10" s="26">
        <f t="shared" si="0"/>
        <v>2</v>
      </c>
      <c r="AL10" s="26">
        <f t="shared" si="1"/>
        <v>5</v>
      </c>
      <c r="AM10" s="26">
        <f t="shared" si="2"/>
        <v>7</v>
      </c>
      <c r="AN10" s="26">
        <f t="shared" si="3"/>
        <v>4</v>
      </c>
      <c r="AO10" s="26">
        <f t="shared" si="4"/>
        <v>12</v>
      </c>
    </row>
    <row r="11" spans="2:41" ht="18.75" x14ac:dyDescent="0.25">
      <c r="B11" s="40" t="s">
        <v>16</v>
      </c>
      <c r="C11" s="40"/>
      <c r="E11" s="27" t="s">
        <v>6</v>
      </c>
      <c r="F11" s="27" t="s">
        <v>7</v>
      </c>
      <c r="G11" s="27" t="s">
        <v>58</v>
      </c>
      <c r="H11" s="27" t="s">
        <v>2</v>
      </c>
      <c r="I11" s="27" t="s">
        <v>44</v>
      </c>
      <c r="J11" s="27" t="s">
        <v>3</v>
      </c>
      <c r="K11" s="27" t="s">
        <v>4</v>
      </c>
      <c r="L11" s="27" t="s">
        <v>5</v>
      </c>
      <c r="M11" s="27" t="s">
        <v>6</v>
      </c>
      <c r="N11" s="27" t="s">
        <v>7</v>
      </c>
      <c r="O11" s="27" t="s">
        <v>0</v>
      </c>
      <c r="P11" s="27" t="s">
        <v>1</v>
      </c>
      <c r="Q11" s="27" t="s">
        <v>2</v>
      </c>
      <c r="R11" s="27" t="s">
        <v>60</v>
      </c>
      <c r="S11" s="27" t="s">
        <v>4</v>
      </c>
      <c r="T11" s="27" t="s">
        <v>5</v>
      </c>
      <c r="U11" s="27" t="s">
        <v>6</v>
      </c>
      <c r="V11" s="27" t="s">
        <v>7</v>
      </c>
      <c r="W11" s="27" t="s">
        <v>0</v>
      </c>
      <c r="X11" s="27" t="s">
        <v>59</v>
      </c>
      <c r="Y11" s="27" t="s">
        <v>44</v>
      </c>
      <c r="Z11" s="27" t="s">
        <v>3</v>
      </c>
      <c r="AA11" s="27" t="s">
        <v>4</v>
      </c>
      <c r="AB11" s="27" t="s">
        <v>5</v>
      </c>
      <c r="AC11" s="27" t="s">
        <v>6</v>
      </c>
      <c r="AD11" s="27" t="s">
        <v>7</v>
      </c>
      <c r="AE11" s="27" t="s">
        <v>0</v>
      </c>
      <c r="AF11" s="27" t="s">
        <v>59</v>
      </c>
      <c r="AG11" s="27" t="s">
        <v>44</v>
      </c>
      <c r="AH11" s="9" t="s">
        <v>3</v>
      </c>
      <c r="AI11" s="2"/>
      <c r="AK11" s="26">
        <f t="shared" si="0"/>
        <v>4</v>
      </c>
      <c r="AL11" s="26">
        <f t="shared" si="1"/>
        <v>4</v>
      </c>
      <c r="AM11" s="26">
        <f t="shared" si="2"/>
        <v>5</v>
      </c>
      <c r="AN11" s="26">
        <f t="shared" si="3"/>
        <v>6</v>
      </c>
      <c r="AO11" s="26">
        <f t="shared" si="4"/>
        <v>11</v>
      </c>
    </row>
    <row r="12" spans="2:41" ht="18.75" x14ac:dyDescent="0.25">
      <c r="B12" s="40" t="s">
        <v>17</v>
      </c>
      <c r="C12" s="40"/>
      <c r="E12" s="27" t="s">
        <v>7</v>
      </c>
      <c r="F12" s="27" t="s">
        <v>58</v>
      </c>
      <c r="G12" s="27" t="s">
        <v>1</v>
      </c>
      <c r="H12" s="27" t="s">
        <v>44</v>
      </c>
      <c r="I12" s="27" t="s">
        <v>60</v>
      </c>
      <c r="J12" s="27" t="s">
        <v>4</v>
      </c>
      <c r="K12" s="27" t="s">
        <v>5</v>
      </c>
      <c r="L12" s="27" t="s">
        <v>6</v>
      </c>
      <c r="M12" s="27" t="s">
        <v>7</v>
      </c>
      <c r="N12" s="27" t="s">
        <v>0</v>
      </c>
      <c r="O12" s="27" t="s">
        <v>62</v>
      </c>
      <c r="P12" s="27" t="s">
        <v>2</v>
      </c>
      <c r="Q12" s="27" t="s">
        <v>3</v>
      </c>
      <c r="R12" s="27" t="s">
        <v>4</v>
      </c>
      <c r="S12" s="27" t="s">
        <v>5</v>
      </c>
      <c r="T12" s="27" t="s">
        <v>6</v>
      </c>
      <c r="U12" s="27" t="s">
        <v>7</v>
      </c>
      <c r="V12" s="27" t="s">
        <v>58</v>
      </c>
      <c r="W12" s="27" t="s">
        <v>1</v>
      </c>
      <c r="X12" s="27" t="s">
        <v>2</v>
      </c>
      <c r="Y12" s="27" t="s">
        <v>60</v>
      </c>
      <c r="Z12" s="27" t="s">
        <v>4</v>
      </c>
      <c r="AA12" s="27" t="s">
        <v>5</v>
      </c>
      <c r="AB12" s="27" t="s">
        <v>6</v>
      </c>
      <c r="AC12" s="27" t="s">
        <v>7</v>
      </c>
      <c r="AD12" s="27" t="s">
        <v>58</v>
      </c>
      <c r="AE12" s="27" t="s">
        <v>62</v>
      </c>
      <c r="AF12" s="27" t="s">
        <v>59</v>
      </c>
      <c r="AG12" s="27" t="s">
        <v>61</v>
      </c>
      <c r="AH12" s="9" t="s">
        <v>60</v>
      </c>
      <c r="AI12" s="2"/>
      <c r="AK12" s="26">
        <f t="shared" si="0"/>
        <v>10</v>
      </c>
      <c r="AL12" s="26">
        <f t="shared" si="1"/>
        <v>3</v>
      </c>
      <c r="AM12" s="26">
        <f t="shared" si="2"/>
        <v>3</v>
      </c>
      <c r="AN12" s="26">
        <f t="shared" si="3"/>
        <v>4</v>
      </c>
      <c r="AO12" s="26">
        <f t="shared" si="4"/>
        <v>10</v>
      </c>
    </row>
    <row r="13" spans="2:41" ht="18.75" x14ac:dyDescent="0.25">
      <c r="B13" s="40" t="s">
        <v>18</v>
      </c>
      <c r="C13" s="40"/>
      <c r="E13" s="27" t="s">
        <v>0</v>
      </c>
      <c r="F13" s="27" t="s">
        <v>1</v>
      </c>
      <c r="G13" s="27" t="s">
        <v>44</v>
      </c>
      <c r="H13" s="27" t="s">
        <v>3</v>
      </c>
      <c r="I13" s="27" t="s">
        <v>4</v>
      </c>
      <c r="J13" s="27" t="s">
        <v>5</v>
      </c>
      <c r="K13" s="27" t="s">
        <v>6</v>
      </c>
      <c r="L13" s="27" t="s">
        <v>7</v>
      </c>
      <c r="M13" s="27" t="s">
        <v>0</v>
      </c>
      <c r="N13" s="27" t="s">
        <v>1</v>
      </c>
      <c r="O13" s="27" t="s">
        <v>2</v>
      </c>
      <c r="P13" s="27" t="s">
        <v>60</v>
      </c>
      <c r="Q13" s="27" t="s">
        <v>4</v>
      </c>
      <c r="R13" s="27" t="s">
        <v>5</v>
      </c>
      <c r="S13" s="27" t="s">
        <v>6</v>
      </c>
      <c r="T13" s="27" t="s">
        <v>7</v>
      </c>
      <c r="U13" s="27" t="s">
        <v>58</v>
      </c>
      <c r="V13" s="27" t="s">
        <v>1</v>
      </c>
      <c r="W13" s="27" t="s">
        <v>2</v>
      </c>
      <c r="X13" s="27" t="s">
        <v>44</v>
      </c>
      <c r="Y13" s="27" t="s">
        <v>3</v>
      </c>
      <c r="Z13" s="27" t="s">
        <v>5</v>
      </c>
      <c r="AA13" s="27" t="s">
        <v>6</v>
      </c>
      <c r="AB13" s="27" t="s">
        <v>7</v>
      </c>
      <c r="AC13" s="27" t="s">
        <v>0</v>
      </c>
      <c r="AD13" s="27" t="s">
        <v>62</v>
      </c>
      <c r="AE13" s="27" t="s">
        <v>2</v>
      </c>
      <c r="AF13" s="27" t="s">
        <v>44</v>
      </c>
      <c r="AG13" s="27" t="s">
        <v>3</v>
      </c>
      <c r="AH13" s="9" t="s">
        <v>5</v>
      </c>
      <c r="AI13" s="2"/>
      <c r="AK13" s="26">
        <f t="shared" si="0"/>
        <v>3</v>
      </c>
      <c r="AL13" s="26">
        <f t="shared" si="1"/>
        <v>6</v>
      </c>
      <c r="AM13" s="26">
        <f t="shared" si="2"/>
        <v>6</v>
      </c>
      <c r="AN13" s="26">
        <f t="shared" si="3"/>
        <v>5</v>
      </c>
      <c r="AO13" s="26">
        <f t="shared" si="4"/>
        <v>10</v>
      </c>
    </row>
    <row r="14" spans="2:41" ht="18.75" x14ac:dyDescent="0.25">
      <c r="B14" s="40" t="s">
        <v>19</v>
      </c>
      <c r="C14" s="40"/>
      <c r="E14" s="27" t="s">
        <v>2</v>
      </c>
      <c r="F14" s="27" t="s">
        <v>44</v>
      </c>
      <c r="G14" s="27" t="s">
        <v>81</v>
      </c>
      <c r="H14" s="27" t="s">
        <v>4</v>
      </c>
      <c r="I14" s="27" t="s">
        <v>5</v>
      </c>
      <c r="J14" s="27" t="s">
        <v>6</v>
      </c>
      <c r="K14" s="27" t="s">
        <v>7</v>
      </c>
      <c r="L14" s="27" t="s">
        <v>0</v>
      </c>
      <c r="M14" s="27" t="s">
        <v>2</v>
      </c>
      <c r="N14" s="27" t="s">
        <v>44</v>
      </c>
      <c r="O14" s="27" t="s">
        <v>3</v>
      </c>
      <c r="P14" s="27" t="s">
        <v>4</v>
      </c>
      <c r="Q14" s="27" t="s">
        <v>5</v>
      </c>
      <c r="R14" s="27" t="s">
        <v>6</v>
      </c>
      <c r="S14" s="27" t="s">
        <v>7</v>
      </c>
      <c r="T14" s="27" t="s">
        <v>0</v>
      </c>
      <c r="U14" s="27" t="s">
        <v>2</v>
      </c>
      <c r="V14" s="27" t="s">
        <v>61</v>
      </c>
      <c r="W14" s="27" t="s">
        <v>3</v>
      </c>
      <c r="X14" s="27" t="s">
        <v>4</v>
      </c>
      <c r="Y14" s="27" t="s">
        <v>5</v>
      </c>
      <c r="Z14" s="27" t="s">
        <v>6</v>
      </c>
      <c r="AA14" s="27" t="s">
        <v>7</v>
      </c>
      <c r="AB14" s="27" t="s">
        <v>0</v>
      </c>
      <c r="AC14" s="27" t="s">
        <v>62</v>
      </c>
      <c r="AD14" s="27" t="s">
        <v>2</v>
      </c>
      <c r="AE14" s="27" t="s">
        <v>44</v>
      </c>
      <c r="AF14" s="27" t="s">
        <v>3</v>
      </c>
      <c r="AG14" s="27" t="s">
        <v>5</v>
      </c>
      <c r="AH14" s="9" t="s">
        <v>6</v>
      </c>
      <c r="AI14" s="2"/>
      <c r="AK14" s="26">
        <f t="shared" si="0"/>
        <v>3</v>
      </c>
      <c r="AL14" s="26">
        <f t="shared" si="1"/>
        <v>3</v>
      </c>
      <c r="AM14" s="26">
        <f t="shared" si="2"/>
        <v>7</v>
      </c>
      <c r="AN14" s="26">
        <f t="shared" si="3"/>
        <v>6</v>
      </c>
      <c r="AO14" s="26">
        <f t="shared" si="4"/>
        <v>11</v>
      </c>
    </row>
    <row r="15" spans="2:41" ht="18.75" x14ac:dyDescent="0.25">
      <c r="B15" s="40" t="s">
        <v>20</v>
      </c>
      <c r="C15" s="40"/>
      <c r="E15" s="27" t="s">
        <v>2</v>
      </c>
      <c r="F15" s="27" t="s">
        <v>44</v>
      </c>
      <c r="G15" s="27" t="s">
        <v>4</v>
      </c>
      <c r="H15" s="27" t="s">
        <v>5</v>
      </c>
      <c r="I15" s="27" t="s">
        <v>6</v>
      </c>
      <c r="J15" s="27" t="s">
        <v>7</v>
      </c>
      <c r="K15" s="27" t="s">
        <v>0</v>
      </c>
      <c r="L15" s="27" t="s">
        <v>1</v>
      </c>
      <c r="M15" s="27" t="s">
        <v>59</v>
      </c>
      <c r="N15" s="27" t="s">
        <v>44</v>
      </c>
      <c r="O15" s="27" t="s">
        <v>4</v>
      </c>
      <c r="P15" s="27" t="s">
        <v>5</v>
      </c>
      <c r="Q15" s="27" t="s">
        <v>6</v>
      </c>
      <c r="R15" s="27" t="s">
        <v>7</v>
      </c>
      <c r="S15" s="27" t="s">
        <v>0</v>
      </c>
      <c r="T15" s="27" t="s">
        <v>62</v>
      </c>
      <c r="U15" s="27" t="s">
        <v>2</v>
      </c>
      <c r="V15" s="27" t="s">
        <v>44</v>
      </c>
      <c r="W15" s="27" t="s">
        <v>3</v>
      </c>
      <c r="X15" s="27" t="s">
        <v>5</v>
      </c>
      <c r="Y15" s="27" t="s">
        <v>6</v>
      </c>
      <c r="Z15" s="27" t="s">
        <v>7</v>
      </c>
      <c r="AA15" s="27" t="s">
        <v>0</v>
      </c>
      <c r="AB15" s="27" t="s">
        <v>62</v>
      </c>
      <c r="AC15" s="27" t="s">
        <v>2</v>
      </c>
      <c r="AD15" s="27" t="s">
        <v>44</v>
      </c>
      <c r="AE15" s="27" t="s">
        <v>3</v>
      </c>
      <c r="AF15" s="27" t="s">
        <v>5</v>
      </c>
      <c r="AG15" s="27" t="s">
        <v>6</v>
      </c>
      <c r="AH15" s="9" t="s">
        <v>7</v>
      </c>
      <c r="AI15" s="2"/>
      <c r="AK15" s="26">
        <f t="shared" si="0"/>
        <v>3</v>
      </c>
      <c r="AL15" s="26">
        <f t="shared" si="1"/>
        <v>4</v>
      </c>
      <c r="AM15" s="26">
        <f t="shared" si="2"/>
        <v>7</v>
      </c>
      <c r="AN15" s="26">
        <f t="shared" si="3"/>
        <v>4</v>
      </c>
      <c r="AO15" s="26">
        <f t="shared" si="4"/>
        <v>12</v>
      </c>
    </row>
    <row r="16" spans="2:41" ht="18.75" x14ac:dyDescent="0.25">
      <c r="B16" s="40" t="s">
        <v>21</v>
      </c>
      <c r="C16" s="40"/>
      <c r="E16" s="27" t="s">
        <v>59</v>
      </c>
      <c r="F16" s="27" t="s">
        <v>4</v>
      </c>
      <c r="G16" s="27" t="s">
        <v>5</v>
      </c>
      <c r="H16" s="27" t="s">
        <v>6</v>
      </c>
      <c r="I16" s="27" t="s">
        <v>7</v>
      </c>
      <c r="J16" s="27" t="s">
        <v>0</v>
      </c>
      <c r="K16" s="27" t="s">
        <v>1</v>
      </c>
      <c r="L16" s="27" t="s">
        <v>2</v>
      </c>
      <c r="M16" s="27" t="s">
        <v>44</v>
      </c>
      <c r="N16" s="27" t="s">
        <v>3</v>
      </c>
      <c r="O16" s="27" t="s">
        <v>5</v>
      </c>
      <c r="P16" s="27" t="s">
        <v>6</v>
      </c>
      <c r="Q16" s="27" t="s">
        <v>7</v>
      </c>
      <c r="R16" s="27" t="s">
        <v>0</v>
      </c>
      <c r="S16" s="27" t="s">
        <v>1</v>
      </c>
      <c r="T16" s="27" t="s">
        <v>2</v>
      </c>
      <c r="U16" s="27" t="s">
        <v>3</v>
      </c>
      <c r="V16" s="27" t="s">
        <v>4</v>
      </c>
      <c r="W16" s="27" t="s">
        <v>5</v>
      </c>
      <c r="X16" s="27" t="s">
        <v>6</v>
      </c>
      <c r="Y16" s="27" t="s">
        <v>7</v>
      </c>
      <c r="Z16" s="27" t="s">
        <v>0</v>
      </c>
      <c r="AA16" s="27" t="s">
        <v>62</v>
      </c>
      <c r="AB16" s="27" t="s">
        <v>2</v>
      </c>
      <c r="AC16" s="27" t="s">
        <v>3</v>
      </c>
      <c r="AD16" s="27" t="s">
        <v>4</v>
      </c>
      <c r="AE16" s="27" t="s">
        <v>5</v>
      </c>
      <c r="AF16" s="27" t="s">
        <v>6</v>
      </c>
      <c r="AG16" s="27" t="s">
        <v>7</v>
      </c>
      <c r="AH16" s="9" t="s">
        <v>0</v>
      </c>
      <c r="AI16" s="2"/>
      <c r="AK16" s="26">
        <f t="shared" si="0"/>
        <v>2</v>
      </c>
      <c r="AL16" s="26">
        <f t="shared" si="1"/>
        <v>6</v>
      </c>
      <c r="AM16" s="26">
        <f t="shared" si="2"/>
        <v>4</v>
      </c>
      <c r="AN16" s="26">
        <f t="shared" si="3"/>
        <v>6</v>
      </c>
      <c r="AO16" s="26">
        <f t="shared" si="4"/>
        <v>12</v>
      </c>
    </row>
    <row r="17" spans="2:41" ht="18.75" x14ac:dyDescent="0.25">
      <c r="B17" s="40" t="s">
        <v>22</v>
      </c>
      <c r="C17" s="40"/>
      <c r="E17" s="27" t="s">
        <v>4</v>
      </c>
      <c r="F17" s="27" t="s">
        <v>5</v>
      </c>
      <c r="G17" s="27" t="s">
        <v>6</v>
      </c>
      <c r="H17" s="27" t="s">
        <v>7</v>
      </c>
      <c r="I17" s="27" t="s">
        <v>0</v>
      </c>
      <c r="J17" s="27" t="s">
        <v>1</v>
      </c>
      <c r="K17" s="27" t="s">
        <v>2</v>
      </c>
      <c r="L17" s="27" t="s">
        <v>44</v>
      </c>
      <c r="M17" s="27" t="s">
        <v>3</v>
      </c>
      <c r="N17" s="27" t="s">
        <v>5</v>
      </c>
      <c r="O17" s="27" t="s">
        <v>6</v>
      </c>
      <c r="P17" s="27" t="s">
        <v>7</v>
      </c>
      <c r="Q17" s="27" t="s">
        <v>0</v>
      </c>
      <c r="R17" s="27" t="s">
        <v>2</v>
      </c>
      <c r="S17" s="27" t="s">
        <v>44</v>
      </c>
      <c r="T17" s="27" t="s">
        <v>3</v>
      </c>
      <c r="U17" s="27" t="s">
        <v>4</v>
      </c>
      <c r="V17" s="27" t="s">
        <v>5</v>
      </c>
      <c r="W17" s="27" t="s">
        <v>6</v>
      </c>
      <c r="X17" s="27" t="s">
        <v>7</v>
      </c>
      <c r="Y17" s="27" t="s">
        <v>0</v>
      </c>
      <c r="Z17" s="27" t="s">
        <v>2</v>
      </c>
      <c r="AA17" s="27" t="s">
        <v>44</v>
      </c>
      <c r="AB17" s="27" t="s">
        <v>3</v>
      </c>
      <c r="AC17" s="27" t="s">
        <v>4</v>
      </c>
      <c r="AD17" s="27" t="s">
        <v>5</v>
      </c>
      <c r="AE17" s="27" t="s">
        <v>6</v>
      </c>
      <c r="AF17" s="27" t="s">
        <v>7</v>
      </c>
      <c r="AG17" s="27" t="s">
        <v>0</v>
      </c>
      <c r="AH17" s="9" t="s">
        <v>2</v>
      </c>
      <c r="AI17" s="2"/>
      <c r="AK17" s="26">
        <f t="shared" si="0"/>
        <v>0</v>
      </c>
      <c r="AL17" s="26">
        <f t="shared" si="1"/>
        <v>5</v>
      </c>
      <c r="AM17" s="26">
        <f t="shared" si="2"/>
        <v>7</v>
      </c>
      <c r="AN17" s="26">
        <f t="shared" si="3"/>
        <v>6</v>
      </c>
      <c r="AO17" s="26">
        <f t="shared" si="4"/>
        <v>12</v>
      </c>
    </row>
    <row r="18" spans="2:41" ht="18.75" x14ac:dyDescent="0.25">
      <c r="B18" s="40" t="s">
        <v>23</v>
      </c>
      <c r="C18" s="40"/>
      <c r="E18" s="27" t="s">
        <v>5</v>
      </c>
      <c r="F18" s="27" t="s">
        <v>6</v>
      </c>
      <c r="G18" s="27" t="s">
        <v>7</v>
      </c>
      <c r="H18" s="27" t="s">
        <v>0</v>
      </c>
      <c r="I18" s="27" t="s">
        <v>1</v>
      </c>
      <c r="J18" s="27" t="s">
        <v>2</v>
      </c>
      <c r="K18" s="27" t="s">
        <v>44</v>
      </c>
      <c r="L18" s="27" t="s">
        <v>3</v>
      </c>
      <c r="M18" s="27" t="s">
        <v>5</v>
      </c>
      <c r="N18" s="27" t="s">
        <v>6</v>
      </c>
      <c r="O18" s="27" t="s">
        <v>7</v>
      </c>
      <c r="P18" s="27" t="s">
        <v>0</v>
      </c>
      <c r="Q18" s="27" t="s">
        <v>2</v>
      </c>
      <c r="R18" s="27" t="s">
        <v>44</v>
      </c>
      <c r="S18" s="27" t="s">
        <v>3</v>
      </c>
      <c r="T18" s="27" t="s">
        <v>4</v>
      </c>
      <c r="U18" s="27" t="s">
        <v>5</v>
      </c>
      <c r="V18" s="27" t="s">
        <v>6</v>
      </c>
      <c r="W18" s="27" t="s">
        <v>7</v>
      </c>
      <c r="X18" s="27" t="s">
        <v>0</v>
      </c>
      <c r="Y18" s="27" t="s">
        <v>1</v>
      </c>
      <c r="Z18" s="27" t="s">
        <v>44</v>
      </c>
      <c r="AA18" s="27" t="s">
        <v>3</v>
      </c>
      <c r="AB18" s="27" t="s">
        <v>4</v>
      </c>
      <c r="AC18" s="27" t="s">
        <v>5</v>
      </c>
      <c r="AD18" s="27" t="s">
        <v>6</v>
      </c>
      <c r="AE18" s="27" t="s">
        <v>7</v>
      </c>
      <c r="AF18" s="27" t="s">
        <v>0</v>
      </c>
      <c r="AG18" s="27" t="s">
        <v>2</v>
      </c>
      <c r="AH18" s="9" t="s">
        <v>3</v>
      </c>
      <c r="AI18" s="2"/>
      <c r="AK18" s="26">
        <f t="shared" si="0"/>
        <v>0</v>
      </c>
      <c r="AL18" s="26">
        <f t="shared" si="1"/>
        <v>6</v>
      </c>
      <c r="AM18" s="26">
        <f t="shared" si="2"/>
        <v>6</v>
      </c>
      <c r="AN18" s="26">
        <f t="shared" si="3"/>
        <v>6</v>
      </c>
      <c r="AO18" s="26">
        <f t="shared" si="4"/>
        <v>12</v>
      </c>
    </row>
    <row r="19" spans="2:41" ht="18.75" x14ac:dyDescent="0.25">
      <c r="B19" s="40" t="s">
        <v>24</v>
      </c>
      <c r="C19" s="40"/>
      <c r="E19" s="27" t="s">
        <v>6</v>
      </c>
      <c r="F19" s="27" t="s">
        <v>7</v>
      </c>
      <c r="G19" s="27" t="s">
        <v>0</v>
      </c>
      <c r="H19" s="27" t="s">
        <v>1</v>
      </c>
      <c r="I19" s="27" t="s">
        <v>2</v>
      </c>
      <c r="J19" s="27" t="s">
        <v>44</v>
      </c>
      <c r="K19" s="27" t="s">
        <v>4</v>
      </c>
      <c r="L19" s="27" t="s">
        <v>5</v>
      </c>
      <c r="M19" s="27" t="s">
        <v>6</v>
      </c>
      <c r="N19" s="27" t="s">
        <v>7</v>
      </c>
      <c r="O19" s="27" t="s">
        <v>0</v>
      </c>
      <c r="P19" s="27" t="s">
        <v>2</v>
      </c>
      <c r="Q19" s="27" t="s">
        <v>44</v>
      </c>
      <c r="R19" s="27" t="s">
        <v>3</v>
      </c>
      <c r="S19" s="27" t="s">
        <v>4</v>
      </c>
      <c r="T19" s="27" t="s">
        <v>5</v>
      </c>
      <c r="U19" s="27" t="s">
        <v>6</v>
      </c>
      <c r="V19" s="27" t="s">
        <v>7</v>
      </c>
      <c r="W19" s="27" t="s">
        <v>0</v>
      </c>
      <c r="X19" s="27" t="s">
        <v>1</v>
      </c>
      <c r="Y19" s="27" t="s">
        <v>2</v>
      </c>
      <c r="Z19" s="27" t="s">
        <v>60</v>
      </c>
      <c r="AA19" s="27" t="s">
        <v>4</v>
      </c>
      <c r="AB19" s="27" t="s">
        <v>5</v>
      </c>
      <c r="AC19" s="27" t="s">
        <v>6</v>
      </c>
      <c r="AD19" s="27" t="s">
        <v>7</v>
      </c>
      <c r="AE19" s="27" t="s">
        <v>0</v>
      </c>
      <c r="AF19" s="27" t="s">
        <v>2</v>
      </c>
      <c r="AG19" s="27" t="s">
        <v>44</v>
      </c>
      <c r="AH19" s="9" t="s">
        <v>60</v>
      </c>
      <c r="AI19" s="2"/>
      <c r="AK19" s="26">
        <f t="shared" si="0"/>
        <v>2</v>
      </c>
      <c r="AL19" s="26">
        <f t="shared" si="1"/>
        <v>6</v>
      </c>
      <c r="AM19" s="26">
        <f t="shared" si="2"/>
        <v>7</v>
      </c>
      <c r="AN19" s="26">
        <f t="shared" si="3"/>
        <v>4</v>
      </c>
      <c r="AO19" s="26">
        <f t="shared" si="4"/>
        <v>11</v>
      </c>
    </row>
    <row r="20" spans="2:41" ht="18.75" x14ac:dyDescent="0.25">
      <c r="B20" s="47" t="s">
        <v>25</v>
      </c>
      <c r="C20" s="48"/>
      <c r="E20" s="27" t="s">
        <v>7</v>
      </c>
      <c r="F20" s="27" t="s">
        <v>0</v>
      </c>
      <c r="G20" s="27" t="s">
        <v>1</v>
      </c>
      <c r="H20" s="27" t="s">
        <v>59</v>
      </c>
      <c r="I20" s="27" t="s">
        <v>3</v>
      </c>
      <c r="J20" s="27" t="s">
        <v>4</v>
      </c>
      <c r="K20" s="27" t="s">
        <v>5</v>
      </c>
      <c r="L20" s="27" t="s">
        <v>6</v>
      </c>
      <c r="M20" s="27" t="s">
        <v>7</v>
      </c>
      <c r="N20" s="27" t="s">
        <v>58</v>
      </c>
      <c r="O20" s="27" t="s">
        <v>2</v>
      </c>
      <c r="P20" s="27" t="s">
        <v>44</v>
      </c>
      <c r="Q20" s="27" t="s">
        <v>60</v>
      </c>
      <c r="R20" s="27" t="s">
        <v>4</v>
      </c>
      <c r="S20" s="27" t="s">
        <v>5</v>
      </c>
      <c r="T20" s="27" t="s">
        <v>6</v>
      </c>
      <c r="U20" s="27" t="s">
        <v>7</v>
      </c>
      <c r="V20" s="27" t="s">
        <v>0</v>
      </c>
      <c r="W20" s="27" t="s">
        <v>1</v>
      </c>
      <c r="X20" s="27" t="s">
        <v>70</v>
      </c>
      <c r="Y20" s="27" t="s">
        <v>44</v>
      </c>
      <c r="Z20" s="27" t="s">
        <v>4</v>
      </c>
      <c r="AA20" s="27" t="s">
        <v>5</v>
      </c>
      <c r="AB20" s="27" t="s">
        <v>6</v>
      </c>
      <c r="AC20" s="27" t="s">
        <v>7</v>
      </c>
      <c r="AD20" s="27" t="s">
        <v>0</v>
      </c>
      <c r="AE20" s="27" t="s">
        <v>1</v>
      </c>
      <c r="AF20" s="27" t="s">
        <v>2</v>
      </c>
      <c r="AG20" s="27" t="s">
        <v>60</v>
      </c>
      <c r="AH20" s="9" t="s">
        <v>4</v>
      </c>
      <c r="AI20" s="2"/>
      <c r="AK20" s="26"/>
      <c r="AL20" s="26"/>
      <c r="AM20" s="26"/>
      <c r="AN20" s="26"/>
      <c r="AO20" s="26"/>
    </row>
    <row r="21" spans="2:41" ht="18.75" x14ac:dyDescent="0.25">
      <c r="B21" s="47" t="s">
        <v>26</v>
      </c>
      <c r="C21" s="48"/>
      <c r="E21" s="27" t="s">
        <v>0</v>
      </c>
      <c r="F21" s="27" t="s">
        <v>2</v>
      </c>
      <c r="G21" s="27" t="s">
        <v>44</v>
      </c>
      <c r="H21" s="27" t="s">
        <v>60</v>
      </c>
      <c r="I21" s="27" t="s">
        <v>4</v>
      </c>
      <c r="J21" s="27" t="s">
        <v>5</v>
      </c>
      <c r="K21" s="27" t="s">
        <v>6</v>
      </c>
      <c r="L21" s="27" t="s">
        <v>7</v>
      </c>
      <c r="M21" s="27" t="s">
        <v>0</v>
      </c>
      <c r="N21" s="27" t="s">
        <v>1</v>
      </c>
      <c r="O21" s="27" t="s">
        <v>2</v>
      </c>
      <c r="P21" s="27" t="s">
        <v>3</v>
      </c>
      <c r="Q21" s="27" t="s">
        <v>4</v>
      </c>
      <c r="R21" s="27" t="s">
        <v>5</v>
      </c>
      <c r="S21" s="27" t="s">
        <v>6</v>
      </c>
      <c r="T21" s="27" t="s">
        <v>7</v>
      </c>
      <c r="U21" s="27" t="s">
        <v>0</v>
      </c>
      <c r="V21" s="27" t="s">
        <v>1</v>
      </c>
      <c r="W21" s="27" t="s">
        <v>2</v>
      </c>
      <c r="X21" s="27" t="s">
        <v>3</v>
      </c>
      <c r="Y21" s="27" t="s">
        <v>4</v>
      </c>
      <c r="Z21" s="27" t="s">
        <v>5</v>
      </c>
      <c r="AA21" s="27" t="s">
        <v>6</v>
      </c>
      <c r="AB21" s="27" t="s">
        <v>7</v>
      </c>
      <c r="AC21" s="27" t="s">
        <v>0</v>
      </c>
      <c r="AD21" s="27" t="s">
        <v>1</v>
      </c>
      <c r="AE21" s="27" t="s">
        <v>2</v>
      </c>
      <c r="AF21" s="27" t="s">
        <v>60</v>
      </c>
      <c r="AG21" s="27" t="s">
        <v>4</v>
      </c>
      <c r="AH21" s="9" t="s">
        <v>5</v>
      </c>
      <c r="AI21" s="2"/>
      <c r="AK21" s="26"/>
      <c r="AL21" s="26"/>
      <c r="AM21" s="26"/>
      <c r="AN21" s="26"/>
      <c r="AO21" s="26"/>
    </row>
    <row r="22" spans="2:41" ht="18.75" x14ac:dyDescent="0.25">
      <c r="B22" s="40" t="s">
        <v>27</v>
      </c>
      <c r="C22" s="40"/>
      <c r="E22" s="27" t="s">
        <v>1</v>
      </c>
      <c r="F22" s="27" t="s">
        <v>70</v>
      </c>
      <c r="G22" s="27" t="s">
        <v>71</v>
      </c>
      <c r="H22" s="27" t="s">
        <v>72</v>
      </c>
      <c r="I22" s="27" t="s">
        <v>5</v>
      </c>
      <c r="J22" s="27" t="s">
        <v>6</v>
      </c>
      <c r="K22" s="27" t="s">
        <v>0</v>
      </c>
      <c r="L22" s="27" t="s">
        <v>1</v>
      </c>
      <c r="M22" s="27" t="s">
        <v>70</v>
      </c>
      <c r="N22" s="27" t="s">
        <v>71</v>
      </c>
      <c r="O22" s="27" t="s">
        <v>72</v>
      </c>
      <c r="P22" s="27" t="s">
        <v>5</v>
      </c>
      <c r="Q22" s="27" t="s">
        <v>6</v>
      </c>
      <c r="R22" s="27" t="s">
        <v>0</v>
      </c>
      <c r="S22" s="27" t="s">
        <v>1</v>
      </c>
      <c r="T22" s="27" t="s">
        <v>70</v>
      </c>
      <c r="U22" s="27" t="s">
        <v>71</v>
      </c>
      <c r="V22" s="27" t="s">
        <v>72</v>
      </c>
      <c r="W22" s="27" t="s">
        <v>5</v>
      </c>
      <c r="X22" s="27" t="s">
        <v>6</v>
      </c>
      <c r="Y22" s="27" t="s">
        <v>0</v>
      </c>
      <c r="Z22" s="27" t="s">
        <v>1</v>
      </c>
      <c r="AA22" s="27" t="s">
        <v>70</v>
      </c>
      <c r="AB22" s="27" t="s">
        <v>71</v>
      </c>
      <c r="AC22" s="27" t="s">
        <v>72</v>
      </c>
      <c r="AD22" s="27" t="s">
        <v>5</v>
      </c>
      <c r="AE22" s="27" t="s">
        <v>6</v>
      </c>
      <c r="AF22" s="27" t="s">
        <v>0</v>
      </c>
      <c r="AG22" s="27" t="s">
        <v>1</v>
      </c>
      <c r="AH22" s="9" t="s">
        <v>70</v>
      </c>
      <c r="AI22" s="2"/>
      <c r="AK22" s="26">
        <f t="shared" si="0"/>
        <v>0</v>
      </c>
      <c r="AL22" s="26">
        <f t="shared" si="1"/>
        <v>22</v>
      </c>
      <c r="AM22" s="26">
        <f t="shared" si="2"/>
        <v>0</v>
      </c>
      <c r="AN22" s="26">
        <f t="shared" si="3"/>
        <v>0</v>
      </c>
      <c r="AO22" s="26">
        <f t="shared" si="4"/>
        <v>8</v>
      </c>
    </row>
    <row r="23" spans="2:41" x14ac:dyDescent="0.25">
      <c r="E23" s="3" t="s">
        <v>45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2:41" ht="18.75" x14ac:dyDescent="0.3">
      <c r="B24" s="49" t="s">
        <v>41</v>
      </c>
      <c r="C24" s="49"/>
      <c r="D24" s="20"/>
      <c r="E24" s="21">
        <f t="shared" ref="E24:AH24" si="5">COUNTIF(E$5:E$22,"M*")</f>
        <v>3</v>
      </c>
      <c r="F24" s="21">
        <f t="shared" si="5"/>
        <v>3</v>
      </c>
      <c r="G24" s="21">
        <f t="shared" si="5"/>
        <v>4</v>
      </c>
      <c r="H24" s="21">
        <f t="shared" si="5"/>
        <v>4</v>
      </c>
      <c r="I24" s="21">
        <f t="shared" si="5"/>
        <v>3</v>
      </c>
      <c r="J24" s="21">
        <f t="shared" si="5"/>
        <v>3</v>
      </c>
      <c r="K24" s="21">
        <f t="shared" si="5"/>
        <v>3</v>
      </c>
      <c r="L24" s="21">
        <f t="shared" si="5"/>
        <v>3</v>
      </c>
      <c r="M24" s="21">
        <f t="shared" si="5"/>
        <v>4</v>
      </c>
      <c r="N24" s="21">
        <f t="shared" si="5"/>
        <v>4</v>
      </c>
      <c r="O24" s="21">
        <f t="shared" si="5"/>
        <v>3</v>
      </c>
      <c r="P24" s="21">
        <f t="shared" si="5"/>
        <v>3</v>
      </c>
      <c r="Q24" s="21">
        <f t="shared" si="5"/>
        <v>3</v>
      </c>
      <c r="R24" s="21">
        <f t="shared" si="5"/>
        <v>3</v>
      </c>
      <c r="S24" s="21">
        <f t="shared" si="5"/>
        <v>3</v>
      </c>
      <c r="T24" s="21">
        <f t="shared" si="5"/>
        <v>3</v>
      </c>
      <c r="U24" s="21">
        <f t="shared" si="5"/>
        <v>4</v>
      </c>
      <c r="V24" s="21">
        <f t="shared" si="5"/>
        <v>4</v>
      </c>
      <c r="W24" s="21">
        <f t="shared" si="5"/>
        <v>4</v>
      </c>
      <c r="X24" s="21">
        <f t="shared" si="5"/>
        <v>3</v>
      </c>
      <c r="Y24" s="21">
        <f t="shared" si="5"/>
        <v>3</v>
      </c>
      <c r="Z24" s="21">
        <f t="shared" si="5"/>
        <v>3</v>
      </c>
      <c r="AA24" s="21">
        <f t="shared" si="5"/>
        <v>3</v>
      </c>
      <c r="AB24" s="21">
        <f t="shared" si="5"/>
        <v>4</v>
      </c>
      <c r="AC24" s="21">
        <f t="shared" si="5"/>
        <v>4</v>
      </c>
      <c r="AD24" s="21">
        <f t="shared" si="5"/>
        <v>3</v>
      </c>
      <c r="AE24" s="21">
        <f t="shared" si="5"/>
        <v>3</v>
      </c>
      <c r="AF24" s="21">
        <f t="shared" si="5"/>
        <v>3</v>
      </c>
      <c r="AG24" s="21">
        <f t="shared" si="5"/>
        <v>3</v>
      </c>
      <c r="AH24" s="21">
        <f t="shared" si="5"/>
        <v>3</v>
      </c>
      <c r="AI24" s="21" t="s">
        <v>45</v>
      </c>
    </row>
    <row r="25" spans="2:41" ht="18.75" x14ac:dyDescent="0.3">
      <c r="B25" s="49" t="s">
        <v>42</v>
      </c>
      <c r="C25" s="49"/>
      <c r="D25" s="20"/>
      <c r="E25" s="21">
        <f t="shared" ref="E25:AH25" si="6">COUNTIF(E$5:E$22,"A*")</f>
        <v>3</v>
      </c>
      <c r="F25" s="21">
        <f t="shared" si="6"/>
        <v>3</v>
      </c>
      <c r="G25" s="21">
        <f t="shared" si="6"/>
        <v>2</v>
      </c>
      <c r="H25" s="21">
        <f t="shared" si="6"/>
        <v>2</v>
      </c>
      <c r="I25" s="21">
        <f t="shared" si="6"/>
        <v>3</v>
      </c>
      <c r="J25" s="21">
        <f t="shared" si="6"/>
        <v>3</v>
      </c>
      <c r="K25" s="21">
        <f t="shared" si="6"/>
        <v>3</v>
      </c>
      <c r="L25" s="21">
        <f t="shared" si="6"/>
        <v>3</v>
      </c>
      <c r="M25" s="21">
        <f t="shared" si="6"/>
        <v>2</v>
      </c>
      <c r="N25" s="21">
        <f t="shared" si="6"/>
        <v>2</v>
      </c>
      <c r="O25" s="21">
        <f t="shared" si="6"/>
        <v>3</v>
      </c>
      <c r="P25" s="21">
        <f t="shared" si="6"/>
        <v>3</v>
      </c>
      <c r="Q25" s="21">
        <f t="shared" si="6"/>
        <v>3</v>
      </c>
      <c r="R25" s="21">
        <f t="shared" si="6"/>
        <v>3</v>
      </c>
      <c r="S25" s="21">
        <f t="shared" si="6"/>
        <v>3</v>
      </c>
      <c r="T25" s="21">
        <f t="shared" si="6"/>
        <v>3</v>
      </c>
      <c r="U25" s="21">
        <f t="shared" si="6"/>
        <v>2</v>
      </c>
      <c r="V25" s="21">
        <f t="shared" si="6"/>
        <v>3</v>
      </c>
      <c r="W25" s="21">
        <f t="shared" si="6"/>
        <v>3</v>
      </c>
      <c r="X25" s="21">
        <f t="shared" si="6"/>
        <v>3</v>
      </c>
      <c r="Y25" s="21">
        <f t="shared" si="6"/>
        <v>3</v>
      </c>
      <c r="Z25" s="21">
        <f t="shared" si="6"/>
        <v>3</v>
      </c>
      <c r="AA25" s="21">
        <f t="shared" si="6"/>
        <v>3</v>
      </c>
      <c r="AB25" s="21">
        <f t="shared" si="6"/>
        <v>2</v>
      </c>
      <c r="AC25" s="21">
        <f t="shared" si="6"/>
        <v>3</v>
      </c>
      <c r="AD25" s="21">
        <f t="shared" si="6"/>
        <v>3</v>
      </c>
      <c r="AE25" s="21">
        <f t="shared" si="6"/>
        <v>3</v>
      </c>
      <c r="AF25" s="21">
        <f t="shared" si="6"/>
        <v>3</v>
      </c>
      <c r="AG25" s="21">
        <f t="shared" si="6"/>
        <v>3</v>
      </c>
      <c r="AH25" s="21">
        <f t="shared" si="6"/>
        <v>3</v>
      </c>
      <c r="AI25" s="21" t="s">
        <v>45</v>
      </c>
    </row>
    <row r="26" spans="2:41" ht="18.75" x14ac:dyDescent="0.3">
      <c r="B26" s="49" t="s">
        <v>8</v>
      </c>
      <c r="C26" s="49"/>
      <c r="D26" s="20"/>
      <c r="E26" s="21">
        <f t="shared" ref="E26:AH26" si="7">COUNTIF(E$5:E$22,"N*")</f>
        <v>3</v>
      </c>
      <c r="F26" s="21">
        <f t="shared" si="7"/>
        <v>3</v>
      </c>
      <c r="G26" s="21">
        <f t="shared" si="7"/>
        <v>3</v>
      </c>
      <c r="H26" s="21">
        <f t="shared" si="7"/>
        <v>3</v>
      </c>
      <c r="I26" s="21">
        <f t="shared" si="7"/>
        <v>3</v>
      </c>
      <c r="J26" s="21">
        <f t="shared" si="7"/>
        <v>3</v>
      </c>
      <c r="K26" s="21">
        <f t="shared" si="7"/>
        <v>3</v>
      </c>
      <c r="L26" s="21">
        <f t="shared" si="7"/>
        <v>3</v>
      </c>
      <c r="M26" s="21">
        <f t="shared" si="7"/>
        <v>3</v>
      </c>
      <c r="N26" s="21">
        <f t="shared" si="7"/>
        <v>3</v>
      </c>
      <c r="O26" s="21">
        <f t="shared" si="7"/>
        <v>3</v>
      </c>
      <c r="P26" s="21">
        <f t="shared" si="7"/>
        <v>3</v>
      </c>
      <c r="Q26" s="21">
        <f t="shared" si="7"/>
        <v>3</v>
      </c>
      <c r="R26" s="21">
        <f t="shared" si="7"/>
        <v>3</v>
      </c>
      <c r="S26" s="21">
        <f t="shared" si="7"/>
        <v>3</v>
      </c>
      <c r="T26" s="21">
        <f t="shared" si="7"/>
        <v>3</v>
      </c>
      <c r="U26" s="21">
        <f t="shared" si="7"/>
        <v>3</v>
      </c>
      <c r="V26" s="21">
        <f t="shared" si="7"/>
        <v>2</v>
      </c>
      <c r="W26" s="21">
        <f t="shared" si="7"/>
        <v>2</v>
      </c>
      <c r="X26" s="21">
        <f t="shared" si="7"/>
        <v>3</v>
      </c>
      <c r="Y26" s="21">
        <f t="shared" si="7"/>
        <v>3</v>
      </c>
      <c r="Z26" s="21">
        <f t="shared" si="7"/>
        <v>3</v>
      </c>
      <c r="AA26" s="21">
        <f t="shared" si="7"/>
        <v>3</v>
      </c>
      <c r="AB26" s="21">
        <f t="shared" si="7"/>
        <v>3</v>
      </c>
      <c r="AC26" s="21">
        <f t="shared" si="7"/>
        <v>2</v>
      </c>
      <c r="AD26" s="21">
        <f t="shared" si="7"/>
        <v>3</v>
      </c>
      <c r="AE26" s="21">
        <f t="shared" si="7"/>
        <v>3</v>
      </c>
      <c r="AF26" s="21">
        <f t="shared" si="7"/>
        <v>3</v>
      </c>
      <c r="AG26" s="21">
        <f t="shared" si="7"/>
        <v>3</v>
      </c>
      <c r="AH26" s="21">
        <f t="shared" si="7"/>
        <v>3</v>
      </c>
      <c r="AI26" s="21" t="s">
        <v>45</v>
      </c>
    </row>
    <row r="27" spans="2:41" ht="18.75" x14ac:dyDescent="0.3">
      <c r="B27" s="49" t="s">
        <v>9</v>
      </c>
      <c r="C27" s="49"/>
      <c r="D27" s="20"/>
      <c r="E27" s="21">
        <f t="shared" ref="E27:AH27" si="8">COUNTIF(E$5:E$22,"O*")</f>
        <v>6</v>
      </c>
      <c r="F27" s="21">
        <f t="shared" si="8"/>
        <v>6</v>
      </c>
      <c r="G27" s="21">
        <f t="shared" si="8"/>
        <v>6</v>
      </c>
      <c r="H27" s="21">
        <f t="shared" si="8"/>
        <v>6</v>
      </c>
      <c r="I27" s="21">
        <f t="shared" si="8"/>
        <v>7</v>
      </c>
      <c r="J27" s="21">
        <f t="shared" si="8"/>
        <v>8</v>
      </c>
      <c r="K27" s="21">
        <f t="shared" si="8"/>
        <v>7</v>
      </c>
      <c r="L27" s="21">
        <f t="shared" si="8"/>
        <v>7</v>
      </c>
      <c r="M27" s="21">
        <f t="shared" si="8"/>
        <v>6</v>
      </c>
      <c r="N27" s="21">
        <f t="shared" si="8"/>
        <v>6</v>
      </c>
      <c r="O27" s="21">
        <f t="shared" si="8"/>
        <v>6</v>
      </c>
      <c r="P27" s="21">
        <f t="shared" si="8"/>
        <v>7</v>
      </c>
      <c r="Q27" s="21">
        <f t="shared" si="8"/>
        <v>7</v>
      </c>
      <c r="R27" s="21">
        <f t="shared" si="8"/>
        <v>7</v>
      </c>
      <c r="S27" s="21">
        <f t="shared" si="8"/>
        <v>7</v>
      </c>
      <c r="T27" s="21">
        <f t="shared" si="8"/>
        <v>7</v>
      </c>
      <c r="U27" s="21">
        <f t="shared" si="8"/>
        <v>6</v>
      </c>
      <c r="V27" s="21">
        <f t="shared" si="8"/>
        <v>6</v>
      </c>
      <c r="W27" s="21">
        <f t="shared" si="8"/>
        <v>7</v>
      </c>
      <c r="X27" s="21">
        <f t="shared" si="8"/>
        <v>7</v>
      </c>
      <c r="Y27" s="21">
        <f t="shared" si="8"/>
        <v>6</v>
      </c>
      <c r="Z27" s="21">
        <f t="shared" si="8"/>
        <v>7</v>
      </c>
      <c r="AA27" s="21">
        <f t="shared" si="8"/>
        <v>7</v>
      </c>
      <c r="AB27" s="21">
        <f t="shared" si="8"/>
        <v>7</v>
      </c>
      <c r="AC27" s="21">
        <f t="shared" si="8"/>
        <v>6</v>
      </c>
      <c r="AD27" s="21">
        <f t="shared" si="8"/>
        <v>7</v>
      </c>
      <c r="AE27" s="21">
        <f t="shared" si="8"/>
        <v>7</v>
      </c>
      <c r="AF27" s="21">
        <f t="shared" si="8"/>
        <v>6</v>
      </c>
      <c r="AG27" s="21">
        <f t="shared" si="8"/>
        <v>6</v>
      </c>
      <c r="AH27" s="21">
        <f t="shared" si="8"/>
        <v>7</v>
      </c>
      <c r="AI27" s="21" t="s">
        <v>45</v>
      </c>
    </row>
    <row r="28" spans="2:41" ht="18.75" x14ac:dyDescent="0.3">
      <c r="B28" s="45" t="s">
        <v>57</v>
      </c>
      <c r="C28" s="46"/>
      <c r="D28" s="20"/>
      <c r="E28" s="21">
        <f t="shared" ref="E28:AH28" si="9">COUNTIF(E$5:E$22,"ST*")</f>
        <v>3</v>
      </c>
      <c r="F28" s="21">
        <f t="shared" si="9"/>
        <v>3</v>
      </c>
      <c r="G28" s="21">
        <f t="shared" si="9"/>
        <v>3</v>
      </c>
      <c r="H28" s="21">
        <f t="shared" si="9"/>
        <v>3</v>
      </c>
      <c r="I28" s="21">
        <f t="shared" si="9"/>
        <v>2</v>
      </c>
      <c r="J28" s="21">
        <f t="shared" si="9"/>
        <v>1</v>
      </c>
      <c r="K28" s="21">
        <f t="shared" si="9"/>
        <v>2</v>
      </c>
      <c r="L28" s="21">
        <f t="shared" si="9"/>
        <v>2</v>
      </c>
      <c r="M28" s="21">
        <f t="shared" si="9"/>
        <v>3</v>
      </c>
      <c r="N28" s="21">
        <f t="shared" si="9"/>
        <v>3</v>
      </c>
      <c r="O28" s="21">
        <f t="shared" si="9"/>
        <v>3</v>
      </c>
      <c r="P28" s="21">
        <f t="shared" si="9"/>
        <v>2</v>
      </c>
      <c r="Q28" s="21">
        <f t="shared" si="9"/>
        <v>2</v>
      </c>
      <c r="R28" s="21">
        <f t="shared" si="9"/>
        <v>2</v>
      </c>
      <c r="S28" s="21">
        <f t="shared" si="9"/>
        <v>2</v>
      </c>
      <c r="T28" s="21">
        <f t="shared" si="9"/>
        <v>2</v>
      </c>
      <c r="U28" s="21">
        <f t="shared" si="9"/>
        <v>3</v>
      </c>
      <c r="V28" s="21">
        <f t="shared" si="9"/>
        <v>3</v>
      </c>
      <c r="W28" s="21">
        <f t="shared" si="9"/>
        <v>2</v>
      </c>
      <c r="X28" s="21">
        <f t="shared" si="9"/>
        <v>2</v>
      </c>
      <c r="Y28" s="21">
        <f t="shared" si="9"/>
        <v>3</v>
      </c>
      <c r="Z28" s="21">
        <f t="shared" si="9"/>
        <v>2</v>
      </c>
      <c r="AA28" s="21">
        <f t="shared" si="9"/>
        <v>2</v>
      </c>
      <c r="AB28" s="21">
        <f t="shared" si="9"/>
        <v>2</v>
      </c>
      <c r="AC28" s="21">
        <f t="shared" si="9"/>
        <v>3</v>
      </c>
      <c r="AD28" s="21">
        <f t="shared" si="9"/>
        <v>2</v>
      </c>
      <c r="AE28" s="21">
        <f t="shared" si="9"/>
        <v>2</v>
      </c>
      <c r="AF28" s="21">
        <f t="shared" si="9"/>
        <v>3</v>
      </c>
      <c r="AG28" s="21">
        <f t="shared" si="9"/>
        <v>3</v>
      </c>
      <c r="AH28" s="21">
        <f t="shared" si="9"/>
        <v>2</v>
      </c>
      <c r="AI28" s="21" t="s">
        <v>45</v>
      </c>
    </row>
    <row r="29" spans="2:41" ht="18.75" x14ac:dyDescent="0.3">
      <c r="B29" s="50" t="s">
        <v>55</v>
      </c>
      <c r="C29" s="50"/>
      <c r="D29" s="22"/>
      <c r="E29" s="23">
        <f>E31-E32</f>
        <v>0</v>
      </c>
      <c r="F29" s="23">
        <f t="shared" ref="F29:AH29" si="10">F31-F32</f>
        <v>0</v>
      </c>
      <c r="G29" s="23">
        <f t="shared" si="10"/>
        <v>0</v>
      </c>
      <c r="H29" s="23">
        <f t="shared" si="10"/>
        <v>0</v>
      </c>
      <c r="I29" s="23">
        <f t="shared" si="10"/>
        <v>0</v>
      </c>
      <c r="J29" s="23">
        <f t="shared" si="10"/>
        <v>0</v>
      </c>
      <c r="K29" s="23">
        <f t="shared" si="10"/>
        <v>0</v>
      </c>
      <c r="L29" s="23">
        <f t="shared" si="10"/>
        <v>0</v>
      </c>
      <c r="M29" s="23">
        <f t="shared" si="10"/>
        <v>0</v>
      </c>
      <c r="N29" s="23">
        <f t="shared" si="10"/>
        <v>0</v>
      </c>
      <c r="O29" s="23">
        <f t="shared" si="10"/>
        <v>0</v>
      </c>
      <c r="P29" s="23">
        <f t="shared" si="10"/>
        <v>0</v>
      </c>
      <c r="Q29" s="23">
        <f t="shared" si="10"/>
        <v>0</v>
      </c>
      <c r="R29" s="23">
        <f t="shared" si="10"/>
        <v>0</v>
      </c>
      <c r="S29" s="23">
        <f t="shared" si="10"/>
        <v>0</v>
      </c>
      <c r="T29" s="23">
        <f t="shared" si="10"/>
        <v>0</v>
      </c>
      <c r="U29" s="23">
        <f t="shared" si="10"/>
        <v>0</v>
      </c>
      <c r="V29" s="23">
        <f t="shared" si="10"/>
        <v>0</v>
      </c>
      <c r="W29" s="23">
        <f t="shared" si="10"/>
        <v>0</v>
      </c>
      <c r="X29" s="23">
        <f t="shared" si="10"/>
        <v>0</v>
      </c>
      <c r="Y29" s="23">
        <f t="shared" si="10"/>
        <v>0</v>
      </c>
      <c r="Z29" s="23">
        <f t="shared" si="10"/>
        <v>0</v>
      </c>
      <c r="AA29" s="23">
        <f t="shared" si="10"/>
        <v>0</v>
      </c>
      <c r="AB29" s="23">
        <f t="shared" si="10"/>
        <v>0</v>
      </c>
      <c r="AC29" s="23">
        <f t="shared" si="10"/>
        <v>0</v>
      </c>
      <c r="AD29" s="23">
        <f t="shared" si="10"/>
        <v>0</v>
      </c>
      <c r="AE29" s="23">
        <f t="shared" si="10"/>
        <v>0</v>
      </c>
      <c r="AF29" s="23">
        <f t="shared" si="10"/>
        <v>0</v>
      </c>
      <c r="AG29" s="23">
        <f t="shared" si="10"/>
        <v>0</v>
      </c>
      <c r="AH29" s="23">
        <f t="shared" si="10"/>
        <v>0</v>
      </c>
      <c r="AI29" s="23" t="s">
        <v>45</v>
      </c>
    </row>
    <row r="30" spans="2:41" ht="9.75" customHeight="1" x14ac:dyDescent="0.3">
      <c r="B30" s="24"/>
      <c r="C30" s="24"/>
      <c r="D30" s="20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</row>
    <row r="31" spans="2:41" ht="18.75" x14ac:dyDescent="0.3">
      <c r="B31" s="49" t="s">
        <v>53</v>
      </c>
      <c r="C31" s="49"/>
      <c r="D31" s="20"/>
      <c r="E31" s="25">
        <f>SUM(E24:E26)</f>
        <v>9</v>
      </c>
      <c r="F31" s="25">
        <f t="shared" ref="F31:AH31" si="11">SUM(F24:F26)</f>
        <v>9</v>
      </c>
      <c r="G31" s="25">
        <f t="shared" si="11"/>
        <v>9</v>
      </c>
      <c r="H31" s="25">
        <f t="shared" si="11"/>
        <v>9</v>
      </c>
      <c r="I31" s="25">
        <f t="shared" si="11"/>
        <v>9</v>
      </c>
      <c r="J31" s="25">
        <f t="shared" si="11"/>
        <v>9</v>
      </c>
      <c r="K31" s="25">
        <f t="shared" si="11"/>
        <v>9</v>
      </c>
      <c r="L31" s="25">
        <f t="shared" si="11"/>
        <v>9</v>
      </c>
      <c r="M31" s="25">
        <f t="shared" si="11"/>
        <v>9</v>
      </c>
      <c r="N31" s="25">
        <f t="shared" si="11"/>
        <v>9</v>
      </c>
      <c r="O31" s="25">
        <f t="shared" si="11"/>
        <v>9</v>
      </c>
      <c r="P31" s="25">
        <f t="shared" si="11"/>
        <v>9</v>
      </c>
      <c r="Q31" s="25">
        <f t="shared" si="11"/>
        <v>9</v>
      </c>
      <c r="R31" s="25">
        <f t="shared" si="11"/>
        <v>9</v>
      </c>
      <c r="S31" s="25">
        <f t="shared" si="11"/>
        <v>9</v>
      </c>
      <c r="T31" s="25">
        <f t="shared" si="11"/>
        <v>9</v>
      </c>
      <c r="U31" s="25">
        <f t="shared" si="11"/>
        <v>9</v>
      </c>
      <c r="V31" s="25">
        <f t="shared" si="11"/>
        <v>9</v>
      </c>
      <c r="W31" s="25">
        <f t="shared" si="11"/>
        <v>9</v>
      </c>
      <c r="X31" s="25">
        <f t="shared" si="11"/>
        <v>9</v>
      </c>
      <c r="Y31" s="25">
        <f t="shared" si="11"/>
        <v>9</v>
      </c>
      <c r="Z31" s="25">
        <f t="shared" si="11"/>
        <v>9</v>
      </c>
      <c r="AA31" s="25">
        <f t="shared" si="11"/>
        <v>9</v>
      </c>
      <c r="AB31" s="25">
        <f t="shared" si="11"/>
        <v>9</v>
      </c>
      <c r="AC31" s="25">
        <f t="shared" si="11"/>
        <v>9</v>
      </c>
      <c r="AD31" s="25">
        <f t="shared" si="11"/>
        <v>9</v>
      </c>
      <c r="AE31" s="25">
        <f t="shared" si="11"/>
        <v>9</v>
      </c>
      <c r="AF31" s="25">
        <f t="shared" si="11"/>
        <v>9</v>
      </c>
      <c r="AG31" s="25">
        <f t="shared" si="11"/>
        <v>9</v>
      </c>
      <c r="AH31" s="25">
        <f t="shared" si="11"/>
        <v>9</v>
      </c>
      <c r="AI31" s="25" t="s">
        <v>45</v>
      </c>
    </row>
    <row r="32" spans="2:41" ht="18" customHeight="1" x14ac:dyDescent="0.3">
      <c r="B32" s="49" t="s">
        <v>40</v>
      </c>
      <c r="C32" s="49"/>
      <c r="D32" s="20"/>
      <c r="E32" s="21">
        <v>9</v>
      </c>
      <c r="F32" s="21">
        <v>9</v>
      </c>
      <c r="G32" s="21">
        <v>9</v>
      </c>
      <c r="H32" s="21">
        <v>9</v>
      </c>
      <c r="I32" s="21">
        <v>9</v>
      </c>
      <c r="J32" s="21">
        <v>9</v>
      </c>
      <c r="K32" s="21">
        <v>9</v>
      </c>
      <c r="L32" s="21">
        <v>9</v>
      </c>
      <c r="M32" s="21">
        <v>9</v>
      </c>
      <c r="N32" s="21">
        <v>9</v>
      </c>
      <c r="O32" s="21">
        <v>9</v>
      </c>
      <c r="P32" s="21">
        <v>9</v>
      </c>
      <c r="Q32" s="21">
        <v>9</v>
      </c>
      <c r="R32" s="21">
        <v>9</v>
      </c>
      <c r="S32" s="21">
        <v>9</v>
      </c>
      <c r="T32" s="21">
        <v>9</v>
      </c>
      <c r="U32" s="21">
        <v>9</v>
      </c>
      <c r="V32" s="21">
        <v>9</v>
      </c>
      <c r="W32" s="21">
        <v>9</v>
      </c>
      <c r="X32" s="21">
        <v>9</v>
      </c>
      <c r="Y32" s="21">
        <v>9</v>
      </c>
      <c r="Z32" s="21">
        <v>9</v>
      </c>
      <c r="AA32" s="21">
        <v>9</v>
      </c>
      <c r="AB32" s="21">
        <v>9</v>
      </c>
      <c r="AC32" s="21">
        <v>9</v>
      </c>
      <c r="AD32" s="21">
        <v>9</v>
      </c>
      <c r="AE32" s="21">
        <v>9</v>
      </c>
      <c r="AF32" s="21">
        <v>9</v>
      </c>
      <c r="AG32" s="21">
        <v>9</v>
      </c>
      <c r="AH32" s="21">
        <v>9</v>
      </c>
      <c r="AI32" s="21" t="s">
        <v>45</v>
      </c>
    </row>
    <row r="33" spans="2:35" ht="18.75" x14ac:dyDescent="0.3">
      <c r="B33" s="49" t="s">
        <v>54</v>
      </c>
      <c r="C33" s="49"/>
      <c r="D33" s="20"/>
      <c r="E33" s="21">
        <f>SUM(E24,E25,E26,E27,E28)</f>
        <v>18</v>
      </c>
      <c r="F33" s="21">
        <f t="shared" ref="F33:AH33" si="12">SUM(F24,F25,F26,F27,F28)</f>
        <v>18</v>
      </c>
      <c r="G33" s="21">
        <f t="shared" si="12"/>
        <v>18</v>
      </c>
      <c r="H33" s="21">
        <f t="shared" si="12"/>
        <v>18</v>
      </c>
      <c r="I33" s="21">
        <f t="shared" si="12"/>
        <v>18</v>
      </c>
      <c r="J33" s="21">
        <f t="shared" si="12"/>
        <v>18</v>
      </c>
      <c r="K33" s="21">
        <f t="shared" si="12"/>
        <v>18</v>
      </c>
      <c r="L33" s="21">
        <f t="shared" si="12"/>
        <v>18</v>
      </c>
      <c r="M33" s="21">
        <f t="shared" si="12"/>
        <v>18</v>
      </c>
      <c r="N33" s="21">
        <f t="shared" si="12"/>
        <v>18</v>
      </c>
      <c r="O33" s="21">
        <f t="shared" si="12"/>
        <v>18</v>
      </c>
      <c r="P33" s="21">
        <f t="shared" si="12"/>
        <v>18</v>
      </c>
      <c r="Q33" s="21">
        <f t="shared" si="12"/>
        <v>18</v>
      </c>
      <c r="R33" s="21">
        <f t="shared" si="12"/>
        <v>18</v>
      </c>
      <c r="S33" s="21">
        <f t="shared" si="12"/>
        <v>18</v>
      </c>
      <c r="T33" s="21">
        <f t="shared" si="12"/>
        <v>18</v>
      </c>
      <c r="U33" s="21">
        <f t="shared" si="12"/>
        <v>18</v>
      </c>
      <c r="V33" s="21">
        <f t="shared" si="12"/>
        <v>18</v>
      </c>
      <c r="W33" s="21">
        <f t="shared" si="12"/>
        <v>18</v>
      </c>
      <c r="X33" s="21">
        <f t="shared" si="12"/>
        <v>18</v>
      </c>
      <c r="Y33" s="21">
        <f t="shared" si="12"/>
        <v>18</v>
      </c>
      <c r="Z33" s="21">
        <f t="shared" si="12"/>
        <v>18</v>
      </c>
      <c r="AA33" s="21">
        <f t="shared" si="12"/>
        <v>18</v>
      </c>
      <c r="AB33" s="21">
        <f t="shared" si="12"/>
        <v>18</v>
      </c>
      <c r="AC33" s="21">
        <f t="shared" si="12"/>
        <v>18</v>
      </c>
      <c r="AD33" s="21">
        <f t="shared" si="12"/>
        <v>18</v>
      </c>
      <c r="AE33" s="21">
        <f t="shared" si="12"/>
        <v>18</v>
      </c>
      <c r="AF33" s="21">
        <f t="shared" si="12"/>
        <v>18</v>
      </c>
      <c r="AG33" s="21">
        <f t="shared" si="12"/>
        <v>18</v>
      </c>
      <c r="AH33" s="21">
        <f t="shared" si="12"/>
        <v>18</v>
      </c>
      <c r="AI33" s="21" t="s">
        <v>45</v>
      </c>
    </row>
  </sheetData>
  <mergeCells count="35">
    <mergeCell ref="B29:C29"/>
    <mergeCell ref="E30:AI30"/>
    <mergeCell ref="B31:C31"/>
    <mergeCell ref="B32:C32"/>
    <mergeCell ref="B33:C33"/>
    <mergeCell ref="B28:C28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15:C15"/>
    <mergeCell ref="B3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O2:AO4"/>
    <mergeCell ref="E2:AI2"/>
    <mergeCell ref="AK2:AK4"/>
    <mergeCell ref="AL2:AL4"/>
    <mergeCell ref="AM2:AM4"/>
    <mergeCell ref="AN2:AN4"/>
  </mergeCells>
  <conditionalFormatting sqref="E6:AH18 F5:AH5 E22:AH22">
    <cfRule type="containsText" dxfId="1191" priority="39" operator="containsText" text="STM1">
      <formula>NOT(ISERROR(SEARCH("STM1",E5)))</formula>
    </cfRule>
    <cfRule type="containsText" dxfId="1190" priority="40" operator="containsText" text="STA">
      <formula>NOT(ISERROR(SEARCH("STA",E5)))</formula>
    </cfRule>
    <cfRule type="containsText" dxfId="1189" priority="41" operator="containsText" text="STM1">
      <formula>NOT(ISERROR(SEARCH("STM1",E5)))</formula>
    </cfRule>
    <cfRule type="containsText" dxfId="1188" priority="42" operator="containsText" text="O">
      <formula>NOT(ISERROR(SEARCH("O",E5)))</formula>
    </cfRule>
    <cfRule type="containsText" dxfId="1187" priority="43" operator="containsText" text="N">
      <formula>NOT(ISERROR(SEARCH("N",E5)))</formula>
    </cfRule>
    <cfRule type="containsText" dxfId="1186" priority="44" operator="containsText" text="A">
      <formula>NOT(ISERROR(SEARCH("A",E5)))</formula>
    </cfRule>
    <cfRule type="containsText" dxfId="1185" priority="45" operator="containsText" text="M">
      <formula>NOT(ISERROR(SEARCH("M",E5)))</formula>
    </cfRule>
  </conditionalFormatting>
  <conditionalFormatting sqref="E5:AH18 E22:AH22">
    <cfRule type="containsText" dxfId="1184" priority="31" operator="containsText" text="STN">
      <formula>NOT(ISERROR(SEARCH("STN",E5)))</formula>
    </cfRule>
    <cfRule type="containsText" dxfId="1183" priority="32" operator="containsText" text="STN">
      <formula>NOT(ISERROR(SEARCH("STN",E5)))</formula>
    </cfRule>
    <cfRule type="containsText" dxfId="1182" priority="33" operator="containsText" text="STM">
      <formula>NOT(ISERROR(SEARCH("STM",E5)))</formula>
    </cfRule>
    <cfRule type="containsText" dxfId="1181" priority="34" operator="containsText" text="M">
      <formula>NOT(ISERROR(SEARCH("M",E5)))</formula>
    </cfRule>
    <cfRule type="containsText" dxfId="1180" priority="35" operator="containsText" text="STM1">
      <formula>NOT(ISERROR(SEARCH("STM1",E5)))</formula>
    </cfRule>
    <cfRule type="containsText" dxfId="1179" priority="36" operator="containsText" text="M">
      <formula>NOT(ISERROR(SEARCH("M",E5)))</formula>
    </cfRule>
    <cfRule type="containsText" dxfId="1178" priority="37" operator="containsText" text="STM">
      <formula>NOT(ISERROR(SEARCH("STM",E5)))</formula>
    </cfRule>
    <cfRule type="containsText" dxfId="1177" priority="38" operator="containsText" text="STM">
      <formula>NOT(ISERROR(SEARCH("STM",E5)))</formula>
    </cfRule>
  </conditionalFormatting>
  <conditionalFormatting sqref="E19:AH19">
    <cfRule type="containsText" dxfId="1176" priority="24" operator="containsText" text="STM1">
      <formula>NOT(ISERROR(SEARCH("STM1",E19)))</formula>
    </cfRule>
    <cfRule type="containsText" dxfId="1175" priority="25" operator="containsText" text="STA">
      <formula>NOT(ISERROR(SEARCH("STA",E19)))</formula>
    </cfRule>
    <cfRule type="containsText" dxfId="1174" priority="26" operator="containsText" text="STM1">
      <formula>NOT(ISERROR(SEARCH("STM1",E19)))</formula>
    </cfRule>
    <cfRule type="containsText" dxfId="1173" priority="27" operator="containsText" text="O">
      <formula>NOT(ISERROR(SEARCH("O",E19)))</formula>
    </cfRule>
    <cfRule type="containsText" dxfId="1172" priority="28" operator="containsText" text="N">
      <formula>NOT(ISERROR(SEARCH("N",E19)))</formula>
    </cfRule>
    <cfRule type="containsText" dxfId="1171" priority="29" operator="containsText" text="A">
      <formula>NOT(ISERROR(SEARCH("A",E19)))</formula>
    </cfRule>
    <cfRule type="containsText" dxfId="1170" priority="30" operator="containsText" text="M">
      <formula>NOT(ISERROR(SEARCH("M",E19)))</formula>
    </cfRule>
  </conditionalFormatting>
  <conditionalFormatting sqref="E19:AH19">
    <cfRule type="containsText" dxfId="1169" priority="16" operator="containsText" text="STN">
      <formula>NOT(ISERROR(SEARCH("STN",E19)))</formula>
    </cfRule>
    <cfRule type="containsText" dxfId="1168" priority="17" operator="containsText" text="STN">
      <formula>NOT(ISERROR(SEARCH("STN",E19)))</formula>
    </cfRule>
    <cfRule type="containsText" dxfId="1167" priority="18" operator="containsText" text="STM">
      <formula>NOT(ISERROR(SEARCH("STM",E19)))</formula>
    </cfRule>
    <cfRule type="containsText" dxfId="1166" priority="19" operator="containsText" text="M">
      <formula>NOT(ISERROR(SEARCH("M",E19)))</formula>
    </cfRule>
    <cfRule type="containsText" dxfId="1165" priority="20" operator="containsText" text="STM1">
      <formula>NOT(ISERROR(SEARCH("STM1",E19)))</formula>
    </cfRule>
    <cfRule type="containsText" dxfId="1164" priority="21" operator="containsText" text="M">
      <formula>NOT(ISERROR(SEARCH("M",E19)))</formula>
    </cfRule>
    <cfRule type="containsText" dxfId="1163" priority="22" operator="containsText" text="STM">
      <formula>NOT(ISERROR(SEARCH("STM",E19)))</formula>
    </cfRule>
    <cfRule type="containsText" dxfId="1162" priority="23" operator="containsText" text="STM">
      <formula>NOT(ISERROR(SEARCH("STM",E19)))</formula>
    </cfRule>
  </conditionalFormatting>
  <conditionalFormatting sqref="E20:AH21">
    <cfRule type="containsText" dxfId="1161" priority="9" operator="containsText" text="STM1">
      <formula>NOT(ISERROR(SEARCH("STM1",E20)))</formula>
    </cfRule>
    <cfRule type="containsText" dxfId="1160" priority="10" operator="containsText" text="STA">
      <formula>NOT(ISERROR(SEARCH("STA",E20)))</formula>
    </cfRule>
    <cfRule type="containsText" dxfId="1159" priority="11" operator="containsText" text="STM1">
      <formula>NOT(ISERROR(SEARCH("STM1",E20)))</formula>
    </cfRule>
    <cfRule type="containsText" dxfId="1158" priority="12" operator="containsText" text="O">
      <formula>NOT(ISERROR(SEARCH("O",E20)))</formula>
    </cfRule>
    <cfRule type="containsText" dxfId="1157" priority="13" operator="containsText" text="N">
      <formula>NOT(ISERROR(SEARCH("N",E20)))</formula>
    </cfRule>
    <cfRule type="containsText" dxfId="1156" priority="14" operator="containsText" text="A">
      <formula>NOT(ISERROR(SEARCH("A",E20)))</formula>
    </cfRule>
    <cfRule type="containsText" dxfId="1155" priority="15" operator="containsText" text="M">
      <formula>NOT(ISERROR(SEARCH("M",E20)))</formula>
    </cfRule>
  </conditionalFormatting>
  <conditionalFormatting sqref="E20:AH21">
    <cfRule type="containsText" dxfId="1154" priority="1" operator="containsText" text="STN">
      <formula>NOT(ISERROR(SEARCH("STN",E20)))</formula>
    </cfRule>
    <cfRule type="containsText" dxfId="1153" priority="2" operator="containsText" text="STN">
      <formula>NOT(ISERROR(SEARCH("STN",E20)))</formula>
    </cfRule>
    <cfRule type="containsText" dxfId="1152" priority="3" operator="containsText" text="STM">
      <formula>NOT(ISERROR(SEARCH("STM",E20)))</formula>
    </cfRule>
    <cfRule type="containsText" dxfId="1151" priority="4" operator="containsText" text="M">
      <formula>NOT(ISERROR(SEARCH("M",E20)))</formula>
    </cfRule>
    <cfRule type="containsText" dxfId="1150" priority="5" operator="containsText" text="STM1">
      <formula>NOT(ISERROR(SEARCH("STM1",E20)))</formula>
    </cfRule>
    <cfRule type="containsText" dxfId="1149" priority="6" operator="containsText" text="M">
      <formula>NOT(ISERROR(SEARCH("M",E20)))</formula>
    </cfRule>
    <cfRule type="containsText" dxfId="1148" priority="7" operator="containsText" text="STM">
      <formula>NOT(ISERROR(SEARCH("STM",E20)))</formula>
    </cfRule>
    <cfRule type="containsText" dxfId="1147" priority="8" operator="containsText" text="STM">
      <formula>NOT(ISERROR(SEARCH("STM",E20)))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62F4-857B-45D8-A42D-7657D2193717}">
  <dimension ref="B2:AO45"/>
  <sheetViews>
    <sheetView zoomScale="60" zoomScaleNormal="60" workbookViewId="0">
      <selection activeCell="P24" sqref="P24"/>
    </sheetView>
  </sheetViews>
  <sheetFormatPr defaultRowHeight="15.75" x14ac:dyDescent="0.25"/>
  <cols>
    <col min="1" max="1" width="3.42578125" style="1" customWidth="1"/>
    <col min="2" max="2" width="12.85546875" style="1" customWidth="1"/>
    <col min="3" max="3" width="14.85546875" style="3" customWidth="1"/>
    <col min="4" max="4" width="2.28515625" style="1" customWidth="1"/>
    <col min="5" max="35" width="10.7109375" style="1" customWidth="1"/>
    <col min="36" max="36" width="4.28515625" style="1" customWidth="1"/>
    <col min="37" max="40" width="9.140625" style="1"/>
    <col min="41" max="41" width="12.28515625" style="1" bestFit="1" customWidth="1"/>
    <col min="42" max="16384" width="9.140625" style="1"/>
  </cols>
  <sheetData>
    <row r="2" spans="2:41" ht="39" customHeight="1" x14ac:dyDescent="0.5">
      <c r="E2" s="39" t="s">
        <v>68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K2" s="36" t="s">
        <v>63</v>
      </c>
      <c r="AL2" s="36" t="s">
        <v>64</v>
      </c>
      <c r="AM2" s="36" t="s">
        <v>67</v>
      </c>
      <c r="AN2" s="36" t="s">
        <v>65</v>
      </c>
      <c r="AO2" s="36" t="s">
        <v>66</v>
      </c>
    </row>
    <row r="3" spans="2:41" ht="39" x14ac:dyDescent="0.3">
      <c r="B3" s="41" t="s">
        <v>56</v>
      </c>
      <c r="C3" s="42"/>
      <c r="E3" s="12" t="s">
        <v>46</v>
      </c>
      <c r="F3" s="13" t="s">
        <v>47</v>
      </c>
      <c r="G3" s="13" t="s">
        <v>48</v>
      </c>
      <c r="H3" s="13" t="s">
        <v>49</v>
      </c>
      <c r="I3" s="13" t="s">
        <v>50</v>
      </c>
      <c r="J3" s="13" t="s">
        <v>51</v>
      </c>
      <c r="K3" s="13" t="s">
        <v>52</v>
      </c>
      <c r="L3" s="13" t="s">
        <v>46</v>
      </c>
      <c r="M3" s="13" t="s">
        <v>47</v>
      </c>
      <c r="N3" s="13" t="s">
        <v>48</v>
      </c>
      <c r="O3" s="13" t="s">
        <v>49</v>
      </c>
      <c r="P3" s="13" t="s">
        <v>50</v>
      </c>
      <c r="Q3" s="13" t="s">
        <v>51</v>
      </c>
      <c r="R3" s="13" t="s">
        <v>52</v>
      </c>
      <c r="S3" s="13" t="s">
        <v>46</v>
      </c>
      <c r="T3" s="13" t="s">
        <v>47</v>
      </c>
      <c r="U3" s="13" t="s">
        <v>48</v>
      </c>
      <c r="V3" s="13" t="s">
        <v>49</v>
      </c>
      <c r="W3" s="13" t="s">
        <v>50</v>
      </c>
      <c r="X3" s="13" t="s">
        <v>51</v>
      </c>
      <c r="Y3" s="13" t="s">
        <v>52</v>
      </c>
      <c r="Z3" s="13" t="s">
        <v>46</v>
      </c>
      <c r="AA3" s="13" t="s">
        <v>47</v>
      </c>
      <c r="AB3" s="13" t="s">
        <v>48</v>
      </c>
      <c r="AC3" s="13" t="s">
        <v>49</v>
      </c>
      <c r="AD3" s="13" t="s">
        <v>50</v>
      </c>
      <c r="AE3" s="13" t="s">
        <v>51</v>
      </c>
      <c r="AF3" s="13" t="s">
        <v>52</v>
      </c>
      <c r="AG3" s="13" t="s">
        <v>46</v>
      </c>
      <c r="AH3" s="14" t="s">
        <v>47</v>
      </c>
      <c r="AI3" s="15"/>
      <c r="AK3" s="37"/>
      <c r="AL3" s="37"/>
      <c r="AM3" s="37"/>
      <c r="AN3" s="37"/>
      <c r="AO3" s="37"/>
    </row>
    <row r="4" spans="2:41" ht="19.5" thickBot="1" x14ac:dyDescent="0.35">
      <c r="B4" s="43"/>
      <c r="C4" s="44"/>
      <c r="E4" s="16">
        <v>1</v>
      </c>
      <c r="F4" s="17">
        <v>2</v>
      </c>
      <c r="G4" s="17">
        <v>3</v>
      </c>
      <c r="H4" s="17">
        <v>4</v>
      </c>
      <c r="I4" s="17">
        <v>5</v>
      </c>
      <c r="J4" s="17">
        <v>6</v>
      </c>
      <c r="K4" s="17">
        <v>7</v>
      </c>
      <c r="L4" s="17">
        <v>8</v>
      </c>
      <c r="M4" s="17">
        <v>9</v>
      </c>
      <c r="N4" s="17">
        <v>10</v>
      </c>
      <c r="O4" s="17">
        <v>11</v>
      </c>
      <c r="P4" s="17">
        <v>12</v>
      </c>
      <c r="Q4" s="17">
        <v>13</v>
      </c>
      <c r="R4" s="17">
        <v>14</v>
      </c>
      <c r="S4" s="17">
        <v>15</v>
      </c>
      <c r="T4" s="17">
        <v>16</v>
      </c>
      <c r="U4" s="17">
        <v>17</v>
      </c>
      <c r="V4" s="17">
        <v>18</v>
      </c>
      <c r="W4" s="17">
        <v>19</v>
      </c>
      <c r="X4" s="17">
        <v>20</v>
      </c>
      <c r="Y4" s="17">
        <v>21</v>
      </c>
      <c r="Z4" s="17">
        <v>22</v>
      </c>
      <c r="AA4" s="17">
        <v>23</v>
      </c>
      <c r="AB4" s="17">
        <v>24</v>
      </c>
      <c r="AC4" s="17">
        <v>25</v>
      </c>
      <c r="AD4" s="17">
        <v>26</v>
      </c>
      <c r="AE4" s="17">
        <v>27</v>
      </c>
      <c r="AF4" s="17">
        <v>28</v>
      </c>
      <c r="AG4" s="17">
        <v>29</v>
      </c>
      <c r="AH4" s="18">
        <v>30</v>
      </c>
      <c r="AI4" s="19"/>
      <c r="AK4" s="38"/>
      <c r="AL4" s="38"/>
      <c r="AM4" s="38"/>
      <c r="AN4" s="38"/>
      <c r="AO4" s="38"/>
    </row>
    <row r="5" spans="2:41" ht="18.75" x14ac:dyDescent="0.25">
      <c r="B5" s="40" t="s">
        <v>10</v>
      </c>
      <c r="C5" s="40"/>
      <c r="E5" s="11" t="s">
        <v>58</v>
      </c>
      <c r="F5" s="7" t="s">
        <v>1</v>
      </c>
      <c r="G5" s="7" t="s">
        <v>2</v>
      </c>
      <c r="H5" s="7" t="s">
        <v>3</v>
      </c>
      <c r="I5" s="7" t="s">
        <v>4</v>
      </c>
      <c r="J5" s="7" t="s">
        <v>5</v>
      </c>
      <c r="K5" s="7" t="s">
        <v>6</v>
      </c>
      <c r="L5" s="7" t="s">
        <v>7</v>
      </c>
      <c r="M5" s="7" t="s">
        <v>58</v>
      </c>
      <c r="N5" s="7" t="s">
        <v>1</v>
      </c>
      <c r="O5" s="7" t="s">
        <v>2</v>
      </c>
      <c r="P5" s="7" t="s">
        <v>3</v>
      </c>
      <c r="Q5" s="7" t="s">
        <v>4</v>
      </c>
      <c r="R5" s="7" t="s">
        <v>5</v>
      </c>
      <c r="S5" s="7" t="s">
        <v>6</v>
      </c>
      <c r="T5" s="7" t="s">
        <v>7</v>
      </c>
      <c r="U5" s="7" t="s">
        <v>58</v>
      </c>
      <c r="V5" s="7" t="s">
        <v>1</v>
      </c>
      <c r="W5" s="7" t="s">
        <v>2</v>
      </c>
      <c r="X5" s="7" t="s">
        <v>3</v>
      </c>
      <c r="Y5" s="7" t="s">
        <v>4</v>
      </c>
      <c r="Z5" s="7" t="s">
        <v>5</v>
      </c>
      <c r="AA5" s="7" t="s">
        <v>6</v>
      </c>
      <c r="AB5" s="7" t="s">
        <v>7</v>
      </c>
      <c r="AC5" s="7" t="s">
        <v>0</v>
      </c>
      <c r="AD5" s="7" t="s">
        <v>1</v>
      </c>
      <c r="AE5" s="7" t="s">
        <v>59</v>
      </c>
      <c r="AF5" s="7" t="s">
        <v>3</v>
      </c>
      <c r="AG5" s="7" t="s">
        <v>4</v>
      </c>
      <c r="AH5" s="8" t="s">
        <v>5</v>
      </c>
      <c r="AI5" s="10"/>
      <c r="AK5" s="4">
        <f>COUNTIF($E5:$AI5,"ST*")</f>
        <v>4</v>
      </c>
      <c r="AL5" s="4">
        <f>COUNTIF($E5:$AI5,"M*")</f>
        <v>5</v>
      </c>
      <c r="AM5" s="4">
        <f>COUNTIF($E5:$AI5,"A*")</f>
        <v>3</v>
      </c>
      <c r="AN5" s="4">
        <f>COUNTIF($E5:$AI5,"N*")</f>
        <v>8</v>
      </c>
      <c r="AO5" s="4">
        <f>COUNTIF($E5:$AI5,"O*")</f>
        <v>10</v>
      </c>
    </row>
    <row r="6" spans="2:41" ht="18.75" x14ac:dyDescent="0.25">
      <c r="B6" s="40" t="s">
        <v>11</v>
      </c>
      <c r="C6" s="40"/>
      <c r="E6" s="5" t="s">
        <v>2</v>
      </c>
      <c r="F6" s="5" t="s">
        <v>61</v>
      </c>
      <c r="G6" s="5" t="s">
        <v>3</v>
      </c>
      <c r="H6" s="5" t="s">
        <v>4</v>
      </c>
      <c r="I6" s="5" t="s">
        <v>5</v>
      </c>
      <c r="J6" s="5" t="s">
        <v>6</v>
      </c>
      <c r="K6" s="5" t="s">
        <v>7</v>
      </c>
      <c r="L6" s="5" t="s">
        <v>58</v>
      </c>
      <c r="M6" s="5" t="s">
        <v>2</v>
      </c>
      <c r="N6" s="5" t="s">
        <v>44</v>
      </c>
      <c r="O6" s="5" t="s">
        <v>3</v>
      </c>
      <c r="P6" s="5" t="s">
        <v>4</v>
      </c>
      <c r="Q6" s="5" t="s">
        <v>5</v>
      </c>
      <c r="R6" s="5" t="s">
        <v>6</v>
      </c>
      <c r="S6" s="5" t="s">
        <v>7</v>
      </c>
      <c r="T6" s="5" t="s">
        <v>58</v>
      </c>
      <c r="U6" s="5" t="s">
        <v>2</v>
      </c>
      <c r="V6" s="5" t="s">
        <v>44</v>
      </c>
      <c r="W6" s="5" t="s">
        <v>3</v>
      </c>
      <c r="X6" s="5" t="s">
        <v>4</v>
      </c>
      <c r="Y6" s="5" t="s">
        <v>5</v>
      </c>
      <c r="Z6" s="5" t="s">
        <v>6</v>
      </c>
      <c r="AA6" s="5" t="s">
        <v>7</v>
      </c>
      <c r="AB6" s="5" t="s">
        <v>58</v>
      </c>
      <c r="AC6" s="5" t="s">
        <v>2</v>
      </c>
      <c r="AD6" s="5" t="s">
        <v>44</v>
      </c>
      <c r="AE6" s="5" t="s">
        <v>3</v>
      </c>
      <c r="AF6" s="5" t="s">
        <v>4</v>
      </c>
      <c r="AG6" s="5" t="s">
        <v>5</v>
      </c>
      <c r="AH6" s="9" t="s">
        <v>6</v>
      </c>
      <c r="AI6" s="2"/>
      <c r="AK6" s="4">
        <f t="shared" ref="AK6:AK34" si="0">COUNTIF($E6:$AI6,"ST*")</f>
        <v>4</v>
      </c>
      <c r="AL6" s="4">
        <f t="shared" ref="AL6:AL34" si="1">COUNTIF($E6:$AI6,"M*")</f>
        <v>0</v>
      </c>
      <c r="AM6" s="4">
        <f t="shared" ref="AM6:AM34" si="2">COUNTIF($E6:$AI6,"A*")</f>
        <v>7</v>
      </c>
      <c r="AN6" s="4">
        <f t="shared" ref="AN6:AN34" si="3">COUNTIF($E6:$AI6,"N*")</f>
        <v>8</v>
      </c>
      <c r="AO6" s="4">
        <f t="shared" ref="AO6:AO34" si="4">COUNTIF($E6:$AI6,"O*")</f>
        <v>11</v>
      </c>
    </row>
    <row r="7" spans="2:41" ht="18.75" x14ac:dyDescent="0.25">
      <c r="B7" s="40" t="s">
        <v>12</v>
      </c>
      <c r="C7" s="40"/>
      <c r="E7" s="5" t="s">
        <v>59</v>
      </c>
      <c r="F7" s="5" t="s">
        <v>3</v>
      </c>
      <c r="G7" s="5" t="s">
        <v>4</v>
      </c>
      <c r="H7" s="5" t="s">
        <v>5</v>
      </c>
      <c r="I7" s="5" t="s">
        <v>6</v>
      </c>
      <c r="J7" s="5" t="s">
        <v>7</v>
      </c>
      <c r="K7" s="5" t="s">
        <v>58</v>
      </c>
      <c r="L7" s="5" t="s">
        <v>1</v>
      </c>
      <c r="M7" s="5" t="s">
        <v>2</v>
      </c>
      <c r="N7" s="5" t="s">
        <v>60</v>
      </c>
      <c r="O7" s="5" t="s">
        <v>4</v>
      </c>
      <c r="P7" s="5" t="s">
        <v>5</v>
      </c>
      <c r="Q7" s="5" t="s">
        <v>6</v>
      </c>
      <c r="R7" s="5" t="s">
        <v>7</v>
      </c>
      <c r="S7" s="5" t="s">
        <v>58</v>
      </c>
      <c r="T7" s="5" t="s">
        <v>1</v>
      </c>
      <c r="U7" s="5" t="s">
        <v>2</v>
      </c>
      <c r="V7" s="5" t="s">
        <v>3</v>
      </c>
      <c r="W7" s="5" t="s">
        <v>4</v>
      </c>
      <c r="X7" s="5" t="s">
        <v>5</v>
      </c>
      <c r="Y7" s="5" t="s">
        <v>6</v>
      </c>
      <c r="Z7" s="5" t="s">
        <v>7</v>
      </c>
      <c r="AA7" s="5" t="s">
        <v>0</v>
      </c>
      <c r="AB7" s="5" t="s">
        <v>62</v>
      </c>
      <c r="AC7" s="5" t="s">
        <v>2</v>
      </c>
      <c r="AD7" s="5" t="s">
        <v>3</v>
      </c>
      <c r="AE7" s="5" t="s">
        <v>4</v>
      </c>
      <c r="AF7" s="5" t="s">
        <v>5</v>
      </c>
      <c r="AG7" s="5" t="s">
        <v>6</v>
      </c>
      <c r="AH7" s="9" t="s">
        <v>7</v>
      </c>
      <c r="AI7" s="2"/>
      <c r="AK7" s="4">
        <f t="shared" si="0"/>
        <v>5</v>
      </c>
      <c r="AL7" s="4">
        <f t="shared" si="1"/>
        <v>3</v>
      </c>
      <c r="AM7" s="4">
        <f t="shared" si="2"/>
        <v>3</v>
      </c>
      <c r="AN7" s="4">
        <f t="shared" si="3"/>
        <v>7</v>
      </c>
      <c r="AO7" s="4">
        <f t="shared" si="4"/>
        <v>12</v>
      </c>
    </row>
    <row r="8" spans="2:41" ht="18.75" x14ac:dyDescent="0.25">
      <c r="B8" s="40" t="s">
        <v>13</v>
      </c>
      <c r="C8" s="40"/>
      <c r="E8" s="5" t="s">
        <v>3</v>
      </c>
      <c r="F8" s="5" t="s">
        <v>4</v>
      </c>
      <c r="G8" s="5" t="s">
        <v>5</v>
      </c>
      <c r="H8" s="5" t="s">
        <v>6</v>
      </c>
      <c r="I8" s="5" t="s">
        <v>7</v>
      </c>
      <c r="J8" s="5" t="s">
        <v>0</v>
      </c>
      <c r="K8" s="5" t="s">
        <v>1</v>
      </c>
      <c r="L8" s="5" t="s">
        <v>59</v>
      </c>
      <c r="M8" s="5" t="s">
        <v>3</v>
      </c>
      <c r="N8" s="5" t="s">
        <v>4</v>
      </c>
      <c r="O8" s="5" t="s">
        <v>5</v>
      </c>
      <c r="P8" s="5" t="s">
        <v>6</v>
      </c>
      <c r="Q8" s="5" t="s">
        <v>7</v>
      </c>
      <c r="R8" s="5" t="s">
        <v>0</v>
      </c>
      <c r="S8" s="5" t="s">
        <v>1</v>
      </c>
      <c r="T8" s="5" t="s">
        <v>59</v>
      </c>
      <c r="U8" s="5" t="s">
        <v>3</v>
      </c>
      <c r="V8" s="5" t="s">
        <v>4</v>
      </c>
      <c r="W8" s="5" t="s">
        <v>5</v>
      </c>
      <c r="X8" s="5" t="s">
        <v>6</v>
      </c>
      <c r="Y8" s="5" t="s">
        <v>7</v>
      </c>
      <c r="Z8" s="5" t="s">
        <v>0</v>
      </c>
      <c r="AA8" s="5" t="s">
        <v>1</v>
      </c>
      <c r="AB8" s="5" t="s">
        <v>2</v>
      </c>
      <c r="AC8" s="5" t="s">
        <v>60</v>
      </c>
      <c r="AD8" s="5" t="s">
        <v>4</v>
      </c>
      <c r="AE8" s="5" t="s">
        <v>5</v>
      </c>
      <c r="AF8" s="5" t="s">
        <v>6</v>
      </c>
      <c r="AG8" s="5" t="s">
        <v>7</v>
      </c>
      <c r="AH8" s="9" t="s">
        <v>0</v>
      </c>
      <c r="AI8" s="2"/>
      <c r="AK8" s="4">
        <f t="shared" si="0"/>
        <v>3</v>
      </c>
      <c r="AL8" s="4">
        <f t="shared" si="1"/>
        <v>7</v>
      </c>
      <c r="AM8" s="4">
        <f t="shared" si="2"/>
        <v>1</v>
      </c>
      <c r="AN8" s="4">
        <f t="shared" si="3"/>
        <v>7</v>
      </c>
      <c r="AO8" s="4">
        <f t="shared" si="4"/>
        <v>12</v>
      </c>
    </row>
    <row r="9" spans="2:41" ht="18.75" x14ac:dyDescent="0.25">
      <c r="B9" s="40" t="s">
        <v>14</v>
      </c>
      <c r="C9" s="40"/>
      <c r="E9" s="5" t="s">
        <v>4</v>
      </c>
      <c r="F9" s="5" t="s">
        <v>5</v>
      </c>
      <c r="G9" s="5" t="s">
        <v>6</v>
      </c>
      <c r="H9" s="5" t="s">
        <v>7</v>
      </c>
      <c r="I9" s="5" t="s">
        <v>58</v>
      </c>
      <c r="J9" s="5" t="s">
        <v>2</v>
      </c>
      <c r="K9" s="5" t="s">
        <v>3</v>
      </c>
      <c r="L9" s="5" t="s">
        <v>4</v>
      </c>
      <c r="M9" s="5" t="s">
        <v>43</v>
      </c>
      <c r="N9" s="5" t="s">
        <v>5</v>
      </c>
      <c r="O9" s="5" t="s">
        <v>6</v>
      </c>
      <c r="P9" s="5" t="s">
        <v>7</v>
      </c>
      <c r="Q9" s="5" t="s">
        <v>58</v>
      </c>
      <c r="R9" s="5" t="s">
        <v>1</v>
      </c>
      <c r="S9" s="5" t="s">
        <v>2</v>
      </c>
      <c r="T9" s="5" t="s">
        <v>3</v>
      </c>
      <c r="U9" s="5" t="s">
        <v>4</v>
      </c>
      <c r="V9" s="5" t="s">
        <v>5</v>
      </c>
      <c r="W9" s="5" t="s">
        <v>6</v>
      </c>
      <c r="X9" s="5" t="s">
        <v>7</v>
      </c>
      <c r="Y9" s="5" t="s">
        <v>58</v>
      </c>
      <c r="Z9" s="5" t="s">
        <v>1</v>
      </c>
      <c r="AA9" s="5" t="s">
        <v>2</v>
      </c>
      <c r="AB9" s="5" t="s">
        <v>3</v>
      </c>
      <c r="AC9" s="5" t="s">
        <v>4</v>
      </c>
      <c r="AD9" s="5" t="s">
        <v>5</v>
      </c>
      <c r="AE9" s="5" t="s">
        <v>6</v>
      </c>
      <c r="AF9" s="5" t="s">
        <v>7</v>
      </c>
      <c r="AG9" s="5" t="s">
        <v>0</v>
      </c>
      <c r="AH9" s="9" t="s">
        <v>1</v>
      </c>
      <c r="AI9" s="2"/>
      <c r="AK9" s="4">
        <f t="shared" si="0"/>
        <v>3</v>
      </c>
      <c r="AL9" s="4">
        <f t="shared" si="1"/>
        <v>4</v>
      </c>
      <c r="AM9" s="4">
        <f t="shared" si="2"/>
        <v>3</v>
      </c>
      <c r="AN9" s="4">
        <f t="shared" si="3"/>
        <v>8</v>
      </c>
      <c r="AO9" s="4">
        <f t="shared" si="4"/>
        <v>12</v>
      </c>
    </row>
    <row r="10" spans="2:41" ht="18.75" x14ac:dyDescent="0.25">
      <c r="B10" s="40" t="s">
        <v>15</v>
      </c>
      <c r="C10" s="40"/>
      <c r="E10" s="5" t="s">
        <v>5</v>
      </c>
      <c r="F10" s="5" t="s">
        <v>6</v>
      </c>
      <c r="G10" s="5" t="s">
        <v>7</v>
      </c>
      <c r="H10" s="5" t="s">
        <v>0</v>
      </c>
      <c r="I10" s="5" t="s">
        <v>2</v>
      </c>
      <c r="J10" s="5" t="s">
        <v>60</v>
      </c>
      <c r="K10" s="5" t="s">
        <v>4</v>
      </c>
      <c r="L10" s="5" t="s">
        <v>43</v>
      </c>
      <c r="M10" s="5" t="s">
        <v>5</v>
      </c>
      <c r="N10" s="5" t="s">
        <v>6</v>
      </c>
      <c r="O10" s="5" t="s">
        <v>7</v>
      </c>
      <c r="P10" s="5" t="s">
        <v>0</v>
      </c>
      <c r="Q10" s="5" t="s">
        <v>2</v>
      </c>
      <c r="R10" s="5" t="s">
        <v>44</v>
      </c>
      <c r="S10" s="5" t="s">
        <v>60</v>
      </c>
      <c r="T10" s="5" t="s">
        <v>4</v>
      </c>
      <c r="U10" s="5" t="s">
        <v>5</v>
      </c>
      <c r="V10" s="5" t="s">
        <v>6</v>
      </c>
      <c r="W10" s="5" t="s">
        <v>7</v>
      </c>
      <c r="X10" s="5" t="s">
        <v>0</v>
      </c>
      <c r="Y10" s="5" t="s">
        <v>2</v>
      </c>
      <c r="Z10" s="5" t="s">
        <v>44</v>
      </c>
      <c r="AA10" s="5" t="s">
        <v>3</v>
      </c>
      <c r="AB10" s="5" t="s">
        <v>4</v>
      </c>
      <c r="AC10" s="5" t="s">
        <v>5</v>
      </c>
      <c r="AD10" s="5" t="s">
        <v>6</v>
      </c>
      <c r="AE10" s="5" t="s">
        <v>7</v>
      </c>
      <c r="AF10" s="5" t="s">
        <v>0</v>
      </c>
      <c r="AG10" s="5" t="s">
        <v>2</v>
      </c>
      <c r="AH10" s="9" t="s">
        <v>60</v>
      </c>
      <c r="AI10" s="2"/>
      <c r="AK10" s="4">
        <f t="shared" si="0"/>
        <v>3</v>
      </c>
      <c r="AL10" s="4">
        <f t="shared" si="1"/>
        <v>4</v>
      </c>
      <c r="AM10" s="4">
        <f t="shared" si="2"/>
        <v>6</v>
      </c>
      <c r="AN10" s="4">
        <f t="shared" si="3"/>
        <v>5</v>
      </c>
      <c r="AO10" s="4">
        <f t="shared" si="4"/>
        <v>12</v>
      </c>
    </row>
    <row r="11" spans="2:41" ht="18.75" x14ac:dyDescent="0.25">
      <c r="B11" s="40" t="s">
        <v>16</v>
      </c>
      <c r="C11" s="40"/>
      <c r="E11" s="5" t="s">
        <v>6</v>
      </c>
      <c r="F11" s="5" t="s">
        <v>7</v>
      </c>
      <c r="G11" s="5" t="s">
        <v>0</v>
      </c>
      <c r="H11" s="5" t="s">
        <v>62</v>
      </c>
      <c r="I11" s="5" t="s">
        <v>2</v>
      </c>
      <c r="J11" s="5" t="s">
        <v>3</v>
      </c>
      <c r="K11" s="5" t="s">
        <v>4</v>
      </c>
      <c r="L11" s="5" t="s">
        <v>5</v>
      </c>
      <c r="M11" s="5" t="s">
        <v>6</v>
      </c>
      <c r="N11" s="5" t="s">
        <v>7</v>
      </c>
      <c r="O11" s="5" t="s">
        <v>58</v>
      </c>
      <c r="P11" s="5" t="s">
        <v>2</v>
      </c>
      <c r="Q11" s="5" t="s">
        <v>3</v>
      </c>
      <c r="R11" s="5" t="s">
        <v>4</v>
      </c>
      <c r="S11" s="5" t="s">
        <v>43</v>
      </c>
      <c r="T11" s="5" t="s">
        <v>5</v>
      </c>
      <c r="U11" s="5" t="s">
        <v>6</v>
      </c>
      <c r="V11" s="5" t="s">
        <v>7</v>
      </c>
      <c r="W11" s="5" t="s">
        <v>0</v>
      </c>
      <c r="X11" s="5" t="s">
        <v>2</v>
      </c>
      <c r="Y11" s="5" t="s">
        <v>60</v>
      </c>
      <c r="Z11" s="5" t="s">
        <v>4</v>
      </c>
      <c r="AA11" s="5" t="s">
        <v>43</v>
      </c>
      <c r="AB11" s="5" t="s">
        <v>5</v>
      </c>
      <c r="AC11" s="5" t="s">
        <v>6</v>
      </c>
      <c r="AD11" s="5" t="s">
        <v>7</v>
      </c>
      <c r="AE11" s="5" t="s">
        <v>0</v>
      </c>
      <c r="AF11" s="5" t="s">
        <v>2</v>
      </c>
      <c r="AG11" s="5" t="s">
        <v>3</v>
      </c>
      <c r="AH11" s="9" t="s">
        <v>4</v>
      </c>
      <c r="AI11" s="2"/>
      <c r="AK11" s="4">
        <f t="shared" si="0"/>
        <v>3</v>
      </c>
      <c r="AL11" s="4">
        <f t="shared" si="1"/>
        <v>3</v>
      </c>
      <c r="AM11" s="4">
        <f t="shared" si="2"/>
        <v>4</v>
      </c>
      <c r="AN11" s="4">
        <f t="shared" si="3"/>
        <v>9</v>
      </c>
      <c r="AO11" s="4">
        <f t="shared" si="4"/>
        <v>11</v>
      </c>
    </row>
    <row r="12" spans="2:41" ht="18.75" x14ac:dyDescent="0.25">
      <c r="B12" s="40" t="s">
        <v>17</v>
      </c>
      <c r="C12" s="40"/>
      <c r="E12" s="5" t="s">
        <v>7</v>
      </c>
      <c r="F12" s="5" t="s">
        <v>58</v>
      </c>
      <c r="G12" s="5" t="s">
        <v>2</v>
      </c>
      <c r="H12" s="5" t="s">
        <v>44</v>
      </c>
      <c r="I12" s="5" t="s">
        <v>3</v>
      </c>
      <c r="J12" s="5" t="s">
        <v>4</v>
      </c>
      <c r="K12" s="5" t="s">
        <v>5</v>
      </c>
      <c r="L12" s="5" t="s">
        <v>6</v>
      </c>
      <c r="M12" s="5" t="s">
        <v>7</v>
      </c>
      <c r="N12" s="5" t="s">
        <v>0</v>
      </c>
      <c r="O12" s="5" t="s">
        <v>59</v>
      </c>
      <c r="P12" s="5" t="s">
        <v>44</v>
      </c>
      <c r="Q12" s="5" t="s">
        <v>3</v>
      </c>
      <c r="R12" s="5" t="s">
        <v>4</v>
      </c>
      <c r="S12" s="5" t="s">
        <v>5</v>
      </c>
      <c r="T12" s="5" t="s">
        <v>6</v>
      </c>
      <c r="U12" s="5" t="s">
        <v>7</v>
      </c>
      <c r="V12" s="5" t="s">
        <v>0</v>
      </c>
      <c r="W12" s="5" t="s">
        <v>59</v>
      </c>
      <c r="X12" s="5" t="s">
        <v>44</v>
      </c>
      <c r="Y12" s="5" t="s">
        <v>3</v>
      </c>
      <c r="Z12" s="5" t="s">
        <v>4</v>
      </c>
      <c r="AA12" s="5" t="s">
        <v>5</v>
      </c>
      <c r="AB12" s="5" t="s">
        <v>6</v>
      </c>
      <c r="AC12" s="5" t="s">
        <v>7</v>
      </c>
      <c r="AD12" s="5" t="s">
        <v>58</v>
      </c>
      <c r="AE12" s="5" t="s">
        <v>2</v>
      </c>
      <c r="AF12" s="5" t="s">
        <v>44</v>
      </c>
      <c r="AG12" s="5" t="s">
        <v>3</v>
      </c>
      <c r="AH12" s="9" t="s">
        <v>4</v>
      </c>
      <c r="AI12" s="2"/>
      <c r="AK12" s="4">
        <f t="shared" si="0"/>
        <v>4</v>
      </c>
      <c r="AL12" s="4">
        <f t="shared" si="1"/>
        <v>2</v>
      </c>
      <c r="AM12" s="4">
        <f t="shared" si="2"/>
        <v>6</v>
      </c>
      <c r="AN12" s="4">
        <f t="shared" si="3"/>
        <v>8</v>
      </c>
      <c r="AO12" s="4">
        <f t="shared" si="4"/>
        <v>10</v>
      </c>
    </row>
    <row r="13" spans="2:41" ht="18.75" x14ac:dyDescent="0.25">
      <c r="B13" s="40" t="s">
        <v>18</v>
      </c>
      <c r="C13" s="40"/>
      <c r="E13" s="5" t="s">
        <v>58</v>
      </c>
      <c r="F13" s="5" t="s">
        <v>2</v>
      </c>
      <c r="G13" s="5" t="s">
        <v>44</v>
      </c>
      <c r="H13" s="5" t="s">
        <v>3</v>
      </c>
      <c r="I13" s="5" t="s">
        <v>4</v>
      </c>
      <c r="J13" s="5" t="s">
        <v>5</v>
      </c>
      <c r="K13" s="5" t="s">
        <v>6</v>
      </c>
      <c r="L13" s="5" t="s">
        <v>7</v>
      </c>
      <c r="M13" s="5" t="s">
        <v>0</v>
      </c>
      <c r="N13" s="5" t="s">
        <v>59</v>
      </c>
      <c r="O13" s="5" t="s">
        <v>44</v>
      </c>
      <c r="P13" s="5" t="s">
        <v>3</v>
      </c>
      <c r="Q13" s="5" t="s">
        <v>4</v>
      </c>
      <c r="R13" s="5" t="s">
        <v>5</v>
      </c>
      <c r="S13" s="5" t="s">
        <v>6</v>
      </c>
      <c r="T13" s="5" t="s">
        <v>7</v>
      </c>
      <c r="U13" s="5" t="s">
        <v>0</v>
      </c>
      <c r="V13" s="5" t="s">
        <v>59</v>
      </c>
      <c r="W13" s="5" t="s">
        <v>44</v>
      </c>
      <c r="X13" s="5" t="s">
        <v>3</v>
      </c>
      <c r="Y13" s="5" t="s">
        <v>4</v>
      </c>
      <c r="Z13" s="5" t="s">
        <v>5</v>
      </c>
      <c r="AA13" s="5" t="s">
        <v>6</v>
      </c>
      <c r="AB13" s="5" t="s">
        <v>7</v>
      </c>
      <c r="AC13" s="5" t="s">
        <v>58</v>
      </c>
      <c r="AD13" s="5" t="s">
        <v>2</v>
      </c>
      <c r="AE13" s="5" t="s">
        <v>44</v>
      </c>
      <c r="AF13" s="5" t="s">
        <v>3</v>
      </c>
      <c r="AG13" s="5" t="s">
        <v>4</v>
      </c>
      <c r="AH13" s="9" t="s">
        <v>5</v>
      </c>
      <c r="AI13" s="2"/>
      <c r="AK13" s="4">
        <f t="shared" si="0"/>
        <v>4</v>
      </c>
      <c r="AL13" s="4">
        <f t="shared" si="1"/>
        <v>2</v>
      </c>
      <c r="AM13" s="4">
        <f t="shared" si="2"/>
        <v>6</v>
      </c>
      <c r="AN13" s="4">
        <f t="shared" si="3"/>
        <v>8</v>
      </c>
      <c r="AO13" s="4">
        <f t="shared" si="4"/>
        <v>10</v>
      </c>
    </row>
    <row r="14" spans="2:41" ht="18.75" x14ac:dyDescent="0.25">
      <c r="B14" s="40" t="s">
        <v>19</v>
      </c>
      <c r="C14" s="40"/>
      <c r="E14" s="5" t="s">
        <v>1</v>
      </c>
      <c r="F14" s="5" t="s">
        <v>2</v>
      </c>
      <c r="G14" s="5" t="s">
        <v>3</v>
      </c>
      <c r="H14" s="5" t="s">
        <v>4</v>
      </c>
      <c r="I14" s="5" t="s">
        <v>5</v>
      </c>
      <c r="J14" s="5" t="s">
        <v>6</v>
      </c>
      <c r="K14" s="5" t="s">
        <v>7</v>
      </c>
      <c r="L14" s="5" t="s">
        <v>0</v>
      </c>
      <c r="M14" s="5" t="s">
        <v>62</v>
      </c>
      <c r="N14" s="5" t="s">
        <v>2</v>
      </c>
      <c r="O14" s="5" t="s">
        <v>3</v>
      </c>
      <c r="P14" s="5" t="s">
        <v>4</v>
      </c>
      <c r="Q14" s="5" t="s">
        <v>5</v>
      </c>
      <c r="R14" s="5" t="s">
        <v>6</v>
      </c>
      <c r="S14" s="5" t="s">
        <v>7</v>
      </c>
      <c r="T14" s="5" t="s">
        <v>0</v>
      </c>
      <c r="U14" s="5" t="s">
        <v>62</v>
      </c>
      <c r="V14" s="5" t="s">
        <v>2</v>
      </c>
      <c r="W14" s="5" t="s">
        <v>3</v>
      </c>
      <c r="X14" s="5" t="s">
        <v>4</v>
      </c>
      <c r="Y14" s="5" t="s">
        <v>5</v>
      </c>
      <c r="Z14" s="5" t="s">
        <v>6</v>
      </c>
      <c r="AA14" s="5" t="s">
        <v>7</v>
      </c>
      <c r="AB14" s="5" t="s">
        <v>0</v>
      </c>
      <c r="AC14" s="5" t="s">
        <v>1</v>
      </c>
      <c r="AD14" s="5" t="s">
        <v>2</v>
      </c>
      <c r="AE14" s="5" t="s">
        <v>60</v>
      </c>
      <c r="AF14" s="5" t="s">
        <v>4</v>
      </c>
      <c r="AG14" s="5" t="s">
        <v>5</v>
      </c>
      <c r="AH14" s="9" t="s">
        <v>6</v>
      </c>
      <c r="AI14" s="2"/>
      <c r="AK14" s="4">
        <f t="shared" si="0"/>
        <v>3</v>
      </c>
      <c r="AL14" s="4">
        <f t="shared" si="1"/>
        <v>5</v>
      </c>
      <c r="AM14" s="4">
        <f t="shared" si="2"/>
        <v>4</v>
      </c>
      <c r="AN14" s="4">
        <f t="shared" si="3"/>
        <v>7</v>
      </c>
      <c r="AO14" s="4">
        <f t="shared" si="4"/>
        <v>11</v>
      </c>
    </row>
    <row r="15" spans="2:41" ht="18.75" x14ac:dyDescent="0.25">
      <c r="B15" s="40" t="s">
        <v>20</v>
      </c>
      <c r="C15" s="40"/>
      <c r="E15" s="5" t="s">
        <v>59</v>
      </c>
      <c r="F15" s="5" t="s">
        <v>3</v>
      </c>
      <c r="G15" s="5" t="s">
        <v>4</v>
      </c>
      <c r="H15" s="5" t="s">
        <v>5</v>
      </c>
      <c r="I15" s="5" t="s">
        <v>6</v>
      </c>
      <c r="J15" s="5" t="s">
        <v>7</v>
      </c>
      <c r="K15" s="5" t="s">
        <v>0</v>
      </c>
      <c r="L15" s="5" t="s">
        <v>62</v>
      </c>
      <c r="M15" s="5" t="s">
        <v>2</v>
      </c>
      <c r="N15" s="5" t="s">
        <v>3</v>
      </c>
      <c r="O15" s="5" t="s">
        <v>4</v>
      </c>
      <c r="P15" s="5" t="s">
        <v>5</v>
      </c>
      <c r="Q15" s="5" t="s">
        <v>6</v>
      </c>
      <c r="R15" s="5" t="s">
        <v>7</v>
      </c>
      <c r="S15" s="5" t="s">
        <v>0</v>
      </c>
      <c r="T15" s="5" t="s">
        <v>62</v>
      </c>
      <c r="U15" s="5" t="s">
        <v>2</v>
      </c>
      <c r="V15" s="5" t="s">
        <v>3</v>
      </c>
      <c r="W15" s="5" t="s">
        <v>4</v>
      </c>
      <c r="X15" s="5" t="s">
        <v>5</v>
      </c>
      <c r="Y15" s="5" t="s">
        <v>6</v>
      </c>
      <c r="Z15" s="5" t="s">
        <v>7</v>
      </c>
      <c r="AA15" s="5" t="s">
        <v>58</v>
      </c>
      <c r="AB15" s="5" t="s">
        <v>1</v>
      </c>
      <c r="AC15" s="5" t="s">
        <v>2</v>
      </c>
      <c r="AD15" s="5" t="s">
        <v>60</v>
      </c>
      <c r="AE15" s="5" t="s">
        <v>4</v>
      </c>
      <c r="AF15" s="5" t="s">
        <v>5</v>
      </c>
      <c r="AG15" s="5" t="s">
        <v>6</v>
      </c>
      <c r="AH15" s="9" t="s">
        <v>7</v>
      </c>
      <c r="AI15" s="2"/>
      <c r="AK15" s="4">
        <f t="shared" si="0"/>
        <v>5</v>
      </c>
      <c r="AL15" s="4">
        <f t="shared" si="1"/>
        <v>3</v>
      </c>
      <c r="AM15" s="4">
        <f t="shared" si="2"/>
        <v>3</v>
      </c>
      <c r="AN15" s="4">
        <f t="shared" si="3"/>
        <v>7</v>
      </c>
      <c r="AO15" s="4">
        <f t="shared" si="4"/>
        <v>12</v>
      </c>
    </row>
    <row r="16" spans="2:41" ht="18.75" x14ac:dyDescent="0.25">
      <c r="B16" s="40" t="s">
        <v>21</v>
      </c>
      <c r="C16" s="40"/>
      <c r="E16" s="5" t="s">
        <v>3</v>
      </c>
      <c r="F16" s="5" t="s">
        <v>4</v>
      </c>
      <c r="G16" s="5" t="s">
        <v>5</v>
      </c>
      <c r="H16" s="5" t="s">
        <v>6</v>
      </c>
      <c r="I16" s="5" t="s">
        <v>7</v>
      </c>
      <c r="J16" s="5" t="s">
        <v>0</v>
      </c>
      <c r="K16" s="5" t="s">
        <v>1</v>
      </c>
      <c r="L16" s="5" t="s">
        <v>2</v>
      </c>
      <c r="M16" s="5" t="s">
        <v>60</v>
      </c>
      <c r="N16" s="5" t="s">
        <v>4</v>
      </c>
      <c r="O16" s="5" t="s">
        <v>5</v>
      </c>
      <c r="P16" s="5" t="s">
        <v>6</v>
      </c>
      <c r="Q16" s="5" t="s">
        <v>7</v>
      </c>
      <c r="R16" s="5" t="s">
        <v>0</v>
      </c>
      <c r="S16" s="5" t="s">
        <v>2</v>
      </c>
      <c r="T16" s="5" t="s">
        <v>61</v>
      </c>
      <c r="U16" s="5" t="s">
        <v>3</v>
      </c>
      <c r="V16" s="5" t="s">
        <v>4</v>
      </c>
      <c r="W16" s="5" t="s">
        <v>5</v>
      </c>
      <c r="X16" s="5" t="s">
        <v>6</v>
      </c>
      <c r="Y16" s="5" t="s">
        <v>7</v>
      </c>
      <c r="Z16" s="5" t="s">
        <v>0</v>
      </c>
      <c r="AA16" s="5" t="s">
        <v>2</v>
      </c>
      <c r="AB16" s="5" t="s">
        <v>61</v>
      </c>
      <c r="AC16" s="5" t="s">
        <v>3</v>
      </c>
      <c r="AD16" s="5" t="s">
        <v>4</v>
      </c>
      <c r="AE16" s="5" t="s">
        <v>5</v>
      </c>
      <c r="AF16" s="5" t="s">
        <v>6</v>
      </c>
      <c r="AG16" s="5" t="s">
        <v>7</v>
      </c>
      <c r="AH16" s="9" t="s">
        <v>58</v>
      </c>
      <c r="AI16" s="2"/>
      <c r="AK16" s="4">
        <f t="shared" si="0"/>
        <v>4</v>
      </c>
      <c r="AL16" s="4">
        <f t="shared" si="1"/>
        <v>4</v>
      </c>
      <c r="AM16" s="4">
        <f t="shared" si="2"/>
        <v>3</v>
      </c>
      <c r="AN16" s="4">
        <f t="shared" si="3"/>
        <v>7</v>
      </c>
      <c r="AO16" s="4">
        <f t="shared" si="4"/>
        <v>12</v>
      </c>
    </row>
    <row r="17" spans="2:41" ht="18.75" x14ac:dyDescent="0.25">
      <c r="B17" s="40" t="s">
        <v>22</v>
      </c>
      <c r="C17" s="40"/>
      <c r="E17" s="5" t="s">
        <v>4</v>
      </c>
      <c r="F17" s="5" t="s">
        <v>5</v>
      </c>
      <c r="G17" s="5" t="s">
        <v>6</v>
      </c>
      <c r="H17" s="5" t="s">
        <v>7</v>
      </c>
      <c r="I17" s="5" t="s">
        <v>0</v>
      </c>
      <c r="J17" s="5" t="s">
        <v>1</v>
      </c>
      <c r="K17" s="5" t="s">
        <v>2</v>
      </c>
      <c r="L17" s="5" t="s">
        <v>3</v>
      </c>
      <c r="M17" s="5" t="s">
        <v>4</v>
      </c>
      <c r="N17" s="5" t="s">
        <v>5</v>
      </c>
      <c r="O17" s="5" t="s">
        <v>6</v>
      </c>
      <c r="P17" s="5" t="s">
        <v>7</v>
      </c>
      <c r="Q17" s="5" t="s">
        <v>0</v>
      </c>
      <c r="R17" s="5" t="s">
        <v>59</v>
      </c>
      <c r="S17" s="5" t="s">
        <v>44</v>
      </c>
      <c r="T17" s="5" t="s">
        <v>3</v>
      </c>
      <c r="U17" s="5" t="s">
        <v>4</v>
      </c>
      <c r="V17" s="5" t="s">
        <v>5</v>
      </c>
      <c r="W17" s="5" t="s">
        <v>6</v>
      </c>
      <c r="X17" s="5" t="s">
        <v>7</v>
      </c>
      <c r="Y17" s="5" t="s">
        <v>0</v>
      </c>
      <c r="Z17" s="5" t="s">
        <v>2</v>
      </c>
      <c r="AA17" s="5" t="s">
        <v>44</v>
      </c>
      <c r="AB17" s="5" t="s">
        <v>60</v>
      </c>
      <c r="AC17" s="5" t="s">
        <v>4</v>
      </c>
      <c r="AD17" s="5" t="s">
        <v>5</v>
      </c>
      <c r="AE17" s="5" t="s">
        <v>6</v>
      </c>
      <c r="AF17" s="5" t="s">
        <v>7</v>
      </c>
      <c r="AG17" s="5" t="s">
        <v>58</v>
      </c>
      <c r="AH17" s="9" t="s">
        <v>2</v>
      </c>
      <c r="AI17" s="2"/>
      <c r="AK17" s="4">
        <f t="shared" si="0"/>
        <v>3</v>
      </c>
      <c r="AL17" s="4">
        <f t="shared" si="1"/>
        <v>4</v>
      </c>
      <c r="AM17" s="4">
        <f t="shared" si="2"/>
        <v>5</v>
      </c>
      <c r="AN17" s="4">
        <f t="shared" si="3"/>
        <v>6</v>
      </c>
      <c r="AO17" s="4">
        <f t="shared" si="4"/>
        <v>12</v>
      </c>
    </row>
    <row r="18" spans="2:41" ht="18.75" x14ac:dyDescent="0.25">
      <c r="B18" s="40" t="s">
        <v>23</v>
      </c>
      <c r="C18" s="40"/>
      <c r="E18" s="5" t="s">
        <v>5</v>
      </c>
      <c r="F18" s="5" t="s">
        <v>6</v>
      </c>
      <c r="G18" s="5" t="s">
        <v>7</v>
      </c>
      <c r="H18" s="5" t="s">
        <v>0</v>
      </c>
      <c r="I18" s="5" t="s">
        <v>2</v>
      </c>
      <c r="J18" s="5" t="s">
        <v>44</v>
      </c>
      <c r="K18" s="5" t="s">
        <v>60</v>
      </c>
      <c r="L18" s="5" t="s">
        <v>4</v>
      </c>
      <c r="M18" s="5" t="s">
        <v>5</v>
      </c>
      <c r="N18" s="5" t="s">
        <v>6</v>
      </c>
      <c r="O18" s="5" t="s">
        <v>7</v>
      </c>
      <c r="P18" s="5" t="s">
        <v>0</v>
      </c>
      <c r="Q18" s="5" t="s">
        <v>2</v>
      </c>
      <c r="R18" s="5" t="s">
        <v>60</v>
      </c>
      <c r="S18" s="5" t="s">
        <v>4</v>
      </c>
      <c r="T18" s="5" t="s">
        <v>43</v>
      </c>
      <c r="U18" s="5" t="s">
        <v>5</v>
      </c>
      <c r="V18" s="5" t="s">
        <v>6</v>
      </c>
      <c r="W18" s="5" t="s">
        <v>7</v>
      </c>
      <c r="X18" s="5" t="s">
        <v>0</v>
      </c>
      <c r="Y18" s="5" t="s">
        <v>59</v>
      </c>
      <c r="Z18" s="5" t="s">
        <v>3</v>
      </c>
      <c r="AA18" s="5" t="s">
        <v>4</v>
      </c>
      <c r="AB18" s="5" t="s">
        <v>43</v>
      </c>
      <c r="AC18" s="5" t="s">
        <v>5</v>
      </c>
      <c r="AD18" s="5" t="s">
        <v>6</v>
      </c>
      <c r="AE18" s="5" t="s">
        <v>7</v>
      </c>
      <c r="AF18" s="5" t="s">
        <v>0</v>
      </c>
      <c r="AG18" s="5" t="s">
        <v>59</v>
      </c>
      <c r="AH18" s="9" t="s">
        <v>44</v>
      </c>
      <c r="AI18" s="2"/>
      <c r="AK18" s="4">
        <f t="shared" si="0"/>
        <v>4</v>
      </c>
      <c r="AL18" s="4">
        <f t="shared" si="1"/>
        <v>4</v>
      </c>
      <c r="AM18" s="4">
        <f t="shared" si="2"/>
        <v>4</v>
      </c>
      <c r="AN18" s="4">
        <f t="shared" si="3"/>
        <v>6</v>
      </c>
      <c r="AO18" s="4">
        <f t="shared" si="4"/>
        <v>12</v>
      </c>
    </row>
    <row r="19" spans="2:41" ht="18.75" x14ac:dyDescent="0.25">
      <c r="B19" s="40" t="s">
        <v>24</v>
      </c>
      <c r="C19" s="40"/>
      <c r="E19" s="5" t="s">
        <v>6</v>
      </c>
      <c r="F19" s="5" t="s">
        <v>7</v>
      </c>
      <c r="G19" s="5" t="s">
        <v>0</v>
      </c>
      <c r="H19" s="5" t="s">
        <v>59</v>
      </c>
      <c r="I19" s="5" t="s">
        <v>44</v>
      </c>
      <c r="J19" s="5" t="s">
        <v>3</v>
      </c>
      <c r="K19" s="5" t="s">
        <v>4</v>
      </c>
      <c r="L19" s="5" t="s">
        <v>5</v>
      </c>
      <c r="M19" s="5" t="s">
        <v>6</v>
      </c>
      <c r="N19" s="5" t="s">
        <v>7</v>
      </c>
      <c r="O19" s="5" t="s">
        <v>0</v>
      </c>
      <c r="P19" s="5" t="s">
        <v>59</v>
      </c>
      <c r="Q19" s="5" t="s">
        <v>44</v>
      </c>
      <c r="R19" s="5" t="s">
        <v>3</v>
      </c>
      <c r="S19" s="5" t="s">
        <v>4</v>
      </c>
      <c r="T19" s="5" t="s">
        <v>5</v>
      </c>
      <c r="U19" s="5" t="s">
        <v>6</v>
      </c>
      <c r="V19" s="5" t="s">
        <v>7</v>
      </c>
      <c r="W19" s="5" t="s">
        <v>0</v>
      </c>
      <c r="X19" s="5" t="s">
        <v>59</v>
      </c>
      <c r="Y19" s="5" t="s">
        <v>44</v>
      </c>
      <c r="Z19" s="5" t="s">
        <v>3</v>
      </c>
      <c r="AA19" s="5" t="s">
        <v>4</v>
      </c>
      <c r="AB19" s="5" t="s">
        <v>5</v>
      </c>
      <c r="AC19" s="5" t="s">
        <v>6</v>
      </c>
      <c r="AD19" s="5" t="s">
        <v>7</v>
      </c>
      <c r="AE19" s="5" t="s">
        <v>0</v>
      </c>
      <c r="AF19" s="5" t="s">
        <v>59</v>
      </c>
      <c r="AG19" s="5" t="s">
        <v>44</v>
      </c>
      <c r="AH19" s="9" t="s">
        <v>3</v>
      </c>
      <c r="AI19" s="2"/>
      <c r="AK19" s="4">
        <f t="shared" si="0"/>
        <v>4</v>
      </c>
      <c r="AL19" s="4">
        <f t="shared" si="1"/>
        <v>4</v>
      </c>
      <c r="AM19" s="4">
        <f t="shared" si="2"/>
        <v>4</v>
      </c>
      <c r="AN19" s="4">
        <f t="shared" si="3"/>
        <v>7</v>
      </c>
      <c r="AO19" s="4">
        <f t="shared" si="4"/>
        <v>11</v>
      </c>
    </row>
    <row r="20" spans="2:41" ht="18.75" x14ac:dyDescent="0.25">
      <c r="B20" s="40" t="s">
        <v>25</v>
      </c>
      <c r="C20" s="40"/>
      <c r="E20" s="5" t="s">
        <v>7</v>
      </c>
      <c r="F20" s="5" t="s">
        <v>0</v>
      </c>
      <c r="G20" s="5" t="s">
        <v>62</v>
      </c>
      <c r="H20" s="5" t="s">
        <v>2</v>
      </c>
      <c r="I20" s="5" t="s">
        <v>3</v>
      </c>
      <c r="J20" s="5" t="s">
        <v>4</v>
      </c>
      <c r="K20" s="5" t="s">
        <v>5</v>
      </c>
      <c r="L20" s="5" t="s">
        <v>6</v>
      </c>
      <c r="M20" s="5" t="s">
        <v>7</v>
      </c>
      <c r="N20" s="5" t="s">
        <v>0</v>
      </c>
      <c r="O20" s="5" t="s">
        <v>1</v>
      </c>
      <c r="P20" s="5" t="s">
        <v>2</v>
      </c>
      <c r="Q20" s="5" t="s">
        <v>60</v>
      </c>
      <c r="R20" s="5" t="s">
        <v>4</v>
      </c>
      <c r="S20" s="5" t="s">
        <v>5</v>
      </c>
      <c r="T20" s="5" t="s">
        <v>6</v>
      </c>
      <c r="U20" s="5" t="s">
        <v>7</v>
      </c>
      <c r="V20" s="5" t="s">
        <v>58</v>
      </c>
      <c r="W20" s="5" t="s">
        <v>1</v>
      </c>
      <c r="X20" s="5" t="s">
        <v>2</v>
      </c>
      <c r="Y20" s="5" t="s">
        <v>3</v>
      </c>
      <c r="Z20" s="5" t="s">
        <v>4</v>
      </c>
      <c r="AA20" s="5" t="s">
        <v>5</v>
      </c>
      <c r="AB20" s="5" t="s">
        <v>6</v>
      </c>
      <c r="AC20" s="5" t="s">
        <v>7</v>
      </c>
      <c r="AD20" s="5" t="s">
        <v>0</v>
      </c>
      <c r="AE20" s="5" t="s">
        <v>1</v>
      </c>
      <c r="AF20" s="5" t="s">
        <v>2</v>
      </c>
      <c r="AG20" s="5" t="s">
        <v>60</v>
      </c>
      <c r="AH20" s="9" t="s">
        <v>4</v>
      </c>
      <c r="AI20" s="2"/>
      <c r="AK20" s="4">
        <f t="shared" si="0"/>
        <v>4</v>
      </c>
      <c r="AL20" s="4">
        <f t="shared" si="1"/>
        <v>6</v>
      </c>
      <c r="AM20" s="4">
        <f t="shared" si="2"/>
        <v>4</v>
      </c>
      <c r="AN20" s="4">
        <f t="shared" si="3"/>
        <v>6</v>
      </c>
      <c r="AO20" s="4">
        <f t="shared" si="4"/>
        <v>10</v>
      </c>
    </row>
    <row r="21" spans="2:41" ht="18.75" x14ac:dyDescent="0.25">
      <c r="B21" s="40" t="s">
        <v>26</v>
      </c>
      <c r="C21" s="40"/>
      <c r="E21" s="5" t="s">
        <v>0</v>
      </c>
      <c r="F21" s="5" t="s">
        <v>1</v>
      </c>
      <c r="G21" s="5" t="s">
        <v>59</v>
      </c>
      <c r="H21" s="5" t="s">
        <v>3</v>
      </c>
      <c r="I21" s="5" t="s">
        <v>4</v>
      </c>
      <c r="J21" s="5" t="s">
        <v>5</v>
      </c>
      <c r="K21" s="5" t="s">
        <v>6</v>
      </c>
      <c r="L21" s="5" t="s">
        <v>7</v>
      </c>
      <c r="M21" s="5" t="s">
        <v>0</v>
      </c>
      <c r="N21" s="5" t="s">
        <v>1</v>
      </c>
      <c r="O21" s="5" t="s">
        <v>2</v>
      </c>
      <c r="P21" s="5" t="s">
        <v>60</v>
      </c>
      <c r="Q21" s="5" t="s">
        <v>4</v>
      </c>
      <c r="R21" s="5" t="s">
        <v>5</v>
      </c>
      <c r="S21" s="5" t="s">
        <v>6</v>
      </c>
      <c r="T21" s="5" t="s">
        <v>7</v>
      </c>
      <c r="U21" s="5" t="s">
        <v>58</v>
      </c>
      <c r="V21" s="5" t="s">
        <v>1</v>
      </c>
      <c r="W21" s="5" t="s">
        <v>2</v>
      </c>
      <c r="X21" s="5" t="s">
        <v>3</v>
      </c>
      <c r="Y21" s="5" t="s">
        <v>4</v>
      </c>
      <c r="Z21" s="5" t="s">
        <v>5</v>
      </c>
      <c r="AA21" s="5" t="s">
        <v>6</v>
      </c>
      <c r="AB21" s="5" t="s">
        <v>7</v>
      </c>
      <c r="AC21" s="5" t="s">
        <v>0</v>
      </c>
      <c r="AD21" s="5" t="s">
        <v>1</v>
      </c>
      <c r="AE21" s="5" t="s">
        <v>2</v>
      </c>
      <c r="AF21" s="5" t="s">
        <v>60</v>
      </c>
      <c r="AG21" s="5" t="s">
        <v>4</v>
      </c>
      <c r="AH21" s="9" t="s">
        <v>5</v>
      </c>
      <c r="AI21" s="2"/>
      <c r="AK21" s="4">
        <f t="shared" si="0"/>
        <v>4</v>
      </c>
      <c r="AL21" s="4">
        <f t="shared" si="1"/>
        <v>7</v>
      </c>
      <c r="AM21" s="4">
        <f t="shared" si="2"/>
        <v>3</v>
      </c>
      <c r="AN21" s="4">
        <f t="shared" si="3"/>
        <v>6</v>
      </c>
      <c r="AO21" s="4">
        <f t="shared" si="4"/>
        <v>10</v>
      </c>
    </row>
    <row r="22" spans="2:41" ht="18.75" x14ac:dyDescent="0.25">
      <c r="B22" s="40" t="s">
        <v>27</v>
      </c>
      <c r="C22" s="40"/>
      <c r="E22" s="5" t="s">
        <v>2</v>
      </c>
      <c r="F22" s="5" t="s">
        <v>44</v>
      </c>
      <c r="G22" s="5" t="s">
        <v>60</v>
      </c>
      <c r="H22" s="5" t="s">
        <v>4</v>
      </c>
      <c r="I22" s="5" t="s">
        <v>5</v>
      </c>
      <c r="J22" s="5" t="s">
        <v>6</v>
      </c>
      <c r="K22" s="5" t="s">
        <v>7</v>
      </c>
      <c r="L22" s="5" t="s">
        <v>0</v>
      </c>
      <c r="M22" s="5" t="s">
        <v>1</v>
      </c>
      <c r="N22" s="5" t="s">
        <v>2</v>
      </c>
      <c r="O22" s="5" t="s">
        <v>60</v>
      </c>
      <c r="P22" s="5" t="s">
        <v>4</v>
      </c>
      <c r="Q22" s="5" t="s">
        <v>5</v>
      </c>
      <c r="R22" s="5" t="s">
        <v>6</v>
      </c>
      <c r="S22" s="5" t="s">
        <v>7</v>
      </c>
      <c r="T22" s="5" t="s">
        <v>0</v>
      </c>
      <c r="U22" s="5" t="s">
        <v>1</v>
      </c>
      <c r="V22" s="5" t="s">
        <v>2</v>
      </c>
      <c r="W22" s="5" t="s">
        <v>3</v>
      </c>
      <c r="X22" s="5" t="s">
        <v>4</v>
      </c>
      <c r="Y22" s="5" t="s">
        <v>5</v>
      </c>
      <c r="Z22" s="5" t="s">
        <v>6</v>
      </c>
      <c r="AA22" s="5" t="s">
        <v>7</v>
      </c>
      <c r="AB22" s="5" t="s">
        <v>0</v>
      </c>
      <c r="AC22" s="5" t="s">
        <v>59</v>
      </c>
      <c r="AD22" s="5" t="s">
        <v>44</v>
      </c>
      <c r="AE22" s="5" t="s">
        <v>3</v>
      </c>
      <c r="AF22" s="5" t="s">
        <v>4</v>
      </c>
      <c r="AG22" s="5" t="s">
        <v>5</v>
      </c>
      <c r="AH22" s="9" t="s">
        <v>6</v>
      </c>
      <c r="AI22" s="2"/>
      <c r="AK22" s="4">
        <f t="shared" si="0"/>
        <v>3</v>
      </c>
      <c r="AL22" s="4">
        <f t="shared" si="1"/>
        <v>5</v>
      </c>
      <c r="AM22" s="4">
        <f t="shared" si="2"/>
        <v>5</v>
      </c>
      <c r="AN22" s="4">
        <f t="shared" si="3"/>
        <v>6</v>
      </c>
      <c r="AO22" s="4">
        <f t="shared" si="4"/>
        <v>11</v>
      </c>
    </row>
    <row r="23" spans="2:41" ht="18.75" x14ac:dyDescent="0.25">
      <c r="B23" s="40" t="s">
        <v>28</v>
      </c>
      <c r="C23" s="40"/>
      <c r="E23" s="5" t="s">
        <v>2</v>
      </c>
      <c r="F23" s="5" t="s">
        <v>60</v>
      </c>
      <c r="G23" s="5" t="s">
        <v>4</v>
      </c>
      <c r="H23" s="5" t="s">
        <v>5</v>
      </c>
      <c r="I23" s="5" t="s">
        <v>6</v>
      </c>
      <c r="J23" s="5" t="s">
        <v>7</v>
      </c>
      <c r="K23" s="5" t="s">
        <v>0</v>
      </c>
      <c r="L23" s="5" t="s">
        <v>2</v>
      </c>
      <c r="M23" s="5" t="s">
        <v>61</v>
      </c>
      <c r="N23" s="5" t="s">
        <v>3</v>
      </c>
      <c r="O23" s="5" t="s">
        <v>4</v>
      </c>
      <c r="P23" s="5" t="s">
        <v>5</v>
      </c>
      <c r="Q23" s="5" t="s">
        <v>6</v>
      </c>
      <c r="R23" s="5" t="s">
        <v>7</v>
      </c>
      <c r="S23" s="5" t="s">
        <v>0</v>
      </c>
      <c r="T23" s="5" t="s">
        <v>2</v>
      </c>
      <c r="U23" s="5" t="s">
        <v>61</v>
      </c>
      <c r="V23" s="5" t="s">
        <v>3</v>
      </c>
      <c r="W23" s="5" t="s">
        <v>4</v>
      </c>
      <c r="X23" s="5" t="s">
        <v>5</v>
      </c>
      <c r="Y23" s="5" t="s">
        <v>6</v>
      </c>
      <c r="Z23" s="5" t="s">
        <v>7</v>
      </c>
      <c r="AA23" s="5" t="s">
        <v>0</v>
      </c>
      <c r="AB23" s="5" t="s">
        <v>59</v>
      </c>
      <c r="AC23" s="5" t="s">
        <v>44</v>
      </c>
      <c r="AD23" s="5" t="s">
        <v>3</v>
      </c>
      <c r="AE23" s="5" t="s">
        <v>4</v>
      </c>
      <c r="AF23" s="5" t="s">
        <v>5</v>
      </c>
      <c r="AG23" s="5" t="s">
        <v>6</v>
      </c>
      <c r="AH23" s="9" t="s">
        <v>7</v>
      </c>
      <c r="AI23" s="2"/>
      <c r="AK23" s="4">
        <f t="shared" si="0"/>
        <v>4</v>
      </c>
      <c r="AL23" s="4">
        <f t="shared" si="1"/>
        <v>3</v>
      </c>
      <c r="AM23" s="4">
        <f t="shared" si="2"/>
        <v>4</v>
      </c>
      <c r="AN23" s="4">
        <f t="shared" si="3"/>
        <v>7</v>
      </c>
      <c r="AO23" s="4">
        <f t="shared" si="4"/>
        <v>12</v>
      </c>
    </row>
    <row r="24" spans="2:41" ht="18.75" x14ac:dyDescent="0.25">
      <c r="B24" s="40" t="s">
        <v>29</v>
      </c>
      <c r="C24" s="40"/>
      <c r="E24" s="5" t="s">
        <v>60</v>
      </c>
      <c r="F24" s="5" t="s">
        <v>4</v>
      </c>
      <c r="G24" s="5" t="s">
        <v>5</v>
      </c>
      <c r="H24" s="5" t="s">
        <v>6</v>
      </c>
      <c r="I24" s="5" t="s">
        <v>7</v>
      </c>
      <c r="J24" s="5" t="s">
        <v>0</v>
      </c>
      <c r="K24" s="5" t="s">
        <v>2</v>
      </c>
      <c r="L24" s="5" t="s">
        <v>61</v>
      </c>
      <c r="M24" s="5" t="s">
        <v>3</v>
      </c>
      <c r="N24" s="5" t="s">
        <v>4</v>
      </c>
      <c r="O24" s="5" t="s">
        <v>5</v>
      </c>
      <c r="P24" s="5" t="s">
        <v>6</v>
      </c>
      <c r="Q24" s="5" t="s">
        <v>7</v>
      </c>
      <c r="R24" s="5" t="s">
        <v>0</v>
      </c>
      <c r="S24" s="5" t="s">
        <v>59</v>
      </c>
      <c r="T24" s="5" t="s">
        <v>44</v>
      </c>
      <c r="U24" s="5" t="s">
        <v>3</v>
      </c>
      <c r="V24" s="5" t="s">
        <v>4</v>
      </c>
      <c r="W24" s="5" t="s">
        <v>5</v>
      </c>
      <c r="X24" s="5" t="s">
        <v>6</v>
      </c>
      <c r="Y24" s="5" t="s">
        <v>7</v>
      </c>
      <c r="Z24" s="5" t="s">
        <v>0</v>
      </c>
      <c r="AA24" s="5" t="s">
        <v>59</v>
      </c>
      <c r="AB24" s="5" t="s">
        <v>44</v>
      </c>
      <c r="AC24" s="5" t="s">
        <v>3</v>
      </c>
      <c r="AD24" s="5" t="s">
        <v>4</v>
      </c>
      <c r="AE24" s="5" t="s">
        <v>5</v>
      </c>
      <c r="AF24" s="5" t="s">
        <v>6</v>
      </c>
      <c r="AG24" s="5" t="s">
        <v>7</v>
      </c>
      <c r="AH24" s="9" t="s">
        <v>0</v>
      </c>
      <c r="AI24" s="2"/>
      <c r="AK24" s="4">
        <f t="shared" si="0"/>
        <v>4</v>
      </c>
      <c r="AL24" s="4">
        <f t="shared" si="1"/>
        <v>4</v>
      </c>
      <c r="AM24" s="4">
        <f t="shared" si="2"/>
        <v>3</v>
      </c>
      <c r="AN24" s="4">
        <f t="shared" si="3"/>
        <v>7</v>
      </c>
      <c r="AO24" s="4">
        <f t="shared" si="4"/>
        <v>12</v>
      </c>
    </row>
    <row r="25" spans="2:41" ht="18.75" x14ac:dyDescent="0.25">
      <c r="B25" s="40" t="s">
        <v>30</v>
      </c>
      <c r="C25" s="40"/>
      <c r="E25" s="5" t="s">
        <v>4</v>
      </c>
      <c r="F25" s="5" t="s">
        <v>5</v>
      </c>
      <c r="G25" s="5" t="s">
        <v>6</v>
      </c>
      <c r="H25" s="5" t="s">
        <v>7</v>
      </c>
      <c r="I25" s="5" t="s">
        <v>0</v>
      </c>
      <c r="J25" s="5" t="s">
        <v>2</v>
      </c>
      <c r="K25" s="5" t="s">
        <v>44</v>
      </c>
      <c r="L25" s="5" t="s">
        <v>60</v>
      </c>
      <c r="M25" s="5" t="s">
        <v>4</v>
      </c>
      <c r="N25" s="5" t="s">
        <v>5</v>
      </c>
      <c r="O25" s="5" t="s">
        <v>6</v>
      </c>
      <c r="P25" s="5" t="s">
        <v>7</v>
      </c>
      <c r="Q25" s="5" t="s">
        <v>0</v>
      </c>
      <c r="R25" s="5" t="s">
        <v>2</v>
      </c>
      <c r="S25" s="5" t="s">
        <v>3</v>
      </c>
      <c r="T25" s="5" t="s">
        <v>4</v>
      </c>
      <c r="U25" s="5" t="s">
        <v>43</v>
      </c>
      <c r="V25" s="5" t="s">
        <v>5</v>
      </c>
      <c r="W25" s="5" t="s">
        <v>6</v>
      </c>
      <c r="X25" s="5" t="s">
        <v>7</v>
      </c>
      <c r="Y25" s="5" t="s">
        <v>0</v>
      </c>
      <c r="Z25" s="5" t="s">
        <v>2</v>
      </c>
      <c r="AA25" s="5" t="s">
        <v>60</v>
      </c>
      <c r="AB25" s="5" t="s">
        <v>4</v>
      </c>
      <c r="AC25" s="5" t="s">
        <v>43</v>
      </c>
      <c r="AD25" s="5" t="s">
        <v>5</v>
      </c>
      <c r="AE25" s="5" t="s">
        <v>6</v>
      </c>
      <c r="AF25" s="5" t="s">
        <v>7</v>
      </c>
      <c r="AG25" s="5" t="s">
        <v>0</v>
      </c>
      <c r="AH25" s="9" t="s">
        <v>59</v>
      </c>
      <c r="AI25" s="2"/>
      <c r="AK25" s="4">
        <f t="shared" si="0"/>
        <v>3</v>
      </c>
      <c r="AL25" s="4">
        <f t="shared" si="1"/>
        <v>4</v>
      </c>
      <c r="AM25" s="4">
        <f t="shared" si="2"/>
        <v>4</v>
      </c>
      <c r="AN25" s="4">
        <f t="shared" si="3"/>
        <v>7</v>
      </c>
      <c r="AO25" s="4">
        <f t="shared" si="4"/>
        <v>12</v>
      </c>
    </row>
    <row r="26" spans="2:41" ht="18.75" x14ac:dyDescent="0.25">
      <c r="B26" s="40" t="s">
        <v>31</v>
      </c>
      <c r="C26" s="40"/>
      <c r="E26" s="5" t="s">
        <v>5</v>
      </c>
      <c r="F26" s="5" t="s">
        <v>6</v>
      </c>
      <c r="G26" s="5" t="s">
        <v>7</v>
      </c>
      <c r="H26" s="5" t="s">
        <v>0</v>
      </c>
      <c r="I26" s="5" t="s">
        <v>59</v>
      </c>
      <c r="J26" s="5" t="s">
        <v>3</v>
      </c>
      <c r="K26" s="5" t="s">
        <v>4</v>
      </c>
      <c r="L26" s="5" t="s">
        <v>43</v>
      </c>
      <c r="M26" s="5" t="s">
        <v>5</v>
      </c>
      <c r="N26" s="5" t="s">
        <v>6</v>
      </c>
      <c r="O26" s="5" t="s">
        <v>7</v>
      </c>
      <c r="P26" s="5" t="s">
        <v>0</v>
      </c>
      <c r="Q26" s="5" t="s">
        <v>2</v>
      </c>
      <c r="R26" s="5" t="s">
        <v>3</v>
      </c>
      <c r="S26" s="5" t="s">
        <v>4</v>
      </c>
      <c r="T26" s="5" t="s">
        <v>43</v>
      </c>
      <c r="U26" s="5" t="s">
        <v>5</v>
      </c>
      <c r="V26" s="5" t="s">
        <v>6</v>
      </c>
      <c r="W26" s="5" t="s">
        <v>7</v>
      </c>
      <c r="X26" s="5" t="s">
        <v>0</v>
      </c>
      <c r="Y26" s="5" t="s">
        <v>2</v>
      </c>
      <c r="Z26" s="5" t="s">
        <v>60</v>
      </c>
      <c r="AA26" s="5" t="s">
        <v>4</v>
      </c>
      <c r="AB26" s="5" t="s">
        <v>43</v>
      </c>
      <c r="AC26" s="5" t="s">
        <v>5</v>
      </c>
      <c r="AD26" s="5" t="s">
        <v>6</v>
      </c>
      <c r="AE26" s="5" t="s">
        <v>7</v>
      </c>
      <c r="AF26" s="5" t="s">
        <v>58</v>
      </c>
      <c r="AG26" s="5" t="s">
        <v>2</v>
      </c>
      <c r="AH26" s="9" t="s">
        <v>3</v>
      </c>
      <c r="AI26" s="2"/>
      <c r="AK26" s="4">
        <f t="shared" si="0"/>
        <v>3</v>
      </c>
      <c r="AL26" s="4">
        <f t="shared" si="1"/>
        <v>3</v>
      </c>
      <c r="AM26" s="4">
        <f t="shared" si="2"/>
        <v>3</v>
      </c>
      <c r="AN26" s="4">
        <f t="shared" si="3"/>
        <v>9</v>
      </c>
      <c r="AO26" s="4">
        <f t="shared" si="4"/>
        <v>12</v>
      </c>
    </row>
    <row r="27" spans="2:41" ht="18.75" x14ac:dyDescent="0.25">
      <c r="B27" s="40" t="s">
        <v>32</v>
      </c>
      <c r="C27" s="40"/>
      <c r="E27" s="5" t="s">
        <v>6</v>
      </c>
      <c r="F27" s="5" t="s">
        <v>7</v>
      </c>
      <c r="G27" s="5" t="s">
        <v>0</v>
      </c>
      <c r="H27" s="5" t="s">
        <v>2</v>
      </c>
      <c r="I27" s="5" t="s">
        <v>60</v>
      </c>
      <c r="J27" s="5" t="s">
        <v>4</v>
      </c>
      <c r="K27" s="5" t="s">
        <v>43</v>
      </c>
      <c r="L27" s="5" t="s">
        <v>5</v>
      </c>
      <c r="M27" s="5" t="s">
        <v>6</v>
      </c>
      <c r="N27" s="5" t="s">
        <v>7</v>
      </c>
      <c r="O27" s="5" t="s">
        <v>0</v>
      </c>
      <c r="P27" s="5" t="s">
        <v>1</v>
      </c>
      <c r="Q27" s="5" t="s">
        <v>59</v>
      </c>
      <c r="R27" s="5" t="s">
        <v>3</v>
      </c>
      <c r="S27" s="5" t="s">
        <v>4</v>
      </c>
      <c r="T27" s="5" t="s">
        <v>5</v>
      </c>
      <c r="U27" s="5" t="s">
        <v>6</v>
      </c>
      <c r="V27" s="5" t="s">
        <v>7</v>
      </c>
      <c r="W27" s="5" t="s">
        <v>58</v>
      </c>
      <c r="X27" s="5" t="s">
        <v>1</v>
      </c>
      <c r="Y27" s="5" t="s">
        <v>2</v>
      </c>
      <c r="Z27" s="5" t="s">
        <v>3</v>
      </c>
      <c r="AA27" s="5" t="s">
        <v>4</v>
      </c>
      <c r="AB27" s="5" t="s">
        <v>5</v>
      </c>
      <c r="AC27" s="5" t="s">
        <v>6</v>
      </c>
      <c r="AD27" s="5" t="s">
        <v>7</v>
      </c>
      <c r="AE27" s="5" t="s">
        <v>58</v>
      </c>
      <c r="AF27" s="5" t="s">
        <v>1</v>
      </c>
      <c r="AG27" s="5" t="s">
        <v>2</v>
      </c>
      <c r="AH27" s="9" t="s">
        <v>3</v>
      </c>
      <c r="AI27" s="2"/>
      <c r="AK27" s="4">
        <f t="shared" si="0"/>
        <v>4</v>
      </c>
      <c r="AL27" s="4">
        <f t="shared" si="1"/>
        <v>5</v>
      </c>
      <c r="AM27" s="4">
        <f t="shared" si="2"/>
        <v>3</v>
      </c>
      <c r="AN27" s="4">
        <f t="shared" si="3"/>
        <v>7</v>
      </c>
      <c r="AO27" s="4">
        <f t="shared" si="4"/>
        <v>11</v>
      </c>
    </row>
    <row r="28" spans="2:41" ht="18.75" x14ac:dyDescent="0.25">
      <c r="B28" s="40" t="s">
        <v>33</v>
      </c>
      <c r="C28" s="40"/>
      <c r="E28" s="5" t="s">
        <v>7</v>
      </c>
      <c r="F28" s="5" t="s">
        <v>58</v>
      </c>
      <c r="G28" s="5" t="s">
        <v>1</v>
      </c>
      <c r="H28" s="5" t="s">
        <v>2</v>
      </c>
      <c r="I28" s="5" t="s">
        <v>3</v>
      </c>
      <c r="J28" s="5" t="s">
        <v>4</v>
      </c>
      <c r="K28" s="5" t="s">
        <v>5</v>
      </c>
      <c r="L28" s="5" t="s">
        <v>6</v>
      </c>
      <c r="M28" s="5" t="s">
        <v>7</v>
      </c>
      <c r="N28" s="5" t="s">
        <v>58</v>
      </c>
      <c r="O28" s="5" t="s">
        <v>1</v>
      </c>
      <c r="P28" s="5" t="s">
        <v>2</v>
      </c>
      <c r="Q28" s="5" t="s">
        <v>3</v>
      </c>
      <c r="R28" s="5" t="s">
        <v>4</v>
      </c>
      <c r="S28" s="5" t="s">
        <v>5</v>
      </c>
      <c r="T28" s="5" t="s">
        <v>6</v>
      </c>
      <c r="U28" s="5" t="s">
        <v>7</v>
      </c>
      <c r="V28" s="5" t="s">
        <v>58</v>
      </c>
      <c r="W28" s="5" t="s">
        <v>1</v>
      </c>
      <c r="X28" s="5" t="s">
        <v>2</v>
      </c>
      <c r="Y28" s="5" t="s">
        <v>3</v>
      </c>
      <c r="Z28" s="5" t="s">
        <v>4</v>
      </c>
      <c r="AA28" s="5" t="s">
        <v>5</v>
      </c>
      <c r="AB28" s="5" t="s">
        <v>6</v>
      </c>
      <c r="AC28" s="5" t="s">
        <v>7</v>
      </c>
      <c r="AD28" s="5" t="s">
        <v>58</v>
      </c>
      <c r="AE28" s="5" t="s">
        <v>1</v>
      </c>
      <c r="AF28" s="5" t="s">
        <v>2</v>
      </c>
      <c r="AG28" s="5" t="s">
        <v>3</v>
      </c>
      <c r="AH28" s="9" t="s">
        <v>4</v>
      </c>
      <c r="AI28" s="2"/>
      <c r="AK28" s="4">
        <f t="shared" si="0"/>
        <v>4</v>
      </c>
      <c r="AL28" s="4">
        <f t="shared" si="1"/>
        <v>4</v>
      </c>
      <c r="AM28" s="4">
        <f t="shared" si="2"/>
        <v>4</v>
      </c>
      <c r="AN28" s="4">
        <f t="shared" si="3"/>
        <v>8</v>
      </c>
      <c r="AO28" s="4">
        <f t="shared" si="4"/>
        <v>10</v>
      </c>
    </row>
    <row r="29" spans="2:41" ht="18.75" x14ac:dyDescent="0.25">
      <c r="B29" s="40" t="s">
        <v>34</v>
      </c>
      <c r="C29" s="40"/>
      <c r="E29" s="5" t="s">
        <v>0</v>
      </c>
      <c r="F29" s="5" t="s">
        <v>1</v>
      </c>
      <c r="G29" s="5" t="s">
        <v>2</v>
      </c>
      <c r="H29" s="5" t="s">
        <v>60</v>
      </c>
      <c r="I29" s="5" t="s">
        <v>4</v>
      </c>
      <c r="J29" s="5" t="s">
        <v>5</v>
      </c>
      <c r="K29" s="5" t="s">
        <v>6</v>
      </c>
      <c r="L29" s="5" t="s">
        <v>7</v>
      </c>
      <c r="M29" s="5" t="s">
        <v>0</v>
      </c>
      <c r="N29" s="5" t="s">
        <v>62</v>
      </c>
      <c r="O29" s="5" t="s">
        <v>2</v>
      </c>
      <c r="P29" s="5" t="s">
        <v>3</v>
      </c>
      <c r="Q29" s="5" t="s">
        <v>4</v>
      </c>
      <c r="R29" s="5" t="s">
        <v>5</v>
      </c>
      <c r="S29" s="5" t="s">
        <v>6</v>
      </c>
      <c r="T29" s="5" t="s">
        <v>7</v>
      </c>
      <c r="U29" s="5" t="s">
        <v>0</v>
      </c>
      <c r="V29" s="5" t="s">
        <v>1</v>
      </c>
      <c r="W29" s="5" t="s">
        <v>2</v>
      </c>
      <c r="X29" s="5" t="s">
        <v>60</v>
      </c>
      <c r="Y29" s="5" t="s">
        <v>4</v>
      </c>
      <c r="Z29" s="5" t="s">
        <v>5</v>
      </c>
      <c r="AA29" s="5" t="s">
        <v>6</v>
      </c>
      <c r="AB29" s="5" t="s">
        <v>7</v>
      </c>
      <c r="AC29" s="5" t="s">
        <v>58</v>
      </c>
      <c r="AD29" s="5" t="s">
        <v>1</v>
      </c>
      <c r="AE29" s="5" t="s">
        <v>2</v>
      </c>
      <c r="AF29" s="5" t="s">
        <v>3</v>
      </c>
      <c r="AG29" s="5" t="s">
        <v>4</v>
      </c>
      <c r="AH29" s="9" t="s">
        <v>5</v>
      </c>
      <c r="AI29" s="2"/>
      <c r="AK29" s="4">
        <f t="shared" si="0"/>
        <v>4</v>
      </c>
      <c r="AL29" s="4">
        <f t="shared" si="1"/>
        <v>6</v>
      </c>
      <c r="AM29" s="4">
        <f t="shared" si="2"/>
        <v>4</v>
      </c>
      <c r="AN29" s="4">
        <f t="shared" si="3"/>
        <v>6</v>
      </c>
      <c r="AO29" s="4">
        <f t="shared" si="4"/>
        <v>10</v>
      </c>
    </row>
    <row r="30" spans="2:41" ht="18.75" x14ac:dyDescent="0.25">
      <c r="B30" s="40" t="s">
        <v>35</v>
      </c>
      <c r="C30" s="40"/>
      <c r="E30" s="5" t="s">
        <v>1</v>
      </c>
      <c r="F30" s="5" t="s">
        <v>2</v>
      </c>
      <c r="G30" s="5" t="s">
        <v>3</v>
      </c>
      <c r="H30" s="5" t="s">
        <v>4</v>
      </c>
      <c r="I30" s="5" t="s">
        <v>5</v>
      </c>
      <c r="J30" s="5" t="s">
        <v>6</v>
      </c>
      <c r="K30" s="5" t="s">
        <v>7</v>
      </c>
      <c r="L30" s="5" t="s">
        <v>0</v>
      </c>
      <c r="M30" s="5" t="s">
        <v>59</v>
      </c>
      <c r="N30" s="5" t="s">
        <v>44</v>
      </c>
      <c r="O30" s="5" t="s">
        <v>3</v>
      </c>
      <c r="P30" s="5" t="s">
        <v>4</v>
      </c>
      <c r="Q30" s="5" t="s">
        <v>5</v>
      </c>
      <c r="R30" s="5" t="s">
        <v>6</v>
      </c>
      <c r="S30" s="5" t="s">
        <v>7</v>
      </c>
      <c r="T30" s="5" t="s">
        <v>0</v>
      </c>
      <c r="U30" s="5" t="s">
        <v>1</v>
      </c>
      <c r="V30" s="5" t="s">
        <v>2</v>
      </c>
      <c r="W30" s="5" t="s">
        <v>60</v>
      </c>
      <c r="X30" s="5" t="s">
        <v>4</v>
      </c>
      <c r="Y30" s="5" t="s">
        <v>5</v>
      </c>
      <c r="Z30" s="5" t="s">
        <v>6</v>
      </c>
      <c r="AA30" s="5" t="s">
        <v>7</v>
      </c>
      <c r="AB30" s="5" t="s">
        <v>0</v>
      </c>
      <c r="AC30" s="5" t="s">
        <v>1</v>
      </c>
      <c r="AD30" s="5" t="s">
        <v>59</v>
      </c>
      <c r="AE30" s="5" t="s">
        <v>3</v>
      </c>
      <c r="AF30" s="5" t="s">
        <v>4</v>
      </c>
      <c r="AG30" s="5" t="s">
        <v>5</v>
      </c>
      <c r="AH30" s="9" t="s">
        <v>6</v>
      </c>
      <c r="AI30" s="2"/>
      <c r="AK30" s="4">
        <f t="shared" si="0"/>
        <v>3</v>
      </c>
      <c r="AL30" s="4">
        <f t="shared" si="1"/>
        <v>6</v>
      </c>
      <c r="AM30" s="4">
        <f t="shared" si="2"/>
        <v>3</v>
      </c>
      <c r="AN30" s="4">
        <f t="shared" si="3"/>
        <v>7</v>
      </c>
      <c r="AO30" s="4">
        <f t="shared" si="4"/>
        <v>11</v>
      </c>
    </row>
    <row r="31" spans="2:41" ht="18.75" x14ac:dyDescent="0.25">
      <c r="B31" s="40" t="s">
        <v>36</v>
      </c>
      <c r="C31" s="40"/>
      <c r="E31" s="5" t="s">
        <v>2</v>
      </c>
      <c r="F31" s="5" t="s">
        <v>3</v>
      </c>
      <c r="G31" s="5" t="s">
        <v>4</v>
      </c>
      <c r="H31" s="5" t="s">
        <v>5</v>
      </c>
      <c r="I31" s="5" t="s">
        <v>6</v>
      </c>
      <c r="J31" s="5" t="s">
        <v>7</v>
      </c>
      <c r="K31" s="5" t="s">
        <v>58</v>
      </c>
      <c r="L31" s="5" t="s">
        <v>2</v>
      </c>
      <c r="M31" s="5" t="s">
        <v>44</v>
      </c>
      <c r="N31" s="5" t="s">
        <v>3</v>
      </c>
      <c r="O31" s="5" t="s">
        <v>4</v>
      </c>
      <c r="P31" s="5" t="s">
        <v>5</v>
      </c>
      <c r="Q31" s="5" t="s">
        <v>6</v>
      </c>
      <c r="R31" s="5" t="s">
        <v>7</v>
      </c>
      <c r="S31" s="5" t="s">
        <v>58</v>
      </c>
      <c r="T31" s="5" t="s">
        <v>2</v>
      </c>
      <c r="U31" s="5" t="s">
        <v>44</v>
      </c>
      <c r="V31" s="5" t="s">
        <v>60</v>
      </c>
      <c r="W31" s="5" t="s">
        <v>4</v>
      </c>
      <c r="X31" s="5" t="s">
        <v>5</v>
      </c>
      <c r="Y31" s="5" t="s">
        <v>6</v>
      </c>
      <c r="Z31" s="5" t="s">
        <v>7</v>
      </c>
      <c r="AA31" s="5" t="s">
        <v>58</v>
      </c>
      <c r="AB31" s="5" t="s">
        <v>2</v>
      </c>
      <c r="AC31" s="5" t="s">
        <v>61</v>
      </c>
      <c r="AD31" s="5" t="s">
        <v>3</v>
      </c>
      <c r="AE31" s="5" t="s">
        <v>4</v>
      </c>
      <c r="AF31" s="5" t="s">
        <v>5</v>
      </c>
      <c r="AG31" s="5" t="s">
        <v>6</v>
      </c>
      <c r="AH31" s="9" t="s">
        <v>7</v>
      </c>
      <c r="AI31" s="2"/>
      <c r="AK31" s="4">
        <f t="shared" si="0"/>
        <v>5</v>
      </c>
      <c r="AL31" s="4">
        <f t="shared" si="1"/>
        <v>0</v>
      </c>
      <c r="AM31" s="4">
        <f t="shared" si="2"/>
        <v>6</v>
      </c>
      <c r="AN31" s="4">
        <f t="shared" si="3"/>
        <v>7</v>
      </c>
      <c r="AO31" s="4">
        <f t="shared" si="4"/>
        <v>12</v>
      </c>
    </row>
    <row r="32" spans="2:41" ht="18.75" x14ac:dyDescent="0.25">
      <c r="B32" s="40" t="s">
        <v>37</v>
      </c>
      <c r="C32" s="40"/>
      <c r="E32" s="5" t="s">
        <v>3</v>
      </c>
      <c r="F32" s="5" t="s">
        <v>4</v>
      </c>
      <c r="G32" s="5" t="s">
        <v>5</v>
      </c>
      <c r="H32" s="5" t="s">
        <v>6</v>
      </c>
      <c r="I32" s="5" t="s">
        <v>7</v>
      </c>
      <c r="J32" s="5" t="s">
        <v>58</v>
      </c>
      <c r="K32" s="5" t="s">
        <v>2</v>
      </c>
      <c r="L32" s="5" t="s">
        <v>44</v>
      </c>
      <c r="M32" s="5" t="s">
        <v>3</v>
      </c>
      <c r="N32" s="5" t="s">
        <v>4</v>
      </c>
      <c r="O32" s="5" t="s">
        <v>5</v>
      </c>
      <c r="P32" s="5" t="s">
        <v>6</v>
      </c>
      <c r="Q32" s="5" t="s">
        <v>7</v>
      </c>
      <c r="R32" s="5" t="s">
        <v>58</v>
      </c>
      <c r="S32" s="5" t="s">
        <v>1</v>
      </c>
      <c r="T32" s="5" t="s">
        <v>2</v>
      </c>
      <c r="U32" s="5" t="s">
        <v>60</v>
      </c>
      <c r="V32" s="5" t="s">
        <v>4</v>
      </c>
      <c r="W32" s="5" t="s">
        <v>5</v>
      </c>
      <c r="X32" s="5" t="s">
        <v>6</v>
      </c>
      <c r="Y32" s="5" t="s">
        <v>7</v>
      </c>
      <c r="Z32" s="5" t="s">
        <v>58</v>
      </c>
      <c r="AA32" s="5" t="s">
        <v>1</v>
      </c>
      <c r="AB32" s="5" t="s">
        <v>2</v>
      </c>
      <c r="AC32" s="5" t="s">
        <v>3</v>
      </c>
      <c r="AD32" s="5" t="s">
        <v>4</v>
      </c>
      <c r="AE32" s="5" t="s">
        <v>5</v>
      </c>
      <c r="AF32" s="5" t="s">
        <v>6</v>
      </c>
      <c r="AG32" s="5" t="s">
        <v>7</v>
      </c>
      <c r="AH32" s="9" t="s">
        <v>0</v>
      </c>
      <c r="AI32" s="2"/>
      <c r="AK32" s="4">
        <f t="shared" si="0"/>
        <v>4</v>
      </c>
      <c r="AL32" s="4">
        <f t="shared" si="1"/>
        <v>3</v>
      </c>
      <c r="AM32" s="4">
        <f t="shared" si="2"/>
        <v>4</v>
      </c>
      <c r="AN32" s="4">
        <f t="shared" si="3"/>
        <v>7</v>
      </c>
      <c r="AO32" s="4">
        <f t="shared" si="4"/>
        <v>12</v>
      </c>
    </row>
    <row r="33" spans="2:41" ht="18.75" x14ac:dyDescent="0.25">
      <c r="B33" s="40" t="s">
        <v>38</v>
      </c>
      <c r="C33" s="40"/>
      <c r="E33" s="5" t="s">
        <v>4</v>
      </c>
      <c r="F33" s="5" t="s">
        <v>5</v>
      </c>
      <c r="G33" s="5" t="s">
        <v>6</v>
      </c>
      <c r="H33" s="5" t="s">
        <v>7</v>
      </c>
      <c r="I33" s="5" t="s">
        <v>0</v>
      </c>
      <c r="J33" s="5" t="s">
        <v>2</v>
      </c>
      <c r="K33" s="5" t="s">
        <v>61</v>
      </c>
      <c r="L33" s="5" t="s">
        <v>3</v>
      </c>
      <c r="M33" s="5" t="s">
        <v>4</v>
      </c>
      <c r="N33" s="5" t="s">
        <v>5</v>
      </c>
      <c r="O33" s="5" t="s">
        <v>6</v>
      </c>
      <c r="P33" s="5" t="s">
        <v>7</v>
      </c>
      <c r="Q33" s="5" t="s">
        <v>0</v>
      </c>
      <c r="R33" s="5" t="s">
        <v>2</v>
      </c>
      <c r="S33" s="5" t="s">
        <v>44</v>
      </c>
      <c r="T33" s="5" t="s">
        <v>60</v>
      </c>
      <c r="U33" s="5" t="s">
        <v>4</v>
      </c>
      <c r="V33" s="5" t="s">
        <v>5</v>
      </c>
      <c r="W33" s="5" t="s">
        <v>6</v>
      </c>
      <c r="X33" s="5" t="s">
        <v>7</v>
      </c>
      <c r="Y33" s="5" t="s">
        <v>0</v>
      </c>
      <c r="Z33" s="5" t="s">
        <v>59</v>
      </c>
      <c r="AA33" s="5" t="s">
        <v>44</v>
      </c>
      <c r="AB33" s="5" t="s">
        <v>3</v>
      </c>
      <c r="AC33" s="5" t="s">
        <v>4</v>
      </c>
      <c r="AD33" s="5" t="s">
        <v>5</v>
      </c>
      <c r="AE33" s="5" t="s">
        <v>6</v>
      </c>
      <c r="AF33" s="5" t="s">
        <v>7</v>
      </c>
      <c r="AG33" s="5" t="s">
        <v>0</v>
      </c>
      <c r="AH33" s="9" t="s">
        <v>2</v>
      </c>
      <c r="AI33" s="2"/>
      <c r="AK33" s="4">
        <f t="shared" si="0"/>
        <v>3</v>
      </c>
      <c r="AL33" s="4">
        <f t="shared" si="1"/>
        <v>4</v>
      </c>
      <c r="AM33" s="4">
        <f t="shared" si="2"/>
        <v>5</v>
      </c>
      <c r="AN33" s="4">
        <f t="shared" si="3"/>
        <v>6</v>
      </c>
      <c r="AO33" s="4">
        <f t="shared" si="4"/>
        <v>12</v>
      </c>
    </row>
    <row r="34" spans="2:41" ht="18.75" x14ac:dyDescent="0.25">
      <c r="B34" s="40" t="s">
        <v>39</v>
      </c>
      <c r="C34" s="40"/>
      <c r="E34" s="5" t="s">
        <v>5</v>
      </c>
      <c r="F34" s="5" t="s">
        <v>6</v>
      </c>
      <c r="G34" s="5" t="s">
        <v>7</v>
      </c>
      <c r="H34" s="5" t="s">
        <v>0</v>
      </c>
      <c r="I34" s="5" t="s">
        <v>1</v>
      </c>
      <c r="J34" s="5" t="s">
        <v>59</v>
      </c>
      <c r="K34" s="5" t="s">
        <v>3</v>
      </c>
      <c r="L34" s="5" t="s">
        <v>4</v>
      </c>
      <c r="M34" s="5" t="s">
        <v>5</v>
      </c>
      <c r="N34" s="5" t="s">
        <v>6</v>
      </c>
      <c r="O34" s="5" t="s">
        <v>7</v>
      </c>
      <c r="P34" s="5" t="s">
        <v>58</v>
      </c>
      <c r="Q34" s="5" t="s">
        <v>1</v>
      </c>
      <c r="R34" s="5" t="s">
        <v>2</v>
      </c>
      <c r="S34" s="5" t="s">
        <v>3</v>
      </c>
      <c r="T34" s="5" t="s">
        <v>4</v>
      </c>
      <c r="U34" s="5" t="s">
        <v>5</v>
      </c>
      <c r="V34" s="5" t="s">
        <v>6</v>
      </c>
      <c r="W34" s="5" t="s">
        <v>7</v>
      </c>
      <c r="X34" s="5" t="s">
        <v>58</v>
      </c>
      <c r="Y34" s="5" t="s">
        <v>1</v>
      </c>
      <c r="Z34" s="5" t="s">
        <v>2</v>
      </c>
      <c r="AA34" s="5" t="s">
        <v>3</v>
      </c>
      <c r="AB34" s="5" t="s">
        <v>4</v>
      </c>
      <c r="AC34" s="5" t="s">
        <v>5</v>
      </c>
      <c r="AD34" s="5" t="s">
        <v>6</v>
      </c>
      <c r="AE34" s="5" t="s">
        <v>7</v>
      </c>
      <c r="AF34" s="5" t="s">
        <v>0</v>
      </c>
      <c r="AG34" s="5" t="s">
        <v>1</v>
      </c>
      <c r="AH34" s="9" t="s">
        <v>2</v>
      </c>
      <c r="AI34" s="2"/>
      <c r="AK34" s="4">
        <f t="shared" si="0"/>
        <v>3</v>
      </c>
      <c r="AL34" s="4">
        <f t="shared" si="1"/>
        <v>6</v>
      </c>
      <c r="AM34" s="4">
        <f t="shared" si="2"/>
        <v>3</v>
      </c>
      <c r="AN34" s="4">
        <f t="shared" si="3"/>
        <v>6</v>
      </c>
      <c r="AO34" s="4">
        <f t="shared" si="4"/>
        <v>12</v>
      </c>
    </row>
    <row r="35" spans="2:41" x14ac:dyDescent="0.25">
      <c r="E35" s="3" t="s">
        <v>45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2:41" ht="18.75" x14ac:dyDescent="0.3">
      <c r="B36" s="49" t="s">
        <v>41</v>
      </c>
      <c r="C36" s="49"/>
      <c r="D36" s="20"/>
      <c r="E36" s="21">
        <f>COUNTIF(E$5:E$34,"M*")</f>
        <v>4</v>
      </c>
      <c r="F36" s="21">
        <f>COUNTIF(F$5:F$34,"M*")</f>
        <v>4</v>
      </c>
      <c r="G36" s="21">
        <f t="shared" ref="G36:AH36" si="5">COUNTIF(G$5:G$34,"M*")</f>
        <v>4</v>
      </c>
      <c r="H36" s="21">
        <f t="shared" si="5"/>
        <v>4</v>
      </c>
      <c r="I36" s="21">
        <f t="shared" si="5"/>
        <v>4</v>
      </c>
      <c r="J36" s="21">
        <f t="shared" si="5"/>
        <v>4</v>
      </c>
      <c r="K36" s="21">
        <f t="shared" si="5"/>
        <v>4</v>
      </c>
      <c r="L36" s="21">
        <f t="shared" si="5"/>
        <v>4</v>
      </c>
      <c r="M36" s="21">
        <f t="shared" si="5"/>
        <v>4</v>
      </c>
      <c r="N36" s="21">
        <f t="shared" si="5"/>
        <v>4</v>
      </c>
      <c r="O36" s="21">
        <f t="shared" si="5"/>
        <v>4</v>
      </c>
      <c r="P36" s="21">
        <f t="shared" si="5"/>
        <v>4</v>
      </c>
      <c r="Q36" s="21">
        <f t="shared" si="5"/>
        <v>4</v>
      </c>
      <c r="R36" s="21">
        <f t="shared" si="5"/>
        <v>4</v>
      </c>
      <c r="S36" s="21">
        <f t="shared" si="5"/>
        <v>4</v>
      </c>
      <c r="T36" s="21">
        <f t="shared" si="5"/>
        <v>4</v>
      </c>
      <c r="U36" s="21">
        <f t="shared" si="5"/>
        <v>4</v>
      </c>
      <c r="V36" s="21">
        <f t="shared" si="5"/>
        <v>4</v>
      </c>
      <c r="W36" s="21">
        <f t="shared" si="5"/>
        <v>4</v>
      </c>
      <c r="X36" s="21">
        <f t="shared" si="5"/>
        <v>4</v>
      </c>
      <c r="Y36" s="21">
        <f t="shared" si="5"/>
        <v>4</v>
      </c>
      <c r="Z36" s="21">
        <f t="shared" si="5"/>
        <v>4</v>
      </c>
      <c r="AA36" s="21">
        <f t="shared" si="5"/>
        <v>4</v>
      </c>
      <c r="AB36" s="21">
        <f t="shared" si="5"/>
        <v>4</v>
      </c>
      <c r="AC36" s="21">
        <f t="shared" si="5"/>
        <v>4</v>
      </c>
      <c r="AD36" s="21">
        <f t="shared" si="5"/>
        <v>4</v>
      </c>
      <c r="AE36" s="21">
        <f t="shared" si="5"/>
        <v>4</v>
      </c>
      <c r="AF36" s="21">
        <f t="shared" si="5"/>
        <v>4</v>
      </c>
      <c r="AG36" s="21">
        <f t="shared" si="5"/>
        <v>4</v>
      </c>
      <c r="AH36" s="21">
        <f t="shared" si="5"/>
        <v>4</v>
      </c>
      <c r="AI36" s="21" t="s">
        <v>45</v>
      </c>
    </row>
    <row r="37" spans="2:41" ht="18.75" x14ac:dyDescent="0.3">
      <c r="B37" s="49" t="s">
        <v>42</v>
      </c>
      <c r="C37" s="49"/>
      <c r="D37" s="20"/>
      <c r="E37" s="21">
        <f>COUNTIF(E$5:E$34,"A*")</f>
        <v>4</v>
      </c>
      <c r="F37" s="21">
        <f t="shared" ref="F37:AH37" si="6">COUNTIF(F$5:F$34,"A*")</f>
        <v>4</v>
      </c>
      <c r="G37" s="21">
        <f t="shared" si="6"/>
        <v>4</v>
      </c>
      <c r="H37" s="21">
        <f t="shared" si="6"/>
        <v>4</v>
      </c>
      <c r="I37" s="21">
        <f t="shared" si="6"/>
        <v>4</v>
      </c>
      <c r="J37" s="21">
        <f t="shared" si="6"/>
        <v>4</v>
      </c>
      <c r="K37" s="21">
        <f t="shared" si="6"/>
        <v>4</v>
      </c>
      <c r="L37" s="21">
        <f t="shared" si="6"/>
        <v>4</v>
      </c>
      <c r="M37" s="21">
        <f t="shared" si="6"/>
        <v>4</v>
      </c>
      <c r="N37" s="21">
        <f t="shared" si="6"/>
        <v>4</v>
      </c>
      <c r="O37" s="21">
        <f t="shared" si="6"/>
        <v>4</v>
      </c>
      <c r="P37" s="21">
        <f t="shared" si="6"/>
        <v>4</v>
      </c>
      <c r="Q37" s="21">
        <f t="shared" si="6"/>
        <v>4</v>
      </c>
      <c r="R37" s="21">
        <f t="shared" si="6"/>
        <v>4</v>
      </c>
      <c r="S37" s="21">
        <f t="shared" si="6"/>
        <v>4</v>
      </c>
      <c r="T37" s="21">
        <f t="shared" si="6"/>
        <v>4</v>
      </c>
      <c r="U37" s="21">
        <f t="shared" si="6"/>
        <v>4</v>
      </c>
      <c r="V37" s="21">
        <f t="shared" si="6"/>
        <v>4</v>
      </c>
      <c r="W37" s="21">
        <f t="shared" si="6"/>
        <v>4</v>
      </c>
      <c r="X37" s="21">
        <f t="shared" si="6"/>
        <v>4</v>
      </c>
      <c r="Y37" s="21">
        <f t="shared" si="6"/>
        <v>4</v>
      </c>
      <c r="Z37" s="21">
        <f t="shared" si="6"/>
        <v>4</v>
      </c>
      <c r="AA37" s="21">
        <f t="shared" si="6"/>
        <v>4</v>
      </c>
      <c r="AB37" s="21">
        <f t="shared" si="6"/>
        <v>4</v>
      </c>
      <c r="AC37" s="21">
        <f t="shared" si="6"/>
        <v>4</v>
      </c>
      <c r="AD37" s="21">
        <f t="shared" si="6"/>
        <v>4</v>
      </c>
      <c r="AE37" s="21">
        <f t="shared" si="6"/>
        <v>4</v>
      </c>
      <c r="AF37" s="21">
        <f t="shared" si="6"/>
        <v>4</v>
      </c>
      <c r="AG37" s="21">
        <f t="shared" si="6"/>
        <v>4</v>
      </c>
      <c r="AH37" s="21">
        <f t="shared" si="6"/>
        <v>4</v>
      </c>
      <c r="AI37" s="21" t="s">
        <v>45</v>
      </c>
    </row>
    <row r="38" spans="2:41" ht="18.75" x14ac:dyDescent="0.3">
      <c r="B38" s="49" t="s">
        <v>8</v>
      </c>
      <c r="C38" s="49"/>
      <c r="D38" s="20"/>
      <c r="E38" s="21">
        <f>COUNTIF(E$5:E$34,"N*")</f>
        <v>7</v>
      </c>
      <c r="F38" s="21">
        <f t="shared" ref="F38:AH38" si="7">COUNTIF(F$5:F$34,"N*")</f>
        <v>7</v>
      </c>
      <c r="G38" s="21">
        <f t="shared" si="7"/>
        <v>7</v>
      </c>
      <c r="H38" s="21">
        <f t="shared" si="7"/>
        <v>7</v>
      </c>
      <c r="I38" s="21">
        <f t="shared" si="7"/>
        <v>7</v>
      </c>
      <c r="J38" s="21">
        <f t="shared" si="7"/>
        <v>7</v>
      </c>
      <c r="K38" s="21">
        <f t="shared" si="7"/>
        <v>7</v>
      </c>
      <c r="L38" s="21">
        <f t="shared" si="7"/>
        <v>7</v>
      </c>
      <c r="M38" s="21">
        <f t="shared" si="7"/>
        <v>7</v>
      </c>
      <c r="N38" s="21">
        <f t="shared" si="7"/>
        <v>7</v>
      </c>
      <c r="O38" s="21">
        <f t="shared" si="7"/>
        <v>7</v>
      </c>
      <c r="P38" s="21">
        <f t="shared" si="7"/>
        <v>7</v>
      </c>
      <c r="Q38" s="21">
        <f t="shared" si="7"/>
        <v>7</v>
      </c>
      <c r="R38" s="21">
        <f t="shared" si="7"/>
        <v>7</v>
      </c>
      <c r="S38" s="21">
        <f t="shared" si="7"/>
        <v>7</v>
      </c>
      <c r="T38" s="21">
        <f t="shared" si="7"/>
        <v>7</v>
      </c>
      <c r="U38" s="21">
        <f t="shared" si="7"/>
        <v>7</v>
      </c>
      <c r="V38" s="21">
        <f t="shared" si="7"/>
        <v>7</v>
      </c>
      <c r="W38" s="21">
        <f t="shared" si="7"/>
        <v>7</v>
      </c>
      <c r="X38" s="21">
        <f t="shared" si="7"/>
        <v>7</v>
      </c>
      <c r="Y38" s="21">
        <f t="shared" si="7"/>
        <v>7</v>
      </c>
      <c r="Z38" s="21">
        <f t="shared" si="7"/>
        <v>7</v>
      </c>
      <c r="AA38" s="21">
        <f t="shared" si="7"/>
        <v>7</v>
      </c>
      <c r="AB38" s="21">
        <f t="shared" si="7"/>
        <v>7</v>
      </c>
      <c r="AC38" s="21">
        <f t="shared" si="7"/>
        <v>7</v>
      </c>
      <c r="AD38" s="21">
        <f t="shared" si="7"/>
        <v>7</v>
      </c>
      <c r="AE38" s="21">
        <f t="shared" si="7"/>
        <v>7</v>
      </c>
      <c r="AF38" s="21">
        <f t="shared" si="7"/>
        <v>7</v>
      </c>
      <c r="AG38" s="21">
        <f t="shared" si="7"/>
        <v>7</v>
      </c>
      <c r="AH38" s="21">
        <f t="shared" si="7"/>
        <v>7</v>
      </c>
      <c r="AI38" s="21" t="s">
        <v>45</v>
      </c>
    </row>
    <row r="39" spans="2:41" ht="18.75" x14ac:dyDescent="0.3">
      <c r="B39" s="49" t="s">
        <v>9</v>
      </c>
      <c r="C39" s="49"/>
      <c r="D39" s="20"/>
      <c r="E39" s="21">
        <f>COUNTIF(E$5:E$34,"O*")</f>
        <v>10</v>
      </c>
      <c r="F39" s="21">
        <f t="shared" ref="F39:AH39" si="8">COUNTIF(F$5:F$34,"O*")</f>
        <v>11</v>
      </c>
      <c r="G39" s="21">
        <f t="shared" si="8"/>
        <v>12</v>
      </c>
      <c r="H39" s="21">
        <f t="shared" si="8"/>
        <v>12</v>
      </c>
      <c r="I39" s="21">
        <f t="shared" si="8"/>
        <v>12</v>
      </c>
      <c r="J39" s="21">
        <f t="shared" si="8"/>
        <v>12</v>
      </c>
      <c r="K39" s="21">
        <f t="shared" si="8"/>
        <v>11</v>
      </c>
      <c r="L39" s="21">
        <f t="shared" si="8"/>
        <v>10</v>
      </c>
      <c r="M39" s="21">
        <f t="shared" si="8"/>
        <v>10</v>
      </c>
      <c r="N39" s="21">
        <f t="shared" si="8"/>
        <v>11</v>
      </c>
      <c r="O39" s="21">
        <f t="shared" si="8"/>
        <v>12</v>
      </c>
      <c r="P39" s="21">
        <f t="shared" si="8"/>
        <v>12</v>
      </c>
      <c r="Q39" s="21">
        <f t="shared" si="8"/>
        <v>12</v>
      </c>
      <c r="R39" s="21">
        <f t="shared" si="8"/>
        <v>12</v>
      </c>
      <c r="S39" s="21">
        <f t="shared" si="8"/>
        <v>11</v>
      </c>
      <c r="T39" s="21">
        <f t="shared" si="8"/>
        <v>10</v>
      </c>
      <c r="U39" s="21">
        <f t="shared" si="8"/>
        <v>10</v>
      </c>
      <c r="V39" s="21">
        <f t="shared" si="8"/>
        <v>11</v>
      </c>
      <c r="W39" s="21">
        <f t="shared" si="8"/>
        <v>12</v>
      </c>
      <c r="X39" s="21">
        <f t="shared" si="8"/>
        <v>12</v>
      </c>
      <c r="Y39" s="21">
        <f t="shared" si="8"/>
        <v>12</v>
      </c>
      <c r="Z39" s="21">
        <f t="shared" si="8"/>
        <v>12</v>
      </c>
      <c r="AA39" s="21">
        <f t="shared" si="8"/>
        <v>11</v>
      </c>
      <c r="AB39" s="21">
        <f t="shared" si="8"/>
        <v>10</v>
      </c>
      <c r="AC39" s="21">
        <f t="shared" si="8"/>
        <v>10</v>
      </c>
      <c r="AD39" s="21">
        <f t="shared" si="8"/>
        <v>11</v>
      </c>
      <c r="AE39" s="21">
        <f t="shared" si="8"/>
        <v>12</v>
      </c>
      <c r="AF39" s="21">
        <f t="shared" si="8"/>
        <v>12</v>
      </c>
      <c r="AG39" s="21">
        <f t="shared" si="8"/>
        <v>12</v>
      </c>
      <c r="AH39" s="21">
        <f t="shared" si="8"/>
        <v>12</v>
      </c>
      <c r="AI39" s="21" t="s">
        <v>45</v>
      </c>
    </row>
    <row r="40" spans="2:41" ht="18.75" x14ac:dyDescent="0.3">
      <c r="B40" s="45" t="s">
        <v>57</v>
      </c>
      <c r="C40" s="46"/>
      <c r="D40" s="20"/>
      <c r="E40" s="21">
        <f>COUNTIF(E$5:E$34,"ST*")</f>
        <v>5</v>
      </c>
      <c r="F40" s="21">
        <f t="shared" ref="F40:AH40" si="9">COUNTIF(F$5:F$34,"ST*")</f>
        <v>4</v>
      </c>
      <c r="G40" s="21">
        <f t="shared" si="9"/>
        <v>3</v>
      </c>
      <c r="H40" s="21">
        <f t="shared" si="9"/>
        <v>3</v>
      </c>
      <c r="I40" s="21">
        <f t="shared" si="9"/>
        <v>3</v>
      </c>
      <c r="J40" s="21">
        <f t="shared" si="9"/>
        <v>3</v>
      </c>
      <c r="K40" s="21">
        <f t="shared" si="9"/>
        <v>4</v>
      </c>
      <c r="L40" s="21">
        <f t="shared" si="9"/>
        <v>5</v>
      </c>
      <c r="M40" s="21">
        <f t="shared" si="9"/>
        <v>5</v>
      </c>
      <c r="N40" s="21">
        <f t="shared" si="9"/>
        <v>4</v>
      </c>
      <c r="O40" s="21">
        <f t="shared" si="9"/>
        <v>3</v>
      </c>
      <c r="P40" s="21">
        <f t="shared" si="9"/>
        <v>3</v>
      </c>
      <c r="Q40" s="21">
        <f t="shared" si="9"/>
        <v>3</v>
      </c>
      <c r="R40" s="21">
        <f t="shared" si="9"/>
        <v>3</v>
      </c>
      <c r="S40" s="21">
        <f t="shared" si="9"/>
        <v>4</v>
      </c>
      <c r="T40" s="21">
        <f t="shared" si="9"/>
        <v>5</v>
      </c>
      <c r="U40" s="21">
        <f t="shared" si="9"/>
        <v>5</v>
      </c>
      <c r="V40" s="21">
        <f t="shared" si="9"/>
        <v>4</v>
      </c>
      <c r="W40" s="21">
        <f t="shared" si="9"/>
        <v>3</v>
      </c>
      <c r="X40" s="21">
        <f t="shared" si="9"/>
        <v>3</v>
      </c>
      <c r="Y40" s="21">
        <f t="shared" si="9"/>
        <v>3</v>
      </c>
      <c r="Z40" s="21">
        <f t="shared" si="9"/>
        <v>3</v>
      </c>
      <c r="AA40" s="21">
        <f t="shared" si="9"/>
        <v>4</v>
      </c>
      <c r="AB40" s="21">
        <f t="shared" si="9"/>
        <v>5</v>
      </c>
      <c r="AC40" s="21">
        <f t="shared" si="9"/>
        <v>5</v>
      </c>
      <c r="AD40" s="21">
        <f t="shared" si="9"/>
        <v>4</v>
      </c>
      <c r="AE40" s="21">
        <f t="shared" si="9"/>
        <v>3</v>
      </c>
      <c r="AF40" s="21">
        <f t="shared" si="9"/>
        <v>3</v>
      </c>
      <c r="AG40" s="21">
        <f t="shared" si="9"/>
        <v>3</v>
      </c>
      <c r="AH40" s="21">
        <f t="shared" si="9"/>
        <v>3</v>
      </c>
      <c r="AI40" s="21" t="s">
        <v>45</v>
      </c>
    </row>
    <row r="41" spans="2:41" ht="18.75" x14ac:dyDescent="0.3">
      <c r="B41" s="50" t="s">
        <v>55</v>
      </c>
      <c r="C41" s="50"/>
      <c r="D41" s="22"/>
      <c r="E41" s="23">
        <f>E43-E44</f>
        <v>0</v>
      </c>
      <c r="F41" s="23">
        <f t="shared" ref="F41:AH41" si="10">F43-F44</f>
        <v>0</v>
      </c>
      <c r="G41" s="23">
        <f t="shared" si="10"/>
        <v>0</v>
      </c>
      <c r="H41" s="23">
        <f t="shared" si="10"/>
        <v>0</v>
      </c>
      <c r="I41" s="23">
        <f t="shared" si="10"/>
        <v>0</v>
      </c>
      <c r="J41" s="23">
        <f t="shared" si="10"/>
        <v>0</v>
      </c>
      <c r="K41" s="23">
        <f t="shared" si="10"/>
        <v>0</v>
      </c>
      <c r="L41" s="23">
        <f t="shared" si="10"/>
        <v>0</v>
      </c>
      <c r="M41" s="23">
        <f t="shared" si="10"/>
        <v>0</v>
      </c>
      <c r="N41" s="23">
        <f t="shared" si="10"/>
        <v>0</v>
      </c>
      <c r="O41" s="23">
        <f t="shared" si="10"/>
        <v>0</v>
      </c>
      <c r="P41" s="23">
        <f t="shared" si="10"/>
        <v>0</v>
      </c>
      <c r="Q41" s="23">
        <f t="shared" si="10"/>
        <v>0</v>
      </c>
      <c r="R41" s="23">
        <f t="shared" si="10"/>
        <v>0</v>
      </c>
      <c r="S41" s="23">
        <f t="shared" si="10"/>
        <v>0</v>
      </c>
      <c r="T41" s="23">
        <f t="shared" si="10"/>
        <v>0</v>
      </c>
      <c r="U41" s="23">
        <f t="shared" si="10"/>
        <v>0</v>
      </c>
      <c r="V41" s="23">
        <f t="shared" si="10"/>
        <v>0</v>
      </c>
      <c r="W41" s="23">
        <f t="shared" si="10"/>
        <v>0</v>
      </c>
      <c r="X41" s="23">
        <f t="shared" si="10"/>
        <v>0</v>
      </c>
      <c r="Y41" s="23">
        <f t="shared" si="10"/>
        <v>0</v>
      </c>
      <c r="Z41" s="23">
        <f t="shared" si="10"/>
        <v>0</v>
      </c>
      <c r="AA41" s="23">
        <f t="shared" si="10"/>
        <v>0</v>
      </c>
      <c r="AB41" s="23">
        <f t="shared" si="10"/>
        <v>0</v>
      </c>
      <c r="AC41" s="23">
        <f t="shared" si="10"/>
        <v>0</v>
      </c>
      <c r="AD41" s="23">
        <f t="shared" si="10"/>
        <v>0</v>
      </c>
      <c r="AE41" s="23">
        <f t="shared" si="10"/>
        <v>0</v>
      </c>
      <c r="AF41" s="23">
        <f t="shared" si="10"/>
        <v>0</v>
      </c>
      <c r="AG41" s="23">
        <f t="shared" si="10"/>
        <v>0</v>
      </c>
      <c r="AH41" s="23">
        <f t="shared" si="10"/>
        <v>0</v>
      </c>
      <c r="AI41" s="23" t="s">
        <v>45</v>
      </c>
    </row>
    <row r="42" spans="2:41" ht="9.75" customHeight="1" x14ac:dyDescent="0.3">
      <c r="B42" s="24"/>
      <c r="C42" s="24"/>
      <c r="D42" s="20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</row>
    <row r="43" spans="2:41" ht="18.75" x14ac:dyDescent="0.3">
      <c r="B43" s="49" t="s">
        <v>53</v>
      </c>
      <c r="C43" s="49"/>
      <c r="D43" s="20"/>
      <c r="E43" s="25">
        <f>SUM(E36:E38)</f>
        <v>15</v>
      </c>
      <c r="F43" s="25">
        <f t="shared" ref="F43:AH43" si="11">SUM(F36:F38)</f>
        <v>15</v>
      </c>
      <c r="G43" s="25">
        <f t="shared" si="11"/>
        <v>15</v>
      </c>
      <c r="H43" s="25">
        <f t="shared" si="11"/>
        <v>15</v>
      </c>
      <c r="I43" s="25">
        <f t="shared" si="11"/>
        <v>15</v>
      </c>
      <c r="J43" s="25">
        <f t="shared" si="11"/>
        <v>15</v>
      </c>
      <c r="K43" s="25">
        <f t="shared" si="11"/>
        <v>15</v>
      </c>
      <c r="L43" s="25">
        <f t="shared" si="11"/>
        <v>15</v>
      </c>
      <c r="M43" s="25">
        <f t="shared" si="11"/>
        <v>15</v>
      </c>
      <c r="N43" s="25">
        <f t="shared" si="11"/>
        <v>15</v>
      </c>
      <c r="O43" s="25">
        <f t="shared" si="11"/>
        <v>15</v>
      </c>
      <c r="P43" s="25">
        <f t="shared" si="11"/>
        <v>15</v>
      </c>
      <c r="Q43" s="25">
        <f t="shared" si="11"/>
        <v>15</v>
      </c>
      <c r="R43" s="25">
        <f t="shared" si="11"/>
        <v>15</v>
      </c>
      <c r="S43" s="25">
        <f t="shared" si="11"/>
        <v>15</v>
      </c>
      <c r="T43" s="25">
        <f t="shared" si="11"/>
        <v>15</v>
      </c>
      <c r="U43" s="25">
        <f t="shared" si="11"/>
        <v>15</v>
      </c>
      <c r="V43" s="25">
        <f t="shared" si="11"/>
        <v>15</v>
      </c>
      <c r="W43" s="25">
        <f t="shared" si="11"/>
        <v>15</v>
      </c>
      <c r="X43" s="25">
        <f t="shared" si="11"/>
        <v>15</v>
      </c>
      <c r="Y43" s="25">
        <f t="shared" si="11"/>
        <v>15</v>
      </c>
      <c r="Z43" s="25">
        <f t="shared" si="11"/>
        <v>15</v>
      </c>
      <c r="AA43" s="25">
        <f t="shared" si="11"/>
        <v>15</v>
      </c>
      <c r="AB43" s="25">
        <f t="shared" si="11"/>
        <v>15</v>
      </c>
      <c r="AC43" s="25">
        <f t="shared" si="11"/>
        <v>15</v>
      </c>
      <c r="AD43" s="25">
        <f t="shared" si="11"/>
        <v>15</v>
      </c>
      <c r="AE43" s="25">
        <f t="shared" si="11"/>
        <v>15</v>
      </c>
      <c r="AF43" s="25">
        <f t="shared" si="11"/>
        <v>15</v>
      </c>
      <c r="AG43" s="25">
        <f t="shared" si="11"/>
        <v>15</v>
      </c>
      <c r="AH43" s="25">
        <f t="shared" si="11"/>
        <v>15</v>
      </c>
      <c r="AI43" s="25" t="s">
        <v>45</v>
      </c>
    </row>
    <row r="44" spans="2:41" ht="18.75" x14ac:dyDescent="0.3">
      <c r="B44" s="49" t="s">
        <v>40</v>
      </c>
      <c r="C44" s="49"/>
      <c r="D44" s="20"/>
      <c r="E44" s="21">
        <v>15</v>
      </c>
      <c r="F44" s="21">
        <v>15</v>
      </c>
      <c r="G44" s="21">
        <v>15</v>
      </c>
      <c r="H44" s="21">
        <v>15</v>
      </c>
      <c r="I44" s="21">
        <v>15</v>
      </c>
      <c r="J44" s="21">
        <v>15</v>
      </c>
      <c r="K44" s="21">
        <v>15</v>
      </c>
      <c r="L44" s="21">
        <v>15</v>
      </c>
      <c r="M44" s="21">
        <v>15</v>
      </c>
      <c r="N44" s="21">
        <v>15</v>
      </c>
      <c r="O44" s="21">
        <v>15</v>
      </c>
      <c r="P44" s="21">
        <v>15</v>
      </c>
      <c r="Q44" s="21">
        <v>15</v>
      </c>
      <c r="R44" s="21">
        <v>15</v>
      </c>
      <c r="S44" s="21">
        <v>15</v>
      </c>
      <c r="T44" s="21">
        <v>15</v>
      </c>
      <c r="U44" s="21">
        <v>15</v>
      </c>
      <c r="V44" s="21">
        <v>15</v>
      </c>
      <c r="W44" s="21">
        <v>15</v>
      </c>
      <c r="X44" s="21">
        <v>15</v>
      </c>
      <c r="Y44" s="21">
        <v>15</v>
      </c>
      <c r="Z44" s="21">
        <v>15</v>
      </c>
      <c r="AA44" s="21">
        <v>15</v>
      </c>
      <c r="AB44" s="21">
        <v>15</v>
      </c>
      <c r="AC44" s="21">
        <v>15</v>
      </c>
      <c r="AD44" s="21">
        <v>15</v>
      </c>
      <c r="AE44" s="21">
        <v>15</v>
      </c>
      <c r="AF44" s="21">
        <v>15</v>
      </c>
      <c r="AG44" s="21">
        <v>15</v>
      </c>
      <c r="AH44" s="21">
        <v>15</v>
      </c>
      <c r="AI44" s="21" t="s">
        <v>45</v>
      </c>
    </row>
    <row r="45" spans="2:41" ht="18.75" x14ac:dyDescent="0.3">
      <c r="B45" s="49" t="s">
        <v>54</v>
      </c>
      <c r="C45" s="49"/>
      <c r="D45" s="20"/>
      <c r="E45" s="21">
        <f>SUM(E36,E37,E38,E39,E40)</f>
        <v>30</v>
      </c>
      <c r="F45" s="21">
        <f t="shared" ref="F45:AH45" si="12">SUM(F36,F37,F38,F39,F40)</f>
        <v>30</v>
      </c>
      <c r="G45" s="21">
        <f t="shared" si="12"/>
        <v>30</v>
      </c>
      <c r="H45" s="21">
        <f t="shared" si="12"/>
        <v>30</v>
      </c>
      <c r="I45" s="21">
        <f t="shared" si="12"/>
        <v>30</v>
      </c>
      <c r="J45" s="21">
        <f t="shared" si="12"/>
        <v>30</v>
      </c>
      <c r="K45" s="21">
        <f t="shared" si="12"/>
        <v>30</v>
      </c>
      <c r="L45" s="21">
        <f t="shared" si="12"/>
        <v>30</v>
      </c>
      <c r="M45" s="21">
        <f t="shared" si="12"/>
        <v>30</v>
      </c>
      <c r="N45" s="21">
        <f t="shared" si="12"/>
        <v>30</v>
      </c>
      <c r="O45" s="21">
        <f t="shared" si="12"/>
        <v>30</v>
      </c>
      <c r="P45" s="21">
        <f t="shared" si="12"/>
        <v>30</v>
      </c>
      <c r="Q45" s="21">
        <f t="shared" si="12"/>
        <v>30</v>
      </c>
      <c r="R45" s="21">
        <f t="shared" si="12"/>
        <v>30</v>
      </c>
      <c r="S45" s="21">
        <f t="shared" si="12"/>
        <v>30</v>
      </c>
      <c r="T45" s="21">
        <f t="shared" si="12"/>
        <v>30</v>
      </c>
      <c r="U45" s="21">
        <f t="shared" si="12"/>
        <v>30</v>
      </c>
      <c r="V45" s="21">
        <f t="shared" si="12"/>
        <v>30</v>
      </c>
      <c r="W45" s="21">
        <f t="shared" si="12"/>
        <v>30</v>
      </c>
      <c r="X45" s="21">
        <f t="shared" si="12"/>
        <v>30</v>
      </c>
      <c r="Y45" s="21">
        <f t="shared" si="12"/>
        <v>30</v>
      </c>
      <c r="Z45" s="21">
        <f t="shared" si="12"/>
        <v>30</v>
      </c>
      <c r="AA45" s="21">
        <f t="shared" si="12"/>
        <v>30</v>
      </c>
      <c r="AB45" s="21">
        <f t="shared" si="12"/>
        <v>30</v>
      </c>
      <c r="AC45" s="21">
        <f t="shared" si="12"/>
        <v>30</v>
      </c>
      <c r="AD45" s="21">
        <f t="shared" si="12"/>
        <v>30</v>
      </c>
      <c r="AE45" s="21">
        <f t="shared" si="12"/>
        <v>30</v>
      </c>
      <c r="AF45" s="21">
        <f t="shared" si="12"/>
        <v>30</v>
      </c>
      <c r="AG45" s="21">
        <f t="shared" si="12"/>
        <v>30</v>
      </c>
      <c r="AH45" s="21">
        <f t="shared" si="12"/>
        <v>30</v>
      </c>
      <c r="AI45" s="21" t="s">
        <v>45</v>
      </c>
    </row>
  </sheetData>
  <mergeCells count="47">
    <mergeCell ref="AK2:AK4"/>
    <mergeCell ref="AL2:AL4"/>
    <mergeCell ref="AM2:AM4"/>
    <mergeCell ref="AN2:AN4"/>
    <mergeCell ref="AO2:AO4"/>
    <mergeCell ref="B41:C41"/>
    <mergeCell ref="E42:AI42"/>
    <mergeCell ref="B43:C43"/>
    <mergeCell ref="B44:C44"/>
    <mergeCell ref="B45:C45"/>
    <mergeCell ref="B40:C40"/>
    <mergeCell ref="B33:C33"/>
    <mergeCell ref="B34:C34"/>
    <mergeCell ref="B36:C36"/>
    <mergeCell ref="B37:C37"/>
    <mergeCell ref="B38:C38"/>
    <mergeCell ref="B39:C39"/>
    <mergeCell ref="B32:C32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20:C20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8:C8"/>
    <mergeCell ref="E2:AI2"/>
    <mergeCell ref="B3:C4"/>
    <mergeCell ref="B5:C5"/>
    <mergeCell ref="B6:C6"/>
    <mergeCell ref="B7:C7"/>
  </mergeCells>
  <conditionalFormatting sqref="E6:AH34 F5:AH5">
    <cfRule type="containsText" dxfId="1146" priority="9" operator="containsText" text="STM1">
      <formula>NOT(ISERROR(SEARCH("STM1",E5)))</formula>
    </cfRule>
    <cfRule type="containsText" dxfId="1145" priority="10" operator="containsText" text="STA">
      <formula>NOT(ISERROR(SEARCH("STA",E5)))</formula>
    </cfRule>
    <cfRule type="containsText" dxfId="1144" priority="11" operator="containsText" text="STM1">
      <formula>NOT(ISERROR(SEARCH("STM1",E5)))</formula>
    </cfRule>
    <cfRule type="containsText" dxfId="1143" priority="12" operator="containsText" text="O">
      <formula>NOT(ISERROR(SEARCH("O",E5)))</formula>
    </cfRule>
    <cfRule type="containsText" dxfId="1142" priority="13" operator="containsText" text="N">
      <formula>NOT(ISERROR(SEARCH("N",E5)))</formula>
    </cfRule>
    <cfRule type="containsText" dxfId="1141" priority="14" operator="containsText" text="A">
      <formula>NOT(ISERROR(SEARCH("A",E5)))</formula>
    </cfRule>
    <cfRule type="containsText" dxfId="1140" priority="15" operator="containsText" text="M">
      <formula>NOT(ISERROR(SEARCH("M",E5)))</formula>
    </cfRule>
  </conditionalFormatting>
  <conditionalFormatting sqref="E5:AH34">
    <cfRule type="containsText" dxfId="1139" priority="1" operator="containsText" text="STN">
      <formula>NOT(ISERROR(SEARCH("STN",E5)))</formula>
    </cfRule>
    <cfRule type="containsText" dxfId="1138" priority="2" operator="containsText" text="STN">
      <formula>NOT(ISERROR(SEARCH("STN",E5)))</formula>
    </cfRule>
    <cfRule type="containsText" dxfId="1137" priority="3" operator="containsText" text="STM">
      <formula>NOT(ISERROR(SEARCH("STM",E5)))</formula>
    </cfRule>
    <cfRule type="containsText" dxfId="1136" priority="4" operator="containsText" text="M">
      <formula>NOT(ISERROR(SEARCH("M",E5)))</formula>
    </cfRule>
    <cfRule type="containsText" dxfId="1135" priority="5" operator="containsText" text="STM1">
      <formula>NOT(ISERROR(SEARCH("STM1",E5)))</formula>
    </cfRule>
    <cfRule type="containsText" dxfId="1134" priority="6" operator="containsText" text="M">
      <formula>NOT(ISERROR(SEARCH("M",E5)))</formula>
    </cfRule>
    <cfRule type="containsText" dxfId="1133" priority="7" operator="containsText" text="STM">
      <formula>NOT(ISERROR(SEARCH("STM",E5)))</formula>
    </cfRule>
    <cfRule type="containsText" dxfId="1132" priority="8" operator="containsText" text="STM">
      <formula>NOT(ISERROR(SEARCH("STM",E5)))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O30"/>
  <sheetViews>
    <sheetView zoomScale="70" zoomScaleNormal="70" workbookViewId="0">
      <selection activeCell="H36" sqref="H36"/>
    </sheetView>
  </sheetViews>
  <sheetFormatPr defaultRowHeight="15.75" x14ac:dyDescent="0.25"/>
  <cols>
    <col min="1" max="1" width="3.42578125" style="1" customWidth="1"/>
    <col min="2" max="2" width="12.85546875" style="1" customWidth="1"/>
    <col min="3" max="3" width="14.8554687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54" t="s">
        <v>83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6"/>
      <c r="AK2" s="36" t="s">
        <v>63</v>
      </c>
      <c r="AL2" s="36" t="s">
        <v>64</v>
      </c>
      <c r="AM2" s="36" t="s">
        <v>67</v>
      </c>
      <c r="AN2" s="36" t="s">
        <v>65</v>
      </c>
      <c r="AO2" s="36" t="s">
        <v>66</v>
      </c>
    </row>
    <row r="3" spans="2:41" ht="39" x14ac:dyDescent="0.3">
      <c r="B3" s="41" t="s">
        <v>56</v>
      </c>
      <c r="C3" s="42"/>
      <c r="E3" s="12" t="s">
        <v>46</v>
      </c>
      <c r="F3" s="13" t="s">
        <v>47</v>
      </c>
      <c r="G3" s="13" t="s">
        <v>48</v>
      </c>
      <c r="H3" s="13" t="s">
        <v>49</v>
      </c>
      <c r="I3" s="13" t="s">
        <v>50</v>
      </c>
      <c r="J3" s="13" t="s">
        <v>51</v>
      </c>
      <c r="K3" s="13" t="s">
        <v>52</v>
      </c>
      <c r="L3" s="13" t="s">
        <v>46</v>
      </c>
      <c r="M3" s="13" t="s">
        <v>47</v>
      </c>
      <c r="N3" s="13" t="s">
        <v>48</v>
      </c>
      <c r="O3" s="13" t="s">
        <v>49</v>
      </c>
      <c r="P3" s="13" t="s">
        <v>50</v>
      </c>
      <c r="Q3" s="13" t="s">
        <v>51</v>
      </c>
      <c r="R3" s="13" t="s">
        <v>52</v>
      </c>
      <c r="S3" s="13" t="s">
        <v>46</v>
      </c>
      <c r="T3" s="13" t="s">
        <v>47</v>
      </c>
      <c r="U3" s="13" t="s">
        <v>48</v>
      </c>
      <c r="V3" s="13" t="s">
        <v>49</v>
      </c>
      <c r="W3" s="13" t="s">
        <v>50</v>
      </c>
      <c r="X3" s="13" t="s">
        <v>51</v>
      </c>
      <c r="Y3" s="13" t="s">
        <v>52</v>
      </c>
      <c r="Z3" s="13" t="s">
        <v>46</v>
      </c>
      <c r="AA3" s="13" t="s">
        <v>47</v>
      </c>
      <c r="AB3" s="13" t="s">
        <v>48</v>
      </c>
      <c r="AC3" s="13" t="s">
        <v>49</v>
      </c>
      <c r="AD3" s="13" t="s">
        <v>50</v>
      </c>
      <c r="AE3" s="13" t="s">
        <v>51</v>
      </c>
      <c r="AF3" s="13" t="s">
        <v>52</v>
      </c>
      <c r="AG3" s="13" t="s">
        <v>46</v>
      </c>
      <c r="AH3" s="14" t="s">
        <v>47</v>
      </c>
      <c r="AI3" s="15"/>
      <c r="AK3" s="37"/>
      <c r="AL3" s="37"/>
      <c r="AM3" s="37"/>
      <c r="AN3" s="37"/>
      <c r="AO3" s="37"/>
    </row>
    <row r="4" spans="2:41" ht="19.5" customHeight="1" thickBot="1" x14ac:dyDescent="0.35">
      <c r="B4" s="43"/>
      <c r="C4" s="44"/>
      <c r="E4" s="16">
        <v>1</v>
      </c>
      <c r="F4" s="17">
        <v>2</v>
      </c>
      <c r="G4" s="17">
        <v>3</v>
      </c>
      <c r="H4" s="17">
        <v>4</v>
      </c>
      <c r="I4" s="17">
        <v>5</v>
      </c>
      <c r="J4" s="17">
        <v>6</v>
      </c>
      <c r="K4" s="17">
        <v>7</v>
      </c>
      <c r="L4" s="17">
        <v>8</v>
      </c>
      <c r="M4" s="17">
        <v>9</v>
      </c>
      <c r="N4" s="17">
        <v>10</v>
      </c>
      <c r="O4" s="17">
        <v>11</v>
      </c>
      <c r="P4" s="17">
        <v>12</v>
      </c>
      <c r="Q4" s="17">
        <v>13</v>
      </c>
      <c r="R4" s="17">
        <v>14</v>
      </c>
      <c r="S4" s="17">
        <v>15</v>
      </c>
      <c r="T4" s="17">
        <v>16</v>
      </c>
      <c r="U4" s="17">
        <v>17</v>
      </c>
      <c r="V4" s="17">
        <v>18</v>
      </c>
      <c r="W4" s="17">
        <v>19</v>
      </c>
      <c r="X4" s="17">
        <v>20</v>
      </c>
      <c r="Y4" s="17">
        <v>21</v>
      </c>
      <c r="Z4" s="17">
        <v>22</v>
      </c>
      <c r="AA4" s="17">
        <v>23</v>
      </c>
      <c r="AB4" s="17">
        <v>24</v>
      </c>
      <c r="AC4" s="17">
        <v>25</v>
      </c>
      <c r="AD4" s="17">
        <v>26</v>
      </c>
      <c r="AE4" s="17">
        <v>27</v>
      </c>
      <c r="AF4" s="17">
        <v>28</v>
      </c>
      <c r="AG4" s="17">
        <v>29</v>
      </c>
      <c r="AH4" s="18">
        <v>30</v>
      </c>
      <c r="AI4" s="19"/>
      <c r="AK4" s="38"/>
      <c r="AL4" s="38"/>
      <c r="AM4" s="38"/>
      <c r="AN4" s="38"/>
      <c r="AO4" s="38"/>
    </row>
    <row r="5" spans="2:41" ht="18.75" x14ac:dyDescent="0.25">
      <c r="B5" s="47" t="s">
        <v>10</v>
      </c>
      <c r="C5" s="48"/>
      <c r="E5" s="11" t="s">
        <v>0</v>
      </c>
      <c r="F5" s="7" t="s">
        <v>1</v>
      </c>
      <c r="G5" s="7" t="s">
        <v>2</v>
      </c>
      <c r="H5" s="7" t="s">
        <v>3</v>
      </c>
      <c r="I5" s="7" t="s">
        <v>4</v>
      </c>
      <c r="J5" s="7" t="s">
        <v>5</v>
      </c>
      <c r="K5" s="7" t="s">
        <v>6</v>
      </c>
      <c r="L5" s="7" t="s">
        <v>7</v>
      </c>
      <c r="M5" s="7" t="s">
        <v>0</v>
      </c>
      <c r="N5" s="7" t="s">
        <v>1</v>
      </c>
      <c r="O5" s="7" t="s">
        <v>2</v>
      </c>
      <c r="P5" s="7" t="s">
        <v>3</v>
      </c>
      <c r="Q5" s="7" t="s">
        <v>4</v>
      </c>
      <c r="R5" s="7" t="s">
        <v>5</v>
      </c>
      <c r="S5" s="7" t="s">
        <v>6</v>
      </c>
      <c r="T5" s="7" t="s">
        <v>7</v>
      </c>
      <c r="U5" s="7" t="s">
        <v>0</v>
      </c>
      <c r="V5" s="7" t="s">
        <v>1</v>
      </c>
      <c r="W5" s="7" t="s">
        <v>2</v>
      </c>
      <c r="X5" s="7" t="s">
        <v>44</v>
      </c>
      <c r="Y5" s="7" t="s">
        <v>3</v>
      </c>
      <c r="Z5" s="7" t="s">
        <v>5</v>
      </c>
      <c r="AA5" s="7" t="s">
        <v>6</v>
      </c>
      <c r="AB5" s="7" t="s">
        <v>7</v>
      </c>
      <c r="AC5" s="7" t="s">
        <v>0</v>
      </c>
      <c r="AD5" s="7" t="s">
        <v>1</v>
      </c>
      <c r="AE5" s="7" t="s">
        <v>2</v>
      </c>
      <c r="AF5" s="7" t="s">
        <v>3</v>
      </c>
      <c r="AG5" s="7" t="s">
        <v>4</v>
      </c>
      <c r="AH5" s="8" t="s">
        <v>5</v>
      </c>
      <c r="AI5" s="10"/>
      <c r="AK5" s="6">
        <f>COUNTIF($E5:$AI5,"ST*")</f>
        <v>0</v>
      </c>
      <c r="AL5" s="6">
        <f>COUNTIF($E5:$AI5,"M*")</f>
        <v>8</v>
      </c>
      <c r="AM5" s="6">
        <f>COUNTIF($E5:$AI5,"A*")</f>
        <v>5</v>
      </c>
      <c r="AN5" s="6">
        <f>COUNTIF($E5:$AI5,"N*")</f>
        <v>7</v>
      </c>
      <c r="AO5" s="6">
        <f>COUNTIF($E5:$AI5,"O*")</f>
        <v>10</v>
      </c>
    </row>
    <row r="6" spans="2:41" ht="18.75" x14ac:dyDescent="0.25">
      <c r="B6" s="47" t="s">
        <v>11</v>
      </c>
      <c r="C6" s="48"/>
      <c r="E6" s="5" t="s">
        <v>2</v>
      </c>
      <c r="F6" s="5" t="s">
        <v>44</v>
      </c>
      <c r="G6" s="5" t="s">
        <v>3</v>
      </c>
      <c r="H6" s="5" t="s">
        <v>4</v>
      </c>
      <c r="I6" s="5" t="s">
        <v>5</v>
      </c>
      <c r="J6" s="5" t="s">
        <v>6</v>
      </c>
      <c r="K6" s="5" t="s">
        <v>7</v>
      </c>
      <c r="L6" s="5" t="s">
        <v>0</v>
      </c>
      <c r="M6" s="5" t="s">
        <v>2</v>
      </c>
      <c r="N6" s="5" t="s">
        <v>44</v>
      </c>
      <c r="O6" s="5" t="s">
        <v>3</v>
      </c>
      <c r="P6" s="5" t="s">
        <v>4</v>
      </c>
      <c r="Q6" s="5" t="s">
        <v>5</v>
      </c>
      <c r="R6" s="5" t="s">
        <v>6</v>
      </c>
      <c r="S6" s="5" t="s">
        <v>7</v>
      </c>
      <c r="T6" s="5" t="s">
        <v>0</v>
      </c>
      <c r="U6" s="5" t="s">
        <v>2</v>
      </c>
      <c r="V6" s="5" t="s">
        <v>44</v>
      </c>
      <c r="W6" s="5" t="s">
        <v>3</v>
      </c>
      <c r="X6" s="5" t="s">
        <v>4</v>
      </c>
      <c r="Y6" s="5" t="s">
        <v>5</v>
      </c>
      <c r="Z6" s="5" t="s">
        <v>6</v>
      </c>
      <c r="AA6" s="5" t="s">
        <v>7</v>
      </c>
      <c r="AB6" s="5" t="s">
        <v>0</v>
      </c>
      <c r="AC6" s="5" t="s">
        <v>2</v>
      </c>
      <c r="AD6" s="5" t="s">
        <v>44</v>
      </c>
      <c r="AE6" s="5" t="s">
        <v>3</v>
      </c>
      <c r="AF6" s="5" t="s">
        <v>4</v>
      </c>
      <c r="AG6" s="5" t="s">
        <v>5</v>
      </c>
      <c r="AH6" s="9" t="s">
        <v>6</v>
      </c>
      <c r="AI6" s="2"/>
      <c r="AK6" s="6">
        <f t="shared" ref="AK6:AK19" si="0">COUNTIF($E6:$AI6,"ST*")</f>
        <v>0</v>
      </c>
      <c r="AL6" s="6">
        <f t="shared" ref="AL6:AL19" si="1">COUNTIF($E6:$AI6,"M*")</f>
        <v>3</v>
      </c>
      <c r="AM6" s="6">
        <f t="shared" ref="AM6:AM19" si="2">COUNTIF($E6:$AI6,"A*")</f>
        <v>8</v>
      </c>
      <c r="AN6" s="6">
        <f t="shared" ref="AN6:AN19" si="3">COUNTIF($E6:$AI6,"N*")</f>
        <v>8</v>
      </c>
      <c r="AO6" s="6">
        <f t="shared" ref="AO6:AO19" si="4">COUNTIF($E6:$AI6,"O*")</f>
        <v>11</v>
      </c>
    </row>
    <row r="7" spans="2:41" ht="18.75" x14ac:dyDescent="0.25">
      <c r="B7" s="47" t="s">
        <v>12</v>
      </c>
      <c r="C7" s="48"/>
      <c r="E7" s="5" t="s">
        <v>2</v>
      </c>
      <c r="F7" s="5" t="s">
        <v>3</v>
      </c>
      <c r="G7" s="5" t="s">
        <v>4</v>
      </c>
      <c r="H7" s="5" t="s">
        <v>5</v>
      </c>
      <c r="I7" s="5" t="s">
        <v>6</v>
      </c>
      <c r="J7" s="5" t="s">
        <v>7</v>
      </c>
      <c r="K7" s="5" t="s">
        <v>0</v>
      </c>
      <c r="L7" s="5" t="s">
        <v>2</v>
      </c>
      <c r="M7" s="5" t="s">
        <v>44</v>
      </c>
      <c r="N7" s="5" t="s">
        <v>3</v>
      </c>
      <c r="O7" s="5" t="s">
        <v>4</v>
      </c>
      <c r="P7" s="5" t="s">
        <v>5</v>
      </c>
      <c r="Q7" s="5" t="s">
        <v>6</v>
      </c>
      <c r="R7" s="5" t="s">
        <v>7</v>
      </c>
      <c r="S7" s="5" t="s">
        <v>0</v>
      </c>
      <c r="T7" s="5" t="s">
        <v>2</v>
      </c>
      <c r="U7" s="5" t="s">
        <v>44</v>
      </c>
      <c r="V7" s="5" t="s">
        <v>3</v>
      </c>
      <c r="W7" s="5" t="s">
        <v>4</v>
      </c>
      <c r="X7" s="5" t="s">
        <v>5</v>
      </c>
      <c r="Y7" s="5" t="s">
        <v>6</v>
      </c>
      <c r="Z7" s="5" t="s">
        <v>7</v>
      </c>
      <c r="AA7" s="5" t="s">
        <v>0</v>
      </c>
      <c r="AB7" s="5" t="s">
        <v>2</v>
      </c>
      <c r="AC7" s="5" t="s">
        <v>44</v>
      </c>
      <c r="AD7" s="5" t="s">
        <v>3</v>
      </c>
      <c r="AE7" s="5" t="s">
        <v>4</v>
      </c>
      <c r="AF7" s="5" t="s">
        <v>5</v>
      </c>
      <c r="AG7" s="5" t="s">
        <v>6</v>
      </c>
      <c r="AH7" s="9" t="s">
        <v>7</v>
      </c>
      <c r="AI7" s="2"/>
      <c r="AK7" s="6">
        <f t="shared" si="0"/>
        <v>0</v>
      </c>
      <c r="AL7" s="6">
        <f t="shared" si="1"/>
        <v>3</v>
      </c>
      <c r="AM7" s="6">
        <f t="shared" si="2"/>
        <v>7</v>
      </c>
      <c r="AN7" s="6">
        <f t="shared" si="3"/>
        <v>8</v>
      </c>
      <c r="AO7" s="6">
        <f t="shared" si="4"/>
        <v>12</v>
      </c>
    </row>
    <row r="8" spans="2:41" ht="18.75" x14ac:dyDescent="0.25">
      <c r="B8" s="47" t="s">
        <v>13</v>
      </c>
      <c r="C8" s="48"/>
      <c r="E8" s="5" t="s">
        <v>60</v>
      </c>
      <c r="F8" s="5" t="s">
        <v>4</v>
      </c>
      <c r="G8" s="5" t="s">
        <v>5</v>
      </c>
      <c r="H8" s="5" t="s">
        <v>6</v>
      </c>
      <c r="I8" s="5" t="s">
        <v>7</v>
      </c>
      <c r="J8" s="5" t="s">
        <v>0</v>
      </c>
      <c r="K8" s="5" t="s">
        <v>2</v>
      </c>
      <c r="L8" s="5" t="s">
        <v>44</v>
      </c>
      <c r="M8" s="5" t="s">
        <v>3</v>
      </c>
      <c r="N8" s="5" t="s">
        <v>4</v>
      </c>
      <c r="O8" s="5" t="s">
        <v>5</v>
      </c>
      <c r="P8" s="5" t="s">
        <v>6</v>
      </c>
      <c r="Q8" s="5" t="s">
        <v>7</v>
      </c>
      <c r="R8" s="5" t="s">
        <v>0</v>
      </c>
      <c r="S8" s="5" t="s">
        <v>1</v>
      </c>
      <c r="T8" s="5" t="s">
        <v>2</v>
      </c>
      <c r="U8" s="5" t="s">
        <v>60</v>
      </c>
      <c r="V8" s="5" t="s">
        <v>4</v>
      </c>
      <c r="W8" s="5" t="s">
        <v>5</v>
      </c>
      <c r="X8" s="5" t="s">
        <v>6</v>
      </c>
      <c r="Y8" s="5" t="s">
        <v>7</v>
      </c>
      <c r="Z8" s="5" t="s">
        <v>0</v>
      </c>
      <c r="AA8" s="5" t="s">
        <v>1</v>
      </c>
      <c r="AB8" s="5" t="s">
        <v>2</v>
      </c>
      <c r="AC8" s="5" t="s">
        <v>60</v>
      </c>
      <c r="AD8" s="5" t="s">
        <v>4</v>
      </c>
      <c r="AE8" s="5" t="s">
        <v>5</v>
      </c>
      <c r="AF8" s="5" t="s">
        <v>6</v>
      </c>
      <c r="AG8" s="5" t="s">
        <v>7</v>
      </c>
      <c r="AH8" s="9" t="s">
        <v>0</v>
      </c>
      <c r="AI8" s="2"/>
      <c r="AK8" s="6">
        <f t="shared" si="0"/>
        <v>3</v>
      </c>
      <c r="AL8" s="6">
        <f t="shared" si="1"/>
        <v>6</v>
      </c>
      <c r="AM8" s="6">
        <f t="shared" si="2"/>
        <v>4</v>
      </c>
      <c r="AN8" s="6">
        <f t="shared" si="3"/>
        <v>5</v>
      </c>
      <c r="AO8" s="6">
        <f t="shared" si="4"/>
        <v>12</v>
      </c>
    </row>
    <row r="9" spans="2:41" ht="18.75" x14ac:dyDescent="0.25">
      <c r="B9" s="47" t="s">
        <v>14</v>
      </c>
      <c r="C9" s="48"/>
      <c r="E9" s="5" t="s">
        <v>4</v>
      </c>
      <c r="F9" s="5" t="s">
        <v>5</v>
      </c>
      <c r="G9" s="5" t="s">
        <v>6</v>
      </c>
      <c r="H9" s="5" t="s">
        <v>7</v>
      </c>
      <c r="I9" s="5" t="s">
        <v>0</v>
      </c>
      <c r="J9" s="5" t="s">
        <v>2</v>
      </c>
      <c r="K9" s="5" t="s">
        <v>44</v>
      </c>
      <c r="L9" s="5" t="s">
        <v>4</v>
      </c>
      <c r="M9" s="5" t="s">
        <v>43</v>
      </c>
      <c r="N9" s="5" t="s">
        <v>5</v>
      </c>
      <c r="O9" s="5" t="s">
        <v>6</v>
      </c>
      <c r="P9" s="5" t="s">
        <v>7</v>
      </c>
      <c r="Q9" s="5" t="s">
        <v>0</v>
      </c>
      <c r="R9" s="5" t="s">
        <v>1</v>
      </c>
      <c r="S9" s="5" t="s">
        <v>2</v>
      </c>
      <c r="T9" s="5" t="s">
        <v>3</v>
      </c>
      <c r="U9" s="5" t="s">
        <v>4</v>
      </c>
      <c r="V9" s="5" t="s">
        <v>5</v>
      </c>
      <c r="W9" s="5" t="s">
        <v>6</v>
      </c>
      <c r="X9" s="5" t="s">
        <v>7</v>
      </c>
      <c r="Y9" s="5" t="s">
        <v>0</v>
      </c>
      <c r="Z9" s="5" t="s">
        <v>1</v>
      </c>
      <c r="AA9" s="5" t="s">
        <v>2</v>
      </c>
      <c r="AB9" s="5" t="s">
        <v>60</v>
      </c>
      <c r="AC9" s="5" t="s">
        <v>4</v>
      </c>
      <c r="AD9" s="5" t="s">
        <v>5</v>
      </c>
      <c r="AE9" s="5" t="s">
        <v>6</v>
      </c>
      <c r="AF9" s="5" t="s">
        <v>7</v>
      </c>
      <c r="AG9" s="5" t="s">
        <v>0</v>
      </c>
      <c r="AH9" s="9" t="s">
        <v>1</v>
      </c>
      <c r="AI9" s="2"/>
      <c r="AK9" s="6">
        <f t="shared" si="0"/>
        <v>1</v>
      </c>
      <c r="AL9" s="6">
        <f t="shared" si="1"/>
        <v>7</v>
      </c>
      <c r="AM9" s="6">
        <f t="shared" si="2"/>
        <v>4</v>
      </c>
      <c r="AN9" s="6">
        <f t="shared" si="3"/>
        <v>6</v>
      </c>
      <c r="AO9" s="6">
        <f t="shared" si="4"/>
        <v>12</v>
      </c>
    </row>
    <row r="10" spans="2:41" ht="18.75" x14ac:dyDescent="0.25">
      <c r="B10" s="47" t="s">
        <v>15</v>
      </c>
      <c r="C10" s="48"/>
      <c r="E10" s="5" t="s">
        <v>5</v>
      </c>
      <c r="F10" s="5" t="s">
        <v>6</v>
      </c>
      <c r="G10" s="5" t="s">
        <v>7</v>
      </c>
      <c r="H10" s="5" t="s">
        <v>0</v>
      </c>
      <c r="I10" s="5" t="s">
        <v>2</v>
      </c>
      <c r="J10" s="5" t="s">
        <v>44</v>
      </c>
      <c r="K10" s="5" t="s">
        <v>3</v>
      </c>
      <c r="L10" s="5" t="s">
        <v>4</v>
      </c>
      <c r="M10" s="5" t="s">
        <v>5</v>
      </c>
      <c r="N10" s="5" t="s">
        <v>6</v>
      </c>
      <c r="O10" s="5" t="s">
        <v>7</v>
      </c>
      <c r="P10" s="5" t="s">
        <v>0</v>
      </c>
      <c r="Q10" s="5" t="s">
        <v>1</v>
      </c>
      <c r="R10" s="5" t="s">
        <v>2</v>
      </c>
      <c r="S10" s="5" t="s">
        <v>3</v>
      </c>
      <c r="T10" s="5" t="s">
        <v>4</v>
      </c>
      <c r="U10" s="5" t="s">
        <v>5</v>
      </c>
      <c r="V10" s="5" t="s">
        <v>6</v>
      </c>
      <c r="W10" s="5" t="s">
        <v>7</v>
      </c>
      <c r="X10" s="5" t="s">
        <v>0</v>
      </c>
      <c r="Y10" s="5" t="s">
        <v>1</v>
      </c>
      <c r="Z10" s="5" t="s">
        <v>2</v>
      </c>
      <c r="AA10" s="5" t="s">
        <v>60</v>
      </c>
      <c r="AB10" s="5" t="s">
        <v>4</v>
      </c>
      <c r="AC10" s="5" t="s">
        <v>5</v>
      </c>
      <c r="AD10" s="5" t="s">
        <v>6</v>
      </c>
      <c r="AE10" s="5" t="s">
        <v>7</v>
      </c>
      <c r="AF10" s="5" t="s">
        <v>0</v>
      </c>
      <c r="AG10" s="5" t="s">
        <v>2</v>
      </c>
      <c r="AH10" s="9" t="s">
        <v>3</v>
      </c>
      <c r="AI10" s="2"/>
      <c r="AK10" s="6">
        <f t="shared" si="0"/>
        <v>1</v>
      </c>
      <c r="AL10" s="6">
        <f t="shared" si="1"/>
        <v>6</v>
      </c>
      <c r="AM10" s="6">
        <f t="shared" si="2"/>
        <v>5</v>
      </c>
      <c r="AN10" s="6">
        <f t="shared" si="3"/>
        <v>6</v>
      </c>
      <c r="AO10" s="6">
        <f t="shared" si="4"/>
        <v>12</v>
      </c>
    </row>
    <row r="11" spans="2:41" ht="18.75" x14ac:dyDescent="0.25">
      <c r="B11" s="47" t="s">
        <v>16</v>
      </c>
      <c r="C11" s="48"/>
      <c r="E11" s="5" t="s">
        <v>6</v>
      </c>
      <c r="F11" s="5" t="s">
        <v>7</v>
      </c>
      <c r="G11" s="5" t="s">
        <v>0</v>
      </c>
      <c r="H11" s="5" t="s">
        <v>1</v>
      </c>
      <c r="I11" s="5" t="s">
        <v>2</v>
      </c>
      <c r="J11" s="5" t="s">
        <v>3</v>
      </c>
      <c r="K11" s="5" t="s">
        <v>4</v>
      </c>
      <c r="L11" s="5" t="s">
        <v>5</v>
      </c>
      <c r="M11" s="5" t="s">
        <v>6</v>
      </c>
      <c r="N11" s="5" t="s">
        <v>7</v>
      </c>
      <c r="O11" s="5" t="s">
        <v>0</v>
      </c>
      <c r="P11" s="5" t="s">
        <v>2</v>
      </c>
      <c r="Q11" s="5" t="s">
        <v>3</v>
      </c>
      <c r="R11" s="5" t="s">
        <v>4</v>
      </c>
      <c r="S11" s="5" t="s">
        <v>43</v>
      </c>
      <c r="T11" s="5" t="s">
        <v>5</v>
      </c>
      <c r="U11" s="5" t="s">
        <v>6</v>
      </c>
      <c r="V11" s="5" t="s">
        <v>7</v>
      </c>
      <c r="W11" s="5" t="s">
        <v>0</v>
      </c>
      <c r="X11" s="5" t="s">
        <v>2</v>
      </c>
      <c r="Y11" s="5" t="s">
        <v>44</v>
      </c>
      <c r="Z11" s="5" t="s">
        <v>3</v>
      </c>
      <c r="AA11" s="5" t="s">
        <v>4</v>
      </c>
      <c r="AB11" s="5" t="s">
        <v>5</v>
      </c>
      <c r="AC11" s="5" t="s">
        <v>6</v>
      </c>
      <c r="AD11" s="5" t="s">
        <v>7</v>
      </c>
      <c r="AE11" s="5" t="s">
        <v>0</v>
      </c>
      <c r="AF11" s="5" t="s">
        <v>2</v>
      </c>
      <c r="AG11" s="5" t="s">
        <v>44</v>
      </c>
      <c r="AH11" s="9" t="s">
        <v>3</v>
      </c>
      <c r="AI11" s="2"/>
      <c r="AK11" s="6">
        <f t="shared" si="0"/>
        <v>0</v>
      </c>
      <c r="AL11" s="6">
        <f t="shared" si="1"/>
        <v>5</v>
      </c>
      <c r="AM11" s="6">
        <f t="shared" si="2"/>
        <v>6</v>
      </c>
      <c r="AN11" s="6">
        <f t="shared" si="3"/>
        <v>8</v>
      </c>
      <c r="AO11" s="6">
        <f t="shared" si="4"/>
        <v>11</v>
      </c>
    </row>
    <row r="12" spans="2:41" ht="18.75" x14ac:dyDescent="0.25">
      <c r="B12" s="47" t="s">
        <v>17</v>
      </c>
      <c r="C12" s="48"/>
      <c r="E12" s="5" t="s">
        <v>7</v>
      </c>
      <c r="F12" s="5" t="s">
        <v>0</v>
      </c>
      <c r="G12" s="5" t="s">
        <v>1</v>
      </c>
      <c r="H12" s="5" t="s">
        <v>2</v>
      </c>
      <c r="I12" s="5" t="s">
        <v>3</v>
      </c>
      <c r="J12" s="5" t="s">
        <v>4</v>
      </c>
      <c r="K12" s="5" t="s">
        <v>5</v>
      </c>
      <c r="L12" s="5" t="s">
        <v>6</v>
      </c>
      <c r="M12" s="5" t="s">
        <v>7</v>
      </c>
      <c r="N12" s="5" t="s">
        <v>0</v>
      </c>
      <c r="O12" s="5" t="s">
        <v>1</v>
      </c>
      <c r="P12" s="5" t="s">
        <v>2</v>
      </c>
      <c r="Q12" s="5" t="s">
        <v>44</v>
      </c>
      <c r="R12" s="5" t="s">
        <v>3</v>
      </c>
      <c r="S12" s="5" t="s">
        <v>5</v>
      </c>
      <c r="T12" s="5" t="s">
        <v>6</v>
      </c>
      <c r="U12" s="5" t="s">
        <v>7</v>
      </c>
      <c r="V12" s="5" t="s">
        <v>0</v>
      </c>
      <c r="W12" s="5" t="s">
        <v>1</v>
      </c>
      <c r="X12" s="5" t="s">
        <v>2</v>
      </c>
      <c r="Y12" s="5" t="s">
        <v>3</v>
      </c>
      <c r="Z12" s="5" t="s">
        <v>4</v>
      </c>
      <c r="AA12" s="5" t="s">
        <v>5</v>
      </c>
      <c r="AB12" s="5" t="s">
        <v>6</v>
      </c>
      <c r="AC12" s="5" t="s">
        <v>7</v>
      </c>
      <c r="AD12" s="5" t="s">
        <v>0</v>
      </c>
      <c r="AE12" s="5" t="s">
        <v>1</v>
      </c>
      <c r="AF12" s="5" t="s">
        <v>2</v>
      </c>
      <c r="AG12" s="5" t="s">
        <v>3</v>
      </c>
      <c r="AH12" s="9" t="s">
        <v>4</v>
      </c>
      <c r="AI12" s="2"/>
      <c r="AK12" s="6">
        <f t="shared" si="0"/>
        <v>0</v>
      </c>
      <c r="AL12" s="6">
        <f t="shared" si="1"/>
        <v>8</v>
      </c>
      <c r="AM12" s="6">
        <f t="shared" si="2"/>
        <v>5</v>
      </c>
      <c r="AN12" s="6">
        <f t="shared" si="3"/>
        <v>7</v>
      </c>
      <c r="AO12" s="6">
        <f t="shared" si="4"/>
        <v>10</v>
      </c>
    </row>
    <row r="13" spans="2:41" ht="18.75" x14ac:dyDescent="0.25">
      <c r="B13" s="47" t="s">
        <v>18</v>
      </c>
      <c r="C13" s="48"/>
      <c r="E13" s="5" t="s">
        <v>0</v>
      </c>
      <c r="F13" s="5" t="s">
        <v>1</v>
      </c>
      <c r="G13" s="5" t="s">
        <v>2</v>
      </c>
      <c r="H13" s="5" t="s">
        <v>44</v>
      </c>
      <c r="I13" s="5" t="s">
        <v>3</v>
      </c>
      <c r="J13" s="5" t="s">
        <v>5</v>
      </c>
      <c r="K13" s="5" t="s">
        <v>6</v>
      </c>
      <c r="L13" s="5" t="s">
        <v>7</v>
      </c>
      <c r="M13" s="5" t="s">
        <v>0</v>
      </c>
      <c r="N13" s="5" t="s">
        <v>1</v>
      </c>
      <c r="O13" s="5" t="s">
        <v>2</v>
      </c>
      <c r="P13" s="5" t="s">
        <v>44</v>
      </c>
      <c r="Q13" s="5" t="s">
        <v>3</v>
      </c>
      <c r="R13" s="5" t="s">
        <v>5</v>
      </c>
      <c r="S13" s="5" t="s">
        <v>6</v>
      </c>
      <c r="T13" s="5" t="s">
        <v>7</v>
      </c>
      <c r="U13" s="5" t="s">
        <v>0</v>
      </c>
      <c r="V13" s="5" t="s">
        <v>1</v>
      </c>
      <c r="W13" s="5" t="s">
        <v>2</v>
      </c>
      <c r="X13" s="5" t="s">
        <v>3</v>
      </c>
      <c r="Y13" s="5" t="s">
        <v>4</v>
      </c>
      <c r="Z13" s="5" t="s">
        <v>5</v>
      </c>
      <c r="AA13" s="5" t="s">
        <v>6</v>
      </c>
      <c r="AB13" s="5" t="s">
        <v>7</v>
      </c>
      <c r="AC13" s="5" t="s">
        <v>0</v>
      </c>
      <c r="AD13" s="5" t="s">
        <v>1</v>
      </c>
      <c r="AE13" s="5" t="s">
        <v>2</v>
      </c>
      <c r="AF13" s="5" t="s">
        <v>44</v>
      </c>
      <c r="AG13" s="5" t="s">
        <v>3</v>
      </c>
      <c r="AH13" s="9" t="s">
        <v>5</v>
      </c>
      <c r="AI13" s="2"/>
      <c r="AK13" s="6">
        <f t="shared" si="0"/>
        <v>0</v>
      </c>
      <c r="AL13" s="6">
        <f t="shared" si="1"/>
        <v>8</v>
      </c>
      <c r="AM13" s="6">
        <f t="shared" si="2"/>
        <v>7</v>
      </c>
      <c r="AN13" s="6">
        <f t="shared" si="3"/>
        <v>5</v>
      </c>
      <c r="AO13" s="6">
        <f t="shared" si="4"/>
        <v>10</v>
      </c>
    </row>
    <row r="14" spans="2:41" ht="18.75" x14ac:dyDescent="0.25">
      <c r="B14" s="47" t="s">
        <v>19</v>
      </c>
      <c r="C14" s="48"/>
      <c r="E14" s="5" t="s">
        <v>1</v>
      </c>
      <c r="F14" s="5" t="s">
        <v>2</v>
      </c>
      <c r="G14" s="5" t="s">
        <v>44</v>
      </c>
      <c r="H14" s="5" t="s">
        <v>3</v>
      </c>
      <c r="I14" s="5" t="s">
        <v>5</v>
      </c>
      <c r="J14" s="5" t="s">
        <v>6</v>
      </c>
      <c r="K14" s="5" t="s">
        <v>7</v>
      </c>
      <c r="L14" s="5" t="s">
        <v>0</v>
      </c>
      <c r="M14" s="5" t="s">
        <v>1</v>
      </c>
      <c r="N14" s="5" t="s">
        <v>2</v>
      </c>
      <c r="O14" s="5" t="s">
        <v>44</v>
      </c>
      <c r="P14" s="5" t="s">
        <v>3</v>
      </c>
      <c r="Q14" s="5" t="s">
        <v>5</v>
      </c>
      <c r="R14" s="5" t="s">
        <v>6</v>
      </c>
      <c r="S14" s="5" t="s">
        <v>7</v>
      </c>
      <c r="T14" s="5" t="s">
        <v>0</v>
      </c>
      <c r="U14" s="5" t="s">
        <v>1</v>
      </c>
      <c r="V14" s="5" t="s">
        <v>2</v>
      </c>
      <c r="W14" s="5" t="s">
        <v>44</v>
      </c>
      <c r="X14" s="5" t="s">
        <v>3</v>
      </c>
      <c r="Y14" s="5" t="s">
        <v>5</v>
      </c>
      <c r="Z14" s="5" t="s">
        <v>6</v>
      </c>
      <c r="AA14" s="5" t="s">
        <v>7</v>
      </c>
      <c r="AB14" s="5" t="s">
        <v>0</v>
      </c>
      <c r="AC14" s="5" t="s">
        <v>1</v>
      </c>
      <c r="AD14" s="5" t="s">
        <v>2</v>
      </c>
      <c r="AE14" s="5" t="s">
        <v>44</v>
      </c>
      <c r="AF14" s="5" t="s">
        <v>3</v>
      </c>
      <c r="AG14" s="5" t="s">
        <v>5</v>
      </c>
      <c r="AH14" s="9" t="s">
        <v>6</v>
      </c>
      <c r="AI14" s="2"/>
      <c r="AK14" s="6">
        <f t="shared" si="0"/>
        <v>0</v>
      </c>
      <c r="AL14" s="6">
        <f t="shared" si="1"/>
        <v>7</v>
      </c>
      <c r="AM14" s="6">
        <f t="shared" si="2"/>
        <v>8</v>
      </c>
      <c r="AN14" s="6">
        <f t="shared" si="3"/>
        <v>4</v>
      </c>
      <c r="AO14" s="6">
        <f t="shared" si="4"/>
        <v>11</v>
      </c>
    </row>
    <row r="15" spans="2:41" ht="18.75" x14ac:dyDescent="0.25">
      <c r="B15" s="47" t="s">
        <v>20</v>
      </c>
      <c r="C15" s="48"/>
      <c r="E15" s="5" t="s">
        <v>2</v>
      </c>
      <c r="F15" s="5" t="s">
        <v>44</v>
      </c>
      <c r="G15" s="5" t="s">
        <v>3</v>
      </c>
      <c r="H15" s="5" t="s">
        <v>5</v>
      </c>
      <c r="I15" s="5" t="s">
        <v>6</v>
      </c>
      <c r="J15" s="5" t="s">
        <v>7</v>
      </c>
      <c r="K15" s="5" t="s">
        <v>0</v>
      </c>
      <c r="L15" s="5" t="s">
        <v>1</v>
      </c>
      <c r="M15" s="5" t="s">
        <v>2</v>
      </c>
      <c r="N15" s="5" t="s">
        <v>44</v>
      </c>
      <c r="O15" s="5" t="s">
        <v>3</v>
      </c>
      <c r="P15" s="5" t="s">
        <v>5</v>
      </c>
      <c r="Q15" s="5" t="s">
        <v>6</v>
      </c>
      <c r="R15" s="5" t="s">
        <v>7</v>
      </c>
      <c r="S15" s="5" t="s">
        <v>0</v>
      </c>
      <c r="T15" s="5" t="s">
        <v>1</v>
      </c>
      <c r="U15" s="5" t="s">
        <v>2</v>
      </c>
      <c r="V15" s="5" t="s">
        <v>44</v>
      </c>
      <c r="W15" s="5" t="s">
        <v>3</v>
      </c>
      <c r="X15" s="5" t="s">
        <v>5</v>
      </c>
      <c r="Y15" s="5" t="s">
        <v>6</v>
      </c>
      <c r="Z15" s="5" t="s">
        <v>7</v>
      </c>
      <c r="AA15" s="5" t="s">
        <v>0</v>
      </c>
      <c r="AB15" s="5" t="s">
        <v>1</v>
      </c>
      <c r="AC15" s="5" t="s">
        <v>2</v>
      </c>
      <c r="AD15" s="5" t="s">
        <v>44</v>
      </c>
      <c r="AE15" s="5" t="s">
        <v>3</v>
      </c>
      <c r="AF15" s="5" t="s">
        <v>5</v>
      </c>
      <c r="AG15" s="5" t="s">
        <v>6</v>
      </c>
      <c r="AH15" s="9" t="s">
        <v>7</v>
      </c>
      <c r="AI15" s="2"/>
      <c r="AK15" s="6">
        <f t="shared" si="0"/>
        <v>0</v>
      </c>
      <c r="AL15" s="6">
        <f t="shared" si="1"/>
        <v>6</v>
      </c>
      <c r="AM15" s="6">
        <f t="shared" si="2"/>
        <v>8</v>
      </c>
      <c r="AN15" s="6">
        <f t="shared" si="3"/>
        <v>4</v>
      </c>
      <c r="AO15" s="6">
        <f t="shared" si="4"/>
        <v>12</v>
      </c>
    </row>
    <row r="16" spans="2:41" ht="18.75" x14ac:dyDescent="0.25">
      <c r="B16" s="47" t="s">
        <v>21</v>
      </c>
      <c r="C16" s="48"/>
      <c r="E16" s="5" t="s">
        <v>3</v>
      </c>
      <c r="F16" s="5" t="s">
        <v>4</v>
      </c>
      <c r="G16" s="5" t="s">
        <v>5</v>
      </c>
      <c r="H16" s="5" t="s">
        <v>6</v>
      </c>
      <c r="I16" s="5" t="s">
        <v>7</v>
      </c>
      <c r="J16" s="5" t="s">
        <v>0</v>
      </c>
      <c r="K16" s="5" t="s">
        <v>1</v>
      </c>
      <c r="L16" s="5" t="s">
        <v>2</v>
      </c>
      <c r="M16" s="5" t="s">
        <v>60</v>
      </c>
      <c r="N16" s="5" t="s">
        <v>4</v>
      </c>
      <c r="O16" s="5" t="s">
        <v>5</v>
      </c>
      <c r="P16" s="5" t="s">
        <v>6</v>
      </c>
      <c r="Q16" s="5" t="s">
        <v>7</v>
      </c>
      <c r="R16" s="5" t="s">
        <v>0</v>
      </c>
      <c r="S16" s="5" t="s">
        <v>2</v>
      </c>
      <c r="T16" s="5" t="s">
        <v>44</v>
      </c>
      <c r="U16" s="5" t="s">
        <v>3</v>
      </c>
      <c r="V16" s="5" t="s">
        <v>4</v>
      </c>
      <c r="W16" s="5" t="s">
        <v>5</v>
      </c>
      <c r="X16" s="5" t="s">
        <v>6</v>
      </c>
      <c r="Y16" s="5" t="s">
        <v>7</v>
      </c>
      <c r="Z16" s="5" t="s">
        <v>0</v>
      </c>
      <c r="AA16" s="5" t="s">
        <v>2</v>
      </c>
      <c r="AB16" s="5" t="s">
        <v>44</v>
      </c>
      <c r="AC16" s="5" t="s">
        <v>3</v>
      </c>
      <c r="AD16" s="5" t="s">
        <v>4</v>
      </c>
      <c r="AE16" s="5" t="s">
        <v>5</v>
      </c>
      <c r="AF16" s="5" t="s">
        <v>6</v>
      </c>
      <c r="AG16" s="5" t="s">
        <v>7</v>
      </c>
      <c r="AH16" s="9" t="s">
        <v>0</v>
      </c>
      <c r="AI16" s="2"/>
      <c r="AK16" s="6">
        <f t="shared" si="0"/>
        <v>1</v>
      </c>
      <c r="AL16" s="6">
        <f t="shared" si="1"/>
        <v>5</v>
      </c>
      <c r="AM16" s="6">
        <f t="shared" si="2"/>
        <v>5</v>
      </c>
      <c r="AN16" s="6">
        <f t="shared" si="3"/>
        <v>7</v>
      </c>
      <c r="AO16" s="6">
        <f t="shared" si="4"/>
        <v>12</v>
      </c>
    </row>
    <row r="17" spans="2:41" ht="18.75" x14ac:dyDescent="0.25">
      <c r="B17" s="47" t="s">
        <v>22</v>
      </c>
      <c r="C17" s="48"/>
      <c r="E17" s="5" t="s">
        <v>4</v>
      </c>
      <c r="F17" s="5" t="s">
        <v>5</v>
      </c>
      <c r="G17" s="5" t="s">
        <v>6</v>
      </c>
      <c r="H17" s="5" t="s">
        <v>7</v>
      </c>
      <c r="I17" s="5" t="s">
        <v>0</v>
      </c>
      <c r="J17" s="5" t="s">
        <v>1</v>
      </c>
      <c r="K17" s="5" t="s">
        <v>2</v>
      </c>
      <c r="L17" s="5" t="s">
        <v>60</v>
      </c>
      <c r="M17" s="5" t="s">
        <v>4</v>
      </c>
      <c r="N17" s="5" t="s">
        <v>5</v>
      </c>
      <c r="O17" s="5" t="s">
        <v>6</v>
      </c>
      <c r="P17" s="5" t="s">
        <v>7</v>
      </c>
      <c r="Q17" s="5" t="s">
        <v>0</v>
      </c>
      <c r="R17" s="5" t="s">
        <v>2</v>
      </c>
      <c r="S17" s="5" t="s">
        <v>44</v>
      </c>
      <c r="T17" s="5" t="s">
        <v>60</v>
      </c>
      <c r="U17" s="5" t="s">
        <v>4</v>
      </c>
      <c r="V17" s="5" t="s">
        <v>5</v>
      </c>
      <c r="W17" s="5" t="s">
        <v>6</v>
      </c>
      <c r="X17" s="5" t="s">
        <v>7</v>
      </c>
      <c r="Y17" s="5" t="s">
        <v>0</v>
      </c>
      <c r="Z17" s="5" t="s">
        <v>2</v>
      </c>
      <c r="AA17" s="5" t="s">
        <v>44</v>
      </c>
      <c r="AB17" s="5" t="s">
        <v>3</v>
      </c>
      <c r="AC17" s="5" t="s">
        <v>4</v>
      </c>
      <c r="AD17" s="5" t="s">
        <v>5</v>
      </c>
      <c r="AE17" s="5" t="s">
        <v>6</v>
      </c>
      <c r="AF17" s="5" t="s">
        <v>7</v>
      </c>
      <c r="AG17" s="5" t="s">
        <v>0</v>
      </c>
      <c r="AH17" s="9" t="s">
        <v>2</v>
      </c>
      <c r="AI17" s="2"/>
      <c r="AK17" s="6">
        <f t="shared" si="0"/>
        <v>2</v>
      </c>
      <c r="AL17" s="6">
        <f t="shared" si="1"/>
        <v>5</v>
      </c>
      <c r="AM17" s="6">
        <f t="shared" si="2"/>
        <v>6</v>
      </c>
      <c r="AN17" s="6">
        <f t="shared" si="3"/>
        <v>5</v>
      </c>
      <c r="AO17" s="6">
        <f t="shared" si="4"/>
        <v>12</v>
      </c>
    </row>
    <row r="18" spans="2:41" ht="18.75" x14ac:dyDescent="0.25">
      <c r="B18" s="47" t="s">
        <v>23</v>
      </c>
      <c r="C18" s="48"/>
      <c r="E18" s="5" t="s">
        <v>5</v>
      </c>
      <c r="F18" s="5" t="s">
        <v>6</v>
      </c>
      <c r="G18" s="5" t="s">
        <v>7</v>
      </c>
      <c r="H18" s="5" t="s">
        <v>0</v>
      </c>
      <c r="I18" s="5" t="s">
        <v>1</v>
      </c>
      <c r="J18" s="5" t="s">
        <v>2</v>
      </c>
      <c r="K18" s="5" t="s">
        <v>60</v>
      </c>
      <c r="L18" s="5" t="s">
        <v>4</v>
      </c>
      <c r="M18" s="5" t="s">
        <v>5</v>
      </c>
      <c r="N18" s="5" t="s">
        <v>6</v>
      </c>
      <c r="O18" s="5" t="s">
        <v>7</v>
      </c>
      <c r="P18" s="5" t="s">
        <v>0</v>
      </c>
      <c r="Q18" s="5" t="s">
        <v>2</v>
      </c>
      <c r="R18" s="5" t="s">
        <v>44</v>
      </c>
      <c r="S18" s="5" t="s">
        <v>60</v>
      </c>
      <c r="T18" s="5" t="s">
        <v>4</v>
      </c>
      <c r="U18" s="5" t="s">
        <v>5</v>
      </c>
      <c r="V18" s="5" t="s">
        <v>6</v>
      </c>
      <c r="W18" s="5" t="s">
        <v>7</v>
      </c>
      <c r="X18" s="5" t="s">
        <v>0</v>
      </c>
      <c r="Y18" s="5" t="s">
        <v>2</v>
      </c>
      <c r="Z18" s="5" t="s">
        <v>44</v>
      </c>
      <c r="AA18" s="5" t="s">
        <v>3</v>
      </c>
      <c r="AB18" s="5" t="s">
        <v>4</v>
      </c>
      <c r="AC18" s="5" t="s">
        <v>5</v>
      </c>
      <c r="AD18" s="5" t="s">
        <v>6</v>
      </c>
      <c r="AE18" s="5" t="s">
        <v>7</v>
      </c>
      <c r="AF18" s="5" t="s">
        <v>0</v>
      </c>
      <c r="AG18" s="5" t="s">
        <v>1</v>
      </c>
      <c r="AH18" s="9" t="s">
        <v>2</v>
      </c>
      <c r="AI18" s="2"/>
      <c r="AK18" s="6">
        <f t="shared" si="0"/>
        <v>2</v>
      </c>
      <c r="AL18" s="6">
        <f t="shared" si="1"/>
        <v>6</v>
      </c>
      <c r="AM18" s="6">
        <f t="shared" si="2"/>
        <v>6</v>
      </c>
      <c r="AN18" s="6">
        <f t="shared" si="3"/>
        <v>4</v>
      </c>
      <c r="AO18" s="6">
        <f t="shared" si="4"/>
        <v>12</v>
      </c>
    </row>
    <row r="19" spans="2:41" ht="18.75" x14ac:dyDescent="0.25">
      <c r="B19" s="47" t="s">
        <v>24</v>
      </c>
      <c r="C19" s="48"/>
      <c r="E19" s="5" t="s">
        <v>6</v>
      </c>
      <c r="F19" s="5" t="s">
        <v>7</v>
      </c>
      <c r="G19" s="5" t="s">
        <v>0</v>
      </c>
      <c r="H19" s="5" t="s">
        <v>2</v>
      </c>
      <c r="I19" s="5" t="s">
        <v>44</v>
      </c>
      <c r="J19" s="5" t="s">
        <v>3</v>
      </c>
      <c r="K19" s="5" t="s">
        <v>4</v>
      </c>
      <c r="L19" s="5" t="s">
        <v>5</v>
      </c>
      <c r="M19" s="5" t="s">
        <v>6</v>
      </c>
      <c r="N19" s="5" t="s">
        <v>7</v>
      </c>
      <c r="O19" s="5" t="s">
        <v>0</v>
      </c>
      <c r="P19" s="5" t="s">
        <v>1</v>
      </c>
      <c r="Q19" s="5" t="s">
        <v>2</v>
      </c>
      <c r="R19" s="5" t="s">
        <v>3</v>
      </c>
      <c r="S19" s="5" t="s">
        <v>4</v>
      </c>
      <c r="T19" s="5" t="s">
        <v>5</v>
      </c>
      <c r="U19" s="5" t="s">
        <v>6</v>
      </c>
      <c r="V19" s="5" t="s">
        <v>7</v>
      </c>
      <c r="W19" s="5" t="s">
        <v>0</v>
      </c>
      <c r="X19" s="5" t="s">
        <v>1</v>
      </c>
      <c r="Y19" s="5" t="s">
        <v>2</v>
      </c>
      <c r="Z19" s="5" t="s">
        <v>3</v>
      </c>
      <c r="AA19" s="5" t="s">
        <v>4</v>
      </c>
      <c r="AB19" s="5" t="s">
        <v>5</v>
      </c>
      <c r="AC19" s="5" t="s">
        <v>6</v>
      </c>
      <c r="AD19" s="5" t="s">
        <v>7</v>
      </c>
      <c r="AE19" s="5" t="s">
        <v>0</v>
      </c>
      <c r="AF19" s="5" t="s">
        <v>1</v>
      </c>
      <c r="AG19" s="5" t="s">
        <v>2</v>
      </c>
      <c r="AH19" s="9" t="s">
        <v>44</v>
      </c>
      <c r="AI19" s="2"/>
      <c r="AK19" s="6">
        <f t="shared" si="0"/>
        <v>0</v>
      </c>
      <c r="AL19" s="6">
        <f t="shared" si="1"/>
        <v>7</v>
      </c>
      <c r="AM19" s="6">
        <f t="shared" si="2"/>
        <v>6</v>
      </c>
      <c r="AN19" s="6">
        <f t="shared" si="3"/>
        <v>6</v>
      </c>
      <c r="AO19" s="6">
        <f t="shared" si="4"/>
        <v>11</v>
      </c>
    </row>
    <row r="20" spans="2:41" x14ac:dyDescent="0.25">
      <c r="E20" s="3" t="s">
        <v>45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2:41" ht="18.75" x14ac:dyDescent="0.3">
      <c r="B21" s="45" t="s">
        <v>41</v>
      </c>
      <c r="C21" s="46"/>
      <c r="D21" s="20"/>
      <c r="E21" s="21">
        <f t="shared" ref="E21:AH21" si="5">COUNTIF(E$5:E$19,"M*")</f>
        <v>3</v>
      </c>
      <c r="F21" s="21">
        <f t="shared" si="5"/>
        <v>3</v>
      </c>
      <c r="G21" s="21">
        <f t="shared" si="5"/>
        <v>3</v>
      </c>
      <c r="H21" s="21">
        <f t="shared" si="5"/>
        <v>3</v>
      </c>
      <c r="I21" s="21">
        <f t="shared" si="5"/>
        <v>3</v>
      </c>
      <c r="J21" s="21">
        <f t="shared" si="5"/>
        <v>3</v>
      </c>
      <c r="K21" s="21">
        <f t="shared" si="5"/>
        <v>3</v>
      </c>
      <c r="L21" s="21">
        <f t="shared" si="5"/>
        <v>3</v>
      </c>
      <c r="M21" s="21">
        <f t="shared" si="5"/>
        <v>3</v>
      </c>
      <c r="N21" s="21">
        <f t="shared" si="5"/>
        <v>3</v>
      </c>
      <c r="O21" s="21">
        <f t="shared" si="5"/>
        <v>3</v>
      </c>
      <c r="P21" s="21">
        <f t="shared" si="5"/>
        <v>3</v>
      </c>
      <c r="Q21" s="21">
        <f t="shared" si="5"/>
        <v>3</v>
      </c>
      <c r="R21" s="21">
        <f t="shared" si="5"/>
        <v>3</v>
      </c>
      <c r="S21" s="21">
        <f t="shared" si="5"/>
        <v>3</v>
      </c>
      <c r="T21" s="21">
        <f t="shared" si="5"/>
        <v>3</v>
      </c>
      <c r="U21" s="21">
        <f t="shared" si="5"/>
        <v>3</v>
      </c>
      <c r="V21" s="21">
        <f t="shared" si="5"/>
        <v>3</v>
      </c>
      <c r="W21" s="21">
        <f t="shared" si="5"/>
        <v>3</v>
      </c>
      <c r="X21" s="21">
        <f t="shared" si="5"/>
        <v>3</v>
      </c>
      <c r="Y21" s="21">
        <f t="shared" si="5"/>
        <v>3</v>
      </c>
      <c r="Z21" s="21">
        <f t="shared" si="5"/>
        <v>3</v>
      </c>
      <c r="AA21" s="21">
        <f t="shared" si="5"/>
        <v>3</v>
      </c>
      <c r="AB21" s="21">
        <f t="shared" si="5"/>
        <v>3</v>
      </c>
      <c r="AC21" s="21">
        <f t="shared" si="5"/>
        <v>3</v>
      </c>
      <c r="AD21" s="21">
        <f t="shared" si="5"/>
        <v>3</v>
      </c>
      <c r="AE21" s="21">
        <f t="shared" si="5"/>
        <v>3</v>
      </c>
      <c r="AF21" s="21">
        <f t="shared" si="5"/>
        <v>3</v>
      </c>
      <c r="AG21" s="21">
        <f t="shared" si="5"/>
        <v>3</v>
      </c>
      <c r="AH21" s="21">
        <f t="shared" si="5"/>
        <v>3</v>
      </c>
      <c r="AI21" s="21" t="s">
        <v>45</v>
      </c>
    </row>
    <row r="22" spans="2:41" ht="18.75" x14ac:dyDescent="0.3">
      <c r="B22" s="45" t="s">
        <v>42</v>
      </c>
      <c r="C22" s="46"/>
      <c r="D22" s="20"/>
      <c r="E22" s="21">
        <f t="shared" ref="E22:AH22" si="6">COUNTIF(E$5:E$19,"A*")</f>
        <v>3</v>
      </c>
      <c r="F22" s="21">
        <f t="shared" si="6"/>
        <v>3</v>
      </c>
      <c r="G22" s="21">
        <f t="shared" si="6"/>
        <v>3</v>
      </c>
      <c r="H22" s="21">
        <f t="shared" si="6"/>
        <v>3</v>
      </c>
      <c r="I22" s="21">
        <f t="shared" si="6"/>
        <v>3</v>
      </c>
      <c r="J22" s="21">
        <f t="shared" si="6"/>
        <v>3</v>
      </c>
      <c r="K22" s="21">
        <f t="shared" si="6"/>
        <v>3</v>
      </c>
      <c r="L22" s="21">
        <f t="shared" si="6"/>
        <v>3</v>
      </c>
      <c r="M22" s="21">
        <f t="shared" si="6"/>
        <v>3</v>
      </c>
      <c r="N22" s="21">
        <f t="shared" si="6"/>
        <v>3</v>
      </c>
      <c r="O22" s="21">
        <f t="shared" si="6"/>
        <v>3</v>
      </c>
      <c r="P22" s="21">
        <f t="shared" si="6"/>
        <v>3</v>
      </c>
      <c r="Q22" s="21">
        <f t="shared" si="6"/>
        <v>3</v>
      </c>
      <c r="R22" s="21">
        <f t="shared" si="6"/>
        <v>3</v>
      </c>
      <c r="S22" s="21">
        <f t="shared" si="6"/>
        <v>3</v>
      </c>
      <c r="T22" s="21">
        <f t="shared" si="6"/>
        <v>3</v>
      </c>
      <c r="U22" s="21">
        <f t="shared" si="6"/>
        <v>3</v>
      </c>
      <c r="V22" s="21">
        <f t="shared" si="6"/>
        <v>3</v>
      </c>
      <c r="W22" s="21">
        <f t="shared" si="6"/>
        <v>3</v>
      </c>
      <c r="X22" s="21">
        <f t="shared" si="6"/>
        <v>3</v>
      </c>
      <c r="Y22" s="21">
        <f t="shared" si="6"/>
        <v>3</v>
      </c>
      <c r="Z22" s="21">
        <f t="shared" si="6"/>
        <v>3</v>
      </c>
      <c r="AA22" s="21">
        <f t="shared" si="6"/>
        <v>3</v>
      </c>
      <c r="AB22" s="21">
        <f t="shared" si="6"/>
        <v>3</v>
      </c>
      <c r="AC22" s="21">
        <f t="shared" si="6"/>
        <v>3</v>
      </c>
      <c r="AD22" s="21">
        <f t="shared" si="6"/>
        <v>3</v>
      </c>
      <c r="AE22" s="21">
        <f t="shared" si="6"/>
        <v>3</v>
      </c>
      <c r="AF22" s="21">
        <f t="shared" si="6"/>
        <v>3</v>
      </c>
      <c r="AG22" s="21">
        <f t="shared" si="6"/>
        <v>3</v>
      </c>
      <c r="AH22" s="21">
        <f t="shared" si="6"/>
        <v>3</v>
      </c>
      <c r="AI22" s="21" t="s">
        <v>45</v>
      </c>
    </row>
    <row r="23" spans="2:41" ht="18.75" x14ac:dyDescent="0.3">
      <c r="B23" s="45" t="s">
        <v>8</v>
      </c>
      <c r="C23" s="46"/>
      <c r="D23" s="20"/>
      <c r="E23" s="21">
        <f t="shared" ref="E23:AH23" si="7">COUNTIF(E$5:E$19,"N*")</f>
        <v>3</v>
      </c>
      <c r="F23" s="21">
        <f t="shared" si="7"/>
        <v>3</v>
      </c>
      <c r="G23" s="21">
        <f t="shared" si="7"/>
        <v>3</v>
      </c>
      <c r="H23" s="21">
        <f t="shared" si="7"/>
        <v>3</v>
      </c>
      <c r="I23" s="21">
        <f t="shared" si="7"/>
        <v>3</v>
      </c>
      <c r="J23" s="21">
        <f t="shared" si="7"/>
        <v>3</v>
      </c>
      <c r="K23" s="21">
        <f t="shared" si="7"/>
        <v>3</v>
      </c>
      <c r="L23" s="21">
        <f t="shared" si="7"/>
        <v>3</v>
      </c>
      <c r="M23" s="21">
        <f t="shared" si="7"/>
        <v>3</v>
      </c>
      <c r="N23" s="21">
        <f t="shared" si="7"/>
        <v>3</v>
      </c>
      <c r="O23" s="21">
        <f t="shared" si="7"/>
        <v>3</v>
      </c>
      <c r="P23" s="21">
        <f t="shared" si="7"/>
        <v>3</v>
      </c>
      <c r="Q23" s="21">
        <f t="shared" si="7"/>
        <v>3</v>
      </c>
      <c r="R23" s="21">
        <f t="shared" si="7"/>
        <v>3</v>
      </c>
      <c r="S23" s="21">
        <f t="shared" si="7"/>
        <v>3</v>
      </c>
      <c r="T23" s="21">
        <f t="shared" si="7"/>
        <v>3</v>
      </c>
      <c r="U23" s="21">
        <f t="shared" si="7"/>
        <v>3</v>
      </c>
      <c r="V23" s="21">
        <f t="shared" si="7"/>
        <v>3</v>
      </c>
      <c r="W23" s="21">
        <f t="shared" si="7"/>
        <v>3</v>
      </c>
      <c r="X23" s="21">
        <f t="shared" si="7"/>
        <v>3</v>
      </c>
      <c r="Y23" s="21">
        <f t="shared" si="7"/>
        <v>3</v>
      </c>
      <c r="Z23" s="21">
        <f t="shared" si="7"/>
        <v>3</v>
      </c>
      <c r="AA23" s="21">
        <f t="shared" si="7"/>
        <v>3</v>
      </c>
      <c r="AB23" s="21">
        <f t="shared" si="7"/>
        <v>3</v>
      </c>
      <c r="AC23" s="21">
        <f t="shared" si="7"/>
        <v>3</v>
      </c>
      <c r="AD23" s="21">
        <f t="shared" si="7"/>
        <v>3</v>
      </c>
      <c r="AE23" s="21">
        <f t="shared" si="7"/>
        <v>3</v>
      </c>
      <c r="AF23" s="21">
        <f t="shared" si="7"/>
        <v>3</v>
      </c>
      <c r="AG23" s="21">
        <f t="shared" si="7"/>
        <v>3</v>
      </c>
      <c r="AH23" s="21">
        <f t="shared" si="7"/>
        <v>3</v>
      </c>
      <c r="AI23" s="21" t="s">
        <v>45</v>
      </c>
    </row>
    <row r="24" spans="2:41" ht="18.75" x14ac:dyDescent="0.3">
      <c r="B24" s="45" t="s">
        <v>9</v>
      </c>
      <c r="C24" s="46"/>
      <c r="D24" s="20"/>
      <c r="E24" s="21">
        <f t="shared" ref="E24:AH24" si="8">COUNTIF(E$5:E$19,"O*")</f>
        <v>5</v>
      </c>
      <c r="F24" s="21">
        <f t="shared" si="8"/>
        <v>6</v>
      </c>
      <c r="G24" s="21">
        <f t="shared" si="8"/>
        <v>6</v>
      </c>
      <c r="H24" s="21">
        <f t="shared" si="8"/>
        <v>6</v>
      </c>
      <c r="I24" s="21">
        <f t="shared" si="8"/>
        <v>6</v>
      </c>
      <c r="J24" s="21">
        <f t="shared" si="8"/>
        <v>6</v>
      </c>
      <c r="K24" s="21">
        <f t="shared" si="8"/>
        <v>5</v>
      </c>
      <c r="L24" s="21">
        <f t="shared" si="8"/>
        <v>5</v>
      </c>
      <c r="M24" s="21">
        <f t="shared" si="8"/>
        <v>5</v>
      </c>
      <c r="N24" s="21">
        <f t="shared" si="8"/>
        <v>6</v>
      </c>
      <c r="O24" s="21">
        <f t="shared" si="8"/>
        <v>6</v>
      </c>
      <c r="P24" s="21">
        <f t="shared" si="8"/>
        <v>6</v>
      </c>
      <c r="Q24" s="21">
        <f t="shared" si="8"/>
        <v>6</v>
      </c>
      <c r="R24" s="21">
        <f t="shared" si="8"/>
        <v>6</v>
      </c>
      <c r="S24" s="21">
        <f t="shared" si="8"/>
        <v>5</v>
      </c>
      <c r="T24" s="21">
        <f t="shared" si="8"/>
        <v>5</v>
      </c>
      <c r="U24" s="21">
        <f t="shared" si="8"/>
        <v>5</v>
      </c>
      <c r="V24" s="21">
        <f t="shared" si="8"/>
        <v>6</v>
      </c>
      <c r="W24" s="21">
        <f t="shared" si="8"/>
        <v>6</v>
      </c>
      <c r="X24" s="21">
        <f t="shared" si="8"/>
        <v>6</v>
      </c>
      <c r="Y24" s="21">
        <f t="shared" si="8"/>
        <v>6</v>
      </c>
      <c r="Z24" s="21">
        <f t="shared" si="8"/>
        <v>6</v>
      </c>
      <c r="AA24" s="21">
        <f t="shared" si="8"/>
        <v>5</v>
      </c>
      <c r="AB24" s="21">
        <f t="shared" si="8"/>
        <v>5</v>
      </c>
      <c r="AC24" s="21">
        <f t="shared" si="8"/>
        <v>5</v>
      </c>
      <c r="AD24" s="21">
        <f t="shared" si="8"/>
        <v>6</v>
      </c>
      <c r="AE24" s="21">
        <f t="shared" si="8"/>
        <v>6</v>
      </c>
      <c r="AF24" s="21">
        <f t="shared" si="8"/>
        <v>6</v>
      </c>
      <c r="AG24" s="21">
        <f t="shared" si="8"/>
        <v>6</v>
      </c>
      <c r="AH24" s="21">
        <f t="shared" si="8"/>
        <v>6</v>
      </c>
      <c r="AI24" s="21" t="s">
        <v>45</v>
      </c>
    </row>
    <row r="25" spans="2:41" ht="18.75" x14ac:dyDescent="0.3">
      <c r="B25" s="45" t="s">
        <v>57</v>
      </c>
      <c r="C25" s="46"/>
      <c r="D25" s="20"/>
      <c r="E25" s="21">
        <f t="shared" ref="E25:AH25" si="9">COUNTIF(E$5:E$19,"ST*")</f>
        <v>1</v>
      </c>
      <c r="F25" s="21">
        <f t="shared" si="9"/>
        <v>0</v>
      </c>
      <c r="G25" s="21">
        <f t="shared" si="9"/>
        <v>0</v>
      </c>
      <c r="H25" s="21">
        <f t="shared" si="9"/>
        <v>0</v>
      </c>
      <c r="I25" s="21">
        <f t="shared" si="9"/>
        <v>0</v>
      </c>
      <c r="J25" s="21">
        <f t="shared" si="9"/>
        <v>0</v>
      </c>
      <c r="K25" s="21">
        <f t="shared" si="9"/>
        <v>1</v>
      </c>
      <c r="L25" s="21">
        <f t="shared" si="9"/>
        <v>1</v>
      </c>
      <c r="M25" s="21">
        <f t="shared" si="9"/>
        <v>1</v>
      </c>
      <c r="N25" s="21">
        <f t="shared" si="9"/>
        <v>0</v>
      </c>
      <c r="O25" s="21">
        <f t="shared" si="9"/>
        <v>0</v>
      </c>
      <c r="P25" s="21">
        <f t="shared" si="9"/>
        <v>0</v>
      </c>
      <c r="Q25" s="21">
        <f t="shared" si="9"/>
        <v>0</v>
      </c>
      <c r="R25" s="21">
        <f t="shared" si="9"/>
        <v>0</v>
      </c>
      <c r="S25" s="21">
        <f t="shared" si="9"/>
        <v>1</v>
      </c>
      <c r="T25" s="21">
        <f t="shared" si="9"/>
        <v>1</v>
      </c>
      <c r="U25" s="21">
        <f t="shared" si="9"/>
        <v>1</v>
      </c>
      <c r="V25" s="21">
        <f t="shared" si="9"/>
        <v>0</v>
      </c>
      <c r="W25" s="21">
        <f t="shared" si="9"/>
        <v>0</v>
      </c>
      <c r="X25" s="21">
        <f t="shared" si="9"/>
        <v>0</v>
      </c>
      <c r="Y25" s="21">
        <f t="shared" si="9"/>
        <v>0</v>
      </c>
      <c r="Z25" s="21">
        <f t="shared" si="9"/>
        <v>0</v>
      </c>
      <c r="AA25" s="21">
        <f t="shared" si="9"/>
        <v>1</v>
      </c>
      <c r="AB25" s="21">
        <f t="shared" si="9"/>
        <v>1</v>
      </c>
      <c r="AC25" s="21">
        <f t="shared" si="9"/>
        <v>1</v>
      </c>
      <c r="AD25" s="21">
        <f t="shared" si="9"/>
        <v>0</v>
      </c>
      <c r="AE25" s="21">
        <f t="shared" si="9"/>
        <v>0</v>
      </c>
      <c r="AF25" s="21">
        <f t="shared" si="9"/>
        <v>0</v>
      </c>
      <c r="AG25" s="21">
        <f t="shared" si="9"/>
        <v>0</v>
      </c>
      <c r="AH25" s="21">
        <f t="shared" si="9"/>
        <v>0</v>
      </c>
      <c r="AI25" s="21" t="s">
        <v>45</v>
      </c>
    </row>
    <row r="26" spans="2:41" ht="18.75" x14ac:dyDescent="0.3">
      <c r="B26" s="52" t="s">
        <v>55</v>
      </c>
      <c r="C26" s="53"/>
      <c r="D26" s="22"/>
      <c r="E26" s="23">
        <f>E28-E29</f>
        <v>0</v>
      </c>
      <c r="F26" s="23">
        <f t="shared" ref="F26:AH26" si="10">F28-F29</f>
        <v>0</v>
      </c>
      <c r="G26" s="23">
        <f t="shared" si="10"/>
        <v>0</v>
      </c>
      <c r="H26" s="23">
        <f t="shared" si="10"/>
        <v>0</v>
      </c>
      <c r="I26" s="23">
        <f t="shared" si="10"/>
        <v>0</v>
      </c>
      <c r="J26" s="23">
        <f t="shared" si="10"/>
        <v>0</v>
      </c>
      <c r="K26" s="23">
        <f t="shared" si="10"/>
        <v>0</v>
      </c>
      <c r="L26" s="23">
        <f t="shared" si="10"/>
        <v>0</v>
      </c>
      <c r="M26" s="23">
        <f t="shared" si="10"/>
        <v>0</v>
      </c>
      <c r="N26" s="23">
        <f t="shared" si="10"/>
        <v>0</v>
      </c>
      <c r="O26" s="23">
        <f t="shared" si="10"/>
        <v>0</v>
      </c>
      <c r="P26" s="23">
        <f t="shared" si="10"/>
        <v>0</v>
      </c>
      <c r="Q26" s="23">
        <f t="shared" si="10"/>
        <v>0</v>
      </c>
      <c r="R26" s="23">
        <f t="shared" si="10"/>
        <v>0</v>
      </c>
      <c r="S26" s="23">
        <f t="shared" si="10"/>
        <v>0</v>
      </c>
      <c r="T26" s="23">
        <f t="shared" si="10"/>
        <v>0</v>
      </c>
      <c r="U26" s="23">
        <f t="shared" si="10"/>
        <v>0</v>
      </c>
      <c r="V26" s="23">
        <f t="shared" si="10"/>
        <v>0</v>
      </c>
      <c r="W26" s="23">
        <f t="shared" si="10"/>
        <v>0</v>
      </c>
      <c r="X26" s="23">
        <f t="shared" si="10"/>
        <v>0</v>
      </c>
      <c r="Y26" s="23">
        <f t="shared" si="10"/>
        <v>0</v>
      </c>
      <c r="Z26" s="23">
        <f t="shared" si="10"/>
        <v>0</v>
      </c>
      <c r="AA26" s="23">
        <f t="shared" si="10"/>
        <v>0</v>
      </c>
      <c r="AB26" s="23">
        <f t="shared" si="10"/>
        <v>0</v>
      </c>
      <c r="AC26" s="23">
        <f t="shared" si="10"/>
        <v>0</v>
      </c>
      <c r="AD26" s="23">
        <f t="shared" si="10"/>
        <v>0</v>
      </c>
      <c r="AE26" s="23">
        <f t="shared" si="10"/>
        <v>0</v>
      </c>
      <c r="AF26" s="23">
        <f t="shared" si="10"/>
        <v>0</v>
      </c>
      <c r="AG26" s="23">
        <f t="shared" si="10"/>
        <v>0</v>
      </c>
      <c r="AH26" s="23">
        <f t="shared" si="10"/>
        <v>0</v>
      </c>
      <c r="AI26" s="23" t="s">
        <v>45</v>
      </c>
    </row>
    <row r="27" spans="2:41" ht="9.75" customHeight="1" x14ac:dyDescent="0.3">
      <c r="B27" s="24"/>
      <c r="C27" s="24"/>
      <c r="D27" s="20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</row>
    <row r="28" spans="2:41" ht="18.75" x14ac:dyDescent="0.3">
      <c r="B28" s="45" t="s">
        <v>53</v>
      </c>
      <c r="C28" s="46"/>
      <c r="D28" s="20"/>
      <c r="E28" s="25">
        <f>SUM(E21:E23)</f>
        <v>9</v>
      </c>
      <c r="F28" s="25">
        <f t="shared" ref="F28:AH28" si="11">SUM(F21:F23)</f>
        <v>9</v>
      </c>
      <c r="G28" s="25">
        <f t="shared" si="11"/>
        <v>9</v>
      </c>
      <c r="H28" s="25">
        <f t="shared" si="11"/>
        <v>9</v>
      </c>
      <c r="I28" s="25">
        <f t="shared" si="11"/>
        <v>9</v>
      </c>
      <c r="J28" s="25">
        <f t="shared" si="11"/>
        <v>9</v>
      </c>
      <c r="K28" s="25">
        <f t="shared" si="11"/>
        <v>9</v>
      </c>
      <c r="L28" s="25">
        <f t="shared" si="11"/>
        <v>9</v>
      </c>
      <c r="M28" s="25">
        <f t="shared" si="11"/>
        <v>9</v>
      </c>
      <c r="N28" s="25">
        <f t="shared" si="11"/>
        <v>9</v>
      </c>
      <c r="O28" s="25">
        <f t="shared" si="11"/>
        <v>9</v>
      </c>
      <c r="P28" s="25">
        <f t="shared" si="11"/>
        <v>9</v>
      </c>
      <c r="Q28" s="25">
        <f t="shared" si="11"/>
        <v>9</v>
      </c>
      <c r="R28" s="25">
        <f t="shared" si="11"/>
        <v>9</v>
      </c>
      <c r="S28" s="25">
        <f t="shared" si="11"/>
        <v>9</v>
      </c>
      <c r="T28" s="25">
        <f t="shared" si="11"/>
        <v>9</v>
      </c>
      <c r="U28" s="25">
        <f t="shared" si="11"/>
        <v>9</v>
      </c>
      <c r="V28" s="25">
        <f t="shared" si="11"/>
        <v>9</v>
      </c>
      <c r="W28" s="25">
        <f t="shared" si="11"/>
        <v>9</v>
      </c>
      <c r="X28" s="25">
        <f t="shared" si="11"/>
        <v>9</v>
      </c>
      <c r="Y28" s="25">
        <f t="shared" si="11"/>
        <v>9</v>
      </c>
      <c r="Z28" s="25">
        <f t="shared" si="11"/>
        <v>9</v>
      </c>
      <c r="AA28" s="25">
        <f t="shared" si="11"/>
        <v>9</v>
      </c>
      <c r="AB28" s="25">
        <f t="shared" si="11"/>
        <v>9</v>
      </c>
      <c r="AC28" s="25">
        <f t="shared" si="11"/>
        <v>9</v>
      </c>
      <c r="AD28" s="25">
        <f t="shared" si="11"/>
        <v>9</v>
      </c>
      <c r="AE28" s="25">
        <f t="shared" si="11"/>
        <v>9</v>
      </c>
      <c r="AF28" s="25">
        <f t="shared" si="11"/>
        <v>9</v>
      </c>
      <c r="AG28" s="25">
        <f t="shared" si="11"/>
        <v>9</v>
      </c>
      <c r="AH28" s="25">
        <f t="shared" si="11"/>
        <v>9</v>
      </c>
      <c r="AI28" s="25" t="s">
        <v>45</v>
      </c>
    </row>
    <row r="29" spans="2:41" ht="18.75" x14ac:dyDescent="0.3">
      <c r="B29" s="45" t="s">
        <v>40</v>
      </c>
      <c r="C29" s="46"/>
      <c r="D29" s="20"/>
      <c r="E29" s="21">
        <v>9</v>
      </c>
      <c r="F29" s="21">
        <v>9</v>
      </c>
      <c r="G29" s="21">
        <v>9</v>
      </c>
      <c r="H29" s="21">
        <v>9</v>
      </c>
      <c r="I29" s="21">
        <v>9</v>
      </c>
      <c r="J29" s="21">
        <v>9</v>
      </c>
      <c r="K29" s="21">
        <v>9</v>
      </c>
      <c r="L29" s="21">
        <v>9</v>
      </c>
      <c r="M29" s="21">
        <v>9</v>
      </c>
      <c r="N29" s="21">
        <v>9</v>
      </c>
      <c r="O29" s="21">
        <v>9</v>
      </c>
      <c r="P29" s="21">
        <v>9</v>
      </c>
      <c r="Q29" s="21">
        <v>9</v>
      </c>
      <c r="R29" s="21">
        <v>9</v>
      </c>
      <c r="S29" s="21">
        <v>9</v>
      </c>
      <c r="T29" s="21">
        <v>9</v>
      </c>
      <c r="U29" s="21">
        <v>9</v>
      </c>
      <c r="V29" s="21">
        <v>9</v>
      </c>
      <c r="W29" s="21">
        <v>9</v>
      </c>
      <c r="X29" s="21">
        <v>9</v>
      </c>
      <c r="Y29" s="21">
        <v>9</v>
      </c>
      <c r="Z29" s="21">
        <v>9</v>
      </c>
      <c r="AA29" s="21">
        <v>9</v>
      </c>
      <c r="AB29" s="21">
        <v>9</v>
      </c>
      <c r="AC29" s="21">
        <v>9</v>
      </c>
      <c r="AD29" s="21">
        <v>9</v>
      </c>
      <c r="AE29" s="21">
        <v>9</v>
      </c>
      <c r="AF29" s="21">
        <v>9</v>
      </c>
      <c r="AG29" s="21">
        <v>9</v>
      </c>
      <c r="AH29" s="21">
        <v>9</v>
      </c>
      <c r="AI29" s="21" t="s">
        <v>45</v>
      </c>
    </row>
    <row r="30" spans="2:41" ht="18.75" x14ac:dyDescent="0.3">
      <c r="B30" s="45" t="s">
        <v>54</v>
      </c>
      <c r="C30" s="46"/>
      <c r="D30" s="20"/>
      <c r="E30" s="21">
        <f>SUM(E21,E22,E23,E24,E25)</f>
        <v>15</v>
      </c>
      <c r="F30" s="21">
        <f t="shared" ref="F30:AH30" si="12">SUM(F21,F22,F23,F24,F25)</f>
        <v>15</v>
      </c>
      <c r="G30" s="21">
        <f t="shared" si="12"/>
        <v>15</v>
      </c>
      <c r="H30" s="21">
        <f t="shared" si="12"/>
        <v>15</v>
      </c>
      <c r="I30" s="21">
        <f t="shared" si="12"/>
        <v>15</v>
      </c>
      <c r="J30" s="21">
        <f t="shared" si="12"/>
        <v>15</v>
      </c>
      <c r="K30" s="21">
        <f t="shared" si="12"/>
        <v>15</v>
      </c>
      <c r="L30" s="21">
        <f t="shared" si="12"/>
        <v>15</v>
      </c>
      <c r="M30" s="21">
        <f t="shared" si="12"/>
        <v>15</v>
      </c>
      <c r="N30" s="21">
        <f t="shared" si="12"/>
        <v>15</v>
      </c>
      <c r="O30" s="21">
        <f t="shared" si="12"/>
        <v>15</v>
      </c>
      <c r="P30" s="21">
        <f t="shared" si="12"/>
        <v>15</v>
      </c>
      <c r="Q30" s="21">
        <f t="shared" si="12"/>
        <v>15</v>
      </c>
      <c r="R30" s="21">
        <f t="shared" si="12"/>
        <v>15</v>
      </c>
      <c r="S30" s="21">
        <f t="shared" si="12"/>
        <v>15</v>
      </c>
      <c r="T30" s="21">
        <f t="shared" si="12"/>
        <v>15</v>
      </c>
      <c r="U30" s="21">
        <f t="shared" si="12"/>
        <v>15</v>
      </c>
      <c r="V30" s="21">
        <f t="shared" si="12"/>
        <v>15</v>
      </c>
      <c r="W30" s="21">
        <f t="shared" si="12"/>
        <v>15</v>
      </c>
      <c r="X30" s="21">
        <f t="shared" si="12"/>
        <v>15</v>
      </c>
      <c r="Y30" s="21">
        <f t="shared" si="12"/>
        <v>15</v>
      </c>
      <c r="Z30" s="21">
        <f t="shared" si="12"/>
        <v>15</v>
      </c>
      <c r="AA30" s="21">
        <f t="shared" si="12"/>
        <v>15</v>
      </c>
      <c r="AB30" s="21">
        <f t="shared" si="12"/>
        <v>15</v>
      </c>
      <c r="AC30" s="21">
        <f t="shared" si="12"/>
        <v>15</v>
      </c>
      <c r="AD30" s="21">
        <f t="shared" si="12"/>
        <v>15</v>
      </c>
      <c r="AE30" s="21">
        <f t="shared" si="12"/>
        <v>15</v>
      </c>
      <c r="AF30" s="21">
        <f t="shared" si="12"/>
        <v>15</v>
      </c>
      <c r="AG30" s="21">
        <f t="shared" si="12"/>
        <v>15</v>
      </c>
      <c r="AH30" s="21">
        <f t="shared" si="12"/>
        <v>15</v>
      </c>
      <c r="AI30" s="21" t="s">
        <v>45</v>
      </c>
    </row>
  </sheetData>
  <mergeCells count="32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B15:C15"/>
    <mergeCell ref="B21:C21"/>
    <mergeCell ref="B22:C22"/>
    <mergeCell ref="B23:C23"/>
    <mergeCell ref="B24:C24"/>
    <mergeCell ref="B25:C25"/>
    <mergeCell ref="B26:C26"/>
    <mergeCell ref="E27:AI27"/>
    <mergeCell ref="B28:C28"/>
    <mergeCell ref="B29:C29"/>
    <mergeCell ref="B30:C30"/>
  </mergeCells>
  <conditionalFormatting sqref="E6:AH19 F5:AH5">
    <cfRule type="containsText" dxfId="1131" priority="9" operator="containsText" text="STM1">
      <formula>NOT(ISERROR(SEARCH("STM1",E5)))</formula>
    </cfRule>
    <cfRule type="containsText" dxfId="1130" priority="10" operator="containsText" text="STA">
      <formula>NOT(ISERROR(SEARCH("STA",E5)))</formula>
    </cfRule>
    <cfRule type="containsText" dxfId="1129" priority="11" operator="containsText" text="STM1">
      <formula>NOT(ISERROR(SEARCH("STM1",E5)))</formula>
    </cfRule>
    <cfRule type="containsText" dxfId="1128" priority="12" operator="containsText" text="O">
      <formula>NOT(ISERROR(SEARCH("O",E5)))</formula>
    </cfRule>
    <cfRule type="containsText" dxfId="1127" priority="13" operator="containsText" text="N">
      <formula>NOT(ISERROR(SEARCH("N",E5)))</formula>
    </cfRule>
    <cfRule type="containsText" dxfId="1126" priority="14" operator="containsText" text="A">
      <formula>NOT(ISERROR(SEARCH("A",E5)))</formula>
    </cfRule>
    <cfRule type="containsText" dxfId="1125" priority="15" operator="containsText" text="M">
      <formula>NOT(ISERROR(SEARCH("M",E5)))</formula>
    </cfRule>
  </conditionalFormatting>
  <conditionalFormatting sqref="E5:AH19">
    <cfRule type="containsText" dxfId="1124" priority="1" operator="containsText" text="STN">
      <formula>NOT(ISERROR(SEARCH("STN",E5)))</formula>
    </cfRule>
    <cfRule type="containsText" dxfId="1123" priority="2" operator="containsText" text="STN">
      <formula>NOT(ISERROR(SEARCH("STN",E5)))</formula>
    </cfRule>
    <cfRule type="containsText" dxfId="1122" priority="3" operator="containsText" text="STM">
      <formula>NOT(ISERROR(SEARCH("STM",E5)))</formula>
    </cfRule>
    <cfRule type="containsText" dxfId="1121" priority="4" operator="containsText" text="M">
      <formula>NOT(ISERROR(SEARCH("M",E5)))</formula>
    </cfRule>
    <cfRule type="containsText" dxfId="1120" priority="5" operator="containsText" text="STM1">
      <formula>NOT(ISERROR(SEARCH("STM1",E5)))</formula>
    </cfRule>
    <cfRule type="containsText" dxfId="1119" priority="6" operator="containsText" text="M">
      <formula>NOT(ISERROR(SEARCH("M",E5)))</formula>
    </cfRule>
    <cfRule type="containsText" dxfId="1118" priority="7" operator="containsText" text="STM">
      <formula>NOT(ISERROR(SEARCH("STM",E5)))</formula>
    </cfRule>
    <cfRule type="containsText" dxfId="1117" priority="8" operator="containsText" text="STM">
      <formula>NOT(ISERROR(SEARCH("STM",E5)))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C18F-1D3E-4234-A9AB-0AD6CAE9A87E}">
  <dimension ref="B2:AO31"/>
  <sheetViews>
    <sheetView zoomScale="70" zoomScaleNormal="70" workbookViewId="0">
      <selection activeCell="AG19" sqref="AG19"/>
    </sheetView>
  </sheetViews>
  <sheetFormatPr defaultRowHeight="15.75" x14ac:dyDescent="0.25"/>
  <cols>
    <col min="1" max="1" width="3.42578125" style="1" customWidth="1"/>
    <col min="2" max="2" width="12.85546875" style="1" customWidth="1"/>
    <col min="3" max="3" width="14.8554687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54" t="s">
        <v>84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6"/>
      <c r="AK2" s="36" t="s">
        <v>63</v>
      </c>
      <c r="AL2" s="36" t="s">
        <v>64</v>
      </c>
      <c r="AM2" s="36" t="s">
        <v>67</v>
      </c>
      <c r="AN2" s="36" t="s">
        <v>65</v>
      </c>
      <c r="AO2" s="36" t="s">
        <v>66</v>
      </c>
    </row>
    <row r="3" spans="2:41" ht="39" x14ac:dyDescent="0.3">
      <c r="B3" s="41" t="s">
        <v>56</v>
      </c>
      <c r="C3" s="42"/>
      <c r="E3" s="12" t="s">
        <v>46</v>
      </c>
      <c r="F3" s="13" t="s">
        <v>47</v>
      </c>
      <c r="G3" s="13" t="s">
        <v>48</v>
      </c>
      <c r="H3" s="13" t="s">
        <v>49</v>
      </c>
      <c r="I3" s="13" t="s">
        <v>50</v>
      </c>
      <c r="J3" s="13" t="s">
        <v>51</v>
      </c>
      <c r="K3" s="13" t="s">
        <v>52</v>
      </c>
      <c r="L3" s="13" t="s">
        <v>46</v>
      </c>
      <c r="M3" s="13" t="s">
        <v>47</v>
      </c>
      <c r="N3" s="13" t="s">
        <v>48</v>
      </c>
      <c r="O3" s="13" t="s">
        <v>49</v>
      </c>
      <c r="P3" s="13" t="s">
        <v>50</v>
      </c>
      <c r="Q3" s="13" t="s">
        <v>51</v>
      </c>
      <c r="R3" s="13" t="s">
        <v>52</v>
      </c>
      <c r="S3" s="13" t="s">
        <v>46</v>
      </c>
      <c r="T3" s="13" t="s">
        <v>47</v>
      </c>
      <c r="U3" s="13" t="s">
        <v>48</v>
      </c>
      <c r="V3" s="13" t="s">
        <v>49</v>
      </c>
      <c r="W3" s="13" t="s">
        <v>50</v>
      </c>
      <c r="X3" s="13" t="s">
        <v>51</v>
      </c>
      <c r="Y3" s="13" t="s">
        <v>52</v>
      </c>
      <c r="Z3" s="13" t="s">
        <v>46</v>
      </c>
      <c r="AA3" s="13" t="s">
        <v>47</v>
      </c>
      <c r="AB3" s="13" t="s">
        <v>48</v>
      </c>
      <c r="AC3" s="13" t="s">
        <v>49</v>
      </c>
      <c r="AD3" s="13" t="s">
        <v>50</v>
      </c>
      <c r="AE3" s="13" t="s">
        <v>51</v>
      </c>
      <c r="AF3" s="13" t="s">
        <v>52</v>
      </c>
      <c r="AG3" s="13" t="s">
        <v>46</v>
      </c>
      <c r="AH3" s="14" t="s">
        <v>47</v>
      </c>
      <c r="AI3" s="15"/>
      <c r="AK3" s="37"/>
      <c r="AL3" s="37"/>
      <c r="AM3" s="37"/>
      <c r="AN3" s="37"/>
      <c r="AO3" s="37"/>
    </row>
    <row r="4" spans="2:41" ht="19.5" customHeight="1" thickBot="1" x14ac:dyDescent="0.35">
      <c r="B4" s="43"/>
      <c r="C4" s="44"/>
      <c r="E4" s="16">
        <v>1</v>
      </c>
      <c r="F4" s="17">
        <v>2</v>
      </c>
      <c r="G4" s="17">
        <v>3</v>
      </c>
      <c r="H4" s="17">
        <v>4</v>
      </c>
      <c r="I4" s="17">
        <v>5</v>
      </c>
      <c r="J4" s="17">
        <v>6</v>
      </c>
      <c r="K4" s="17">
        <v>7</v>
      </c>
      <c r="L4" s="17">
        <v>8</v>
      </c>
      <c r="M4" s="17">
        <v>9</v>
      </c>
      <c r="N4" s="17">
        <v>10</v>
      </c>
      <c r="O4" s="17">
        <v>11</v>
      </c>
      <c r="P4" s="17">
        <v>12</v>
      </c>
      <c r="Q4" s="17">
        <v>13</v>
      </c>
      <c r="R4" s="17">
        <v>14</v>
      </c>
      <c r="S4" s="17">
        <v>15</v>
      </c>
      <c r="T4" s="17">
        <v>16</v>
      </c>
      <c r="U4" s="17">
        <v>17</v>
      </c>
      <c r="V4" s="17">
        <v>18</v>
      </c>
      <c r="W4" s="17">
        <v>19</v>
      </c>
      <c r="X4" s="17">
        <v>20</v>
      </c>
      <c r="Y4" s="17">
        <v>21</v>
      </c>
      <c r="Z4" s="17">
        <v>22</v>
      </c>
      <c r="AA4" s="17">
        <v>23</v>
      </c>
      <c r="AB4" s="17">
        <v>24</v>
      </c>
      <c r="AC4" s="17">
        <v>25</v>
      </c>
      <c r="AD4" s="17">
        <v>26</v>
      </c>
      <c r="AE4" s="17">
        <v>27</v>
      </c>
      <c r="AF4" s="17">
        <v>28</v>
      </c>
      <c r="AG4" s="17">
        <v>29</v>
      </c>
      <c r="AH4" s="18">
        <v>30</v>
      </c>
      <c r="AI4" s="19"/>
      <c r="AK4" s="38"/>
      <c r="AL4" s="38"/>
      <c r="AM4" s="38"/>
      <c r="AN4" s="38"/>
      <c r="AO4" s="38"/>
    </row>
    <row r="5" spans="2:41" ht="18.75" x14ac:dyDescent="0.25">
      <c r="B5" s="47" t="s">
        <v>10</v>
      </c>
      <c r="C5" s="48"/>
      <c r="E5" s="11" t="s">
        <v>0</v>
      </c>
      <c r="F5" s="7" t="s">
        <v>1</v>
      </c>
      <c r="G5" s="7" t="s">
        <v>2</v>
      </c>
      <c r="H5" s="7" t="s">
        <v>3</v>
      </c>
      <c r="I5" s="7" t="s">
        <v>4</v>
      </c>
      <c r="J5" s="7" t="s">
        <v>5</v>
      </c>
      <c r="K5" s="7" t="s">
        <v>6</v>
      </c>
      <c r="L5" s="7" t="s">
        <v>7</v>
      </c>
      <c r="M5" s="7" t="s">
        <v>0</v>
      </c>
      <c r="N5" s="7" t="s">
        <v>1</v>
      </c>
      <c r="O5" s="7" t="s">
        <v>2</v>
      </c>
      <c r="P5" s="7" t="s">
        <v>3</v>
      </c>
      <c r="Q5" s="7" t="s">
        <v>4</v>
      </c>
      <c r="R5" s="7" t="s">
        <v>5</v>
      </c>
      <c r="S5" s="7" t="s">
        <v>6</v>
      </c>
      <c r="T5" s="7" t="s">
        <v>7</v>
      </c>
      <c r="U5" s="7" t="s">
        <v>0</v>
      </c>
      <c r="V5" s="7" t="s">
        <v>1</v>
      </c>
      <c r="W5" s="7" t="s">
        <v>2</v>
      </c>
      <c r="X5" s="7" t="s">
        <v>44</v>
      </c>
      <c r="Y5" s="7" t="s">
        <v>3</v>
      </c>
      <c r="Z5" s="7" t="s">
        <v>5</v>
      </c>
      <c r="AA5" s="7" t="s">
        <v>6</v>
      </c>
      <c r="AB5" s="7" t="s">
        <v>7</v>
      </c>
      <c r="AC5" s="7" t="s">
        <v>0</v>
      </c>
      <c r="AD5" s="7" t="s">
        <v>1</v>
      </c>
      <c r="AE5" s="7" t="s">
        <v>2</v>
      </c>
      <c r="AF5" s="7" t="s">
        <v>3</v>
      </c>
      <c r="AG5" s="7" t="s">
        <v>4</v>
      </c>
      <c r="AH5" s="8" t="s">
        <v>5</v>
      </c>
      <c r="AI5" s="10"/>
      <c r="AK5" s="6">
        <f>COUNTIF($E5:$AI5,"ST*")</f>
        <v>0</v>
      </c>
      <c r="AL5" s="6">
        <f>COUNTIF($E5:$AI5,"M*")</f>
        <v>8</v>
      </c>
      <c r="AM5" s="6">
        <f>COUNTIF($E5:$AI5,"A*")</f>
        <v>5</v>
      </c>
      <c r="AN5" s="6">
        <f>COUNTIF($E5:$AI5,"N*")</f>
        <v>7</v>
      </c>
      <c r="AO5" s="6">
        <f>COUNTIF($E5:$AI5,"O*")</f>
        <v>10</v>
      </c>
    </row>
    <row r="6" spans="2:41" ht="18.75" x14ac:dyDescent="0.25">
      <c r="B6" s="47" t="s">
        <v>11</v>
      </c>
      <c r="C6" s="48"/>
      <c r="E6" s="5" t="s">
        <v>2</v>
      </c>
      <c r="F6" s="5" t="s">
        <v>44</v>
      </c>
      <c r="G6" s="5" t="s">
        <v>3</v>
      </c>
      <c r="H6" s="5" t="s">
        <v>4</v>
      </c>
      <c r="I6" s="5" t="s">
        <v>5</v>
      </c>
      <c r="J6" s="5" t="s">
        <v>6</v>
      </c>
      <c r="K6" s="5" t="s">
        <v>7</v>
      </c>
      <c r="L6" s="5" t="s">
        <v>0</v>
      </c>
      <c r="M6" s="5" t="s">
        <v>2</v>
      </c>
      <c r="N6" s="5" t="s">
        <v>44</v>
      </c>
      <c r="O6" s="5" t="s">
        <v>3</v>
      </c>
      <c r="P6" s="5" t="s">
        <v>4</v>
      </c>
      <c r="Q6" s="5" t="s">
        <v>5</v>
      </c>
      <c r="R6" s="5" t="s">
        <v>6</v>
      </c>
      <c r="S6" s="5" t="s">
        <v>7</v>
      </c>
      <c r="T6" s="5" t="s">
        <v>0</v>
      </c>
      <c r="U6" s="5" t="s">
        <v>2</v>
      </c>
      <c r="V6" s="5" t="s">
        <v>44</v>
      </c>
      <c r="W6" s="5" t="s">
        <v>3</v>
      </c>
      <c r="X6" s="5" t="s">
        <v>4</v>
      </c>
      <c r="Y6" s="5" t="s">
        <v>5</v>
      </c>
      <c r="Z6" s="5" t="s">
        <v>6</v>
      </c>
      <c r="AA6" s="5" t="s">
        <v>7</v>
      </c>
      <c r="AB6" s="5" t="s">
        <v>0</v>
      </c>
      <c r="AC6" s="5" t="s">
        <v>2</v>
      </c>
      <c r="AD6" s="5" t="s">
        <v>44</v>
      </c>
      <c r="AE6" s="5" t="s">
        <v>3</v>
      </c>
      <c r="AF6" s="5" t="s">
        <v>4</v>
      </c>
      <c r="AG6" s="5" t="s">
        <v>5</v>
      </c>
      <c r="AH6" s="9" t="s">
        <v>6</v>
      </c>
      <c r="AI6" s="2"/>
      <c r="AK6" s="6">
        <f t="shared" ref="AK6:AK20" si="0">COUNTIF($E6:$AI6,"ST*")</f>
        <v>0</v>
      </c>
      <c r="AL6" s="6">
        <f t="shared" ref="AL6:AL20" si="1">COUNTIF($E6:$AI6,"M*")</f>
        <v>3</v>
      </c>
      <c r="AM6" s="6">
        <f t="shared" ref="AM6:AM20" si="2">COUNTIF($E6:$AI6,"A*")</f>
        <v>8</v>
      </c>
      <c r="AN6" s="6">
        <f t="shared" ref="AN6:AN20" si="3">COUNTIF($E6:$AI6,"N*")</f>
        <v>8</v>
      </c>
      <c r="AO6" s="6">
        <f t="shared" ref="AO6:AO20" si="4">COUNTIF($E6:$AI6,"O*")</f>
        <v>11</v>
      </c>
    </row>
    <row r="7" spans="2:41" ht="18.75" x14ac:dyDescent="0.25">
      <c r="B7" s="47" t="s">
        <v>12</v>
      </c>
      <c r="C7" s="48"/>
      <c r="E7" s="5" t="s">
        <v>2</v>
      </c>
      <c r="F7" s="5" t="s">
        <v>3</v>
      </c>
      <c r="G7" s="5" t="s">
        <v>4</v>
      </c>
      <c r="H7" s="5" t="s">
        <v>5</v>
      </c>
      <c r="I7" s="5" t="s">
        <v>6</v>
      </c>
      <c r="J7" s="5" t="s">
        <v>7</v>
      </c>
      <c r="K7" s="5" t="s">
        <v>0</v>
      </c>
      <c r="L7" s="5" t="s">
        <v>2</v>
      </c>
      <c r="M7" s="5" t="s">
        <v>44</v>
      </c>
      <c r="N7" s="5" t="s">
        <v>3</v>
      </c>
      <c r="O7" s="5" t="s">
        <v>4</v>
      </c>
      <c r="P7" s="5" t="s">
        <v>5</v>
      </c>
      <c r="Q7" s="5" t="s">
        <v>6</v>
      </c>
      <c r="R7" s="5" t="s">
        <v>7</v>
      </c>
      <c r="S7" s="5" t="s">
        <v>0</v>
      </c>
      <c r="T7" s="5" t="s">
        <v>2</v>
      </c>
      <c r="U7" s="5" t="s">
        <v>44</v>
      </c>
      <c r="V7" s="5" t="s">
        <v>3</v>
      </c>
      <c r="W7" s="5" t="s">
        <v>4</v>
      </c>
      <c r="X7" s="5" t="s">
        <v>5</v>
      </c>
      <c r="Y7" s="5" t="s">
        <v>6</v>
      </c>
      <c r="Z7" s="5" t="s">
        <v>7</v>
      </c>
      <c r="AA7" s="5" t="s">
        <v>0</v>
      </c>
      <c r="AB7" s="5" t="s">
        <v>2</v>
      </c>
      <c r="AC7" s="5" t="s">
        <v>44</v>
      </c>
      <c r="AD7" s="5" t="s">
        <v>3</v>
      </c>
      <c r="AE7" s="5" t="s">
        <v>4</v>
      </c>
      <c r="AF7" s="5" t="s">
        <v>5</v>
      </c>
      <c r="AG7" s="5" t="s">
        <v>6</v>
      </c>
      <c r="AH7" s="9" t="s">
        <v>7</v>
      </c>
      <c r="AI7" s="2"/>
      <c r="AK7" s="6">
        <f t="shared" si="0"/>
        <v>0</v>
      </c>
      <c r="AL7" s="6">
        <f t="shared" si="1"/>
        <v>3</v>
      </c>
      <c r="AM7" s="6">
        <f t="shared" si="2"/>
        <v>7</v>
      </c>
      <c r="AN7" s="6">
        <f t="shared" si="3"/>
        <v>8</v>
      </c>
      <c r="AO7" s="6">
        <f t="shared" si="4"/>
        <v>12</v>
      </c>
    </row>
    <row r="8" spans="2:41" ht="18.75" x14ac:dyDescent="0.25">
      <c r="B8" s="47" t="s">
        <v>13</v>
      </c>
      <c r="C8" s="48"/>
      <c r="E8" s="5" t="s">
        <v>60</v>
      </c>
      <c r="F8" s="5" t="s">
        <v>4</v>
      </c>
      <c r="G8" s="5" t="s">
        <v>5</v>
      </c>
      <c r="H8" s="5" t="s">
        <v>6</v>
      </c>
      <c r="I8" s="5" t="s">
        <v>7</v>
      </c>
      <c r="J8" s="5" t="s">
        <v>0</v>
      </c>
      <c r="K8" s="5" t="s">
        <v>2</v>
      </c>
      <c r="L8" s="5" t="s">
        <v>44</v>
      </c>
      <c r="M8" s="5" t="s">
        <v>3</v>
      </c>
      <c r="N8" s="5" t="s">
        <v>4</v>
      </c>
      <c r="O8" s="5" t="s">
        <v>5</v>
      </c>
      <c r="P8" s="5" t="s">
        <v>6</v>
      </c>
      <c r="Q8" s="5" t="s">
        <v>7</v>
      </c>
      <c r="R8" s="5" t="s">
        <v>0</v>
      </c>
      <c r="S8" s="5" t="s">
        <v>1</v>
      </c>
      <c r="T8" s="5" t="s">
        <v>2</v>
      </c>
      <c r="U8" s="5" t="s">
        <v>60</v>
      </c>
      <c r="V8" s="5" t="s">
        <v>4</v>
      </c>
      <c r="W8" s="5" t="s">
        <v>5</v>
      </c>
      <c r="X8" s="5" t="s">
        <v>6</v>
      </c>
      <c r="Y8" s="5" t="s">
        <v>7</v>
      </c>
      <c r="Z8" s="5" t="s">
        <v>0</v>
      </c>
      <c r="AA8" s="5" t="s">
        <v>1</v>
      </c>
      <c r="AB8" s="5" t="s">
        <v>2</v>
      </c>
      <c r="AC8" s="5" t="s">
        <v>60</v>
      </c>
      <c r="AD8" s="5" t="s">
        <v>4</v>
      </c>
      <c r="AE8" s="5" t="s">
        <v>5</v>
      </c>
      <c r="AF8" s="5" t="s">
        <v>6</v>
      </c>
      <c r="AG8" s="5" t="s">
        <v>7</v>
      </c>
      <c r="AH8" s="9" t="s">
        <v>0</v>
      </c>
      <c r="AI8" s="2"/>
      <c r="AK8" s="6">
        <f t="shared" si="0"/>
        <v>3</v>
      </c>
      <c r="AL8" s="6">
        <f t="shared" si="1"/>
        <v>6</v>
      </c>
      <c r="AM8" s="6">
        <f t="shared" si="2"/>
        <v>4</v>
      </c>
      <c r="AN8" s="6">
        <f t="shared" si="3"/>
        <v>5</v>
      </c>
      <c r="AO8" s="6">
        <f t="shared" si="4"/>
        <v>12</v>
      </c>
    </row>
    <row r="9" spans="2:41" ht="18.75" x14ac:dyDescent="0.25">
      <c r="B9" s="47" t="s">
        <v>14</v>
      </c>
      <c r="C9" s="48"/>
      <c r="E9" s="5" t="s">
        <v>4</v>
      </c>
      <c r="F9" s="5" t="s">
        <v>5</v>
      </c>
      <c r="G9" s="5" t="s">
        <v>6</v>
      </c>
      <c r="H9" s="5" t="s">
        <v>7</v>
      </c>
      <c r="I9" s="5" t="s">
        <v>0</v>
      </c>
      <c r="J9" s="5" t="s">
        <v>2</v>
      </c>
      <c r="K9" s="5" t="s">
        <v>44</v>
      </c>
      <c r="L9" s="5" t="s">
        <v>4</v>
      </c>
      <c r="M9" s="5" t="s">
        <v>43</v>
      </c>
      <c r="N9" s="5" t="s">
        <v>5</v>
      </c>
      <c r="O9" s="5" t="s">
        <v>6</v>
      </c>
      <c r="P9" s="5" t="s">
        <v>7</v>
      </c>
      <c r="Q9" s="5" t="s">
        <v>0</v>
      </c>
      <c r="R9" s="5" t="s">
        <v>1</v>
      </c>
      <c r="S9" s="5" t="s">
        <v>2</v>
      </c>
      <c r="T9" s="5" t="s">
        <v>3</v>
      </c>
      <c r="U9" s="5" t="s">
        <v>4</v>
      </c>
      <c r="V9" s="5" t="s">
        <v>5</v>
      </c>
      <c r="W9" s="5" t="s">
        <v>6</v>
      </c>
      <c r="X9" s="5" t="s">
        <v>7</v>
      </c>
      <c r="Y9" s="5" t="s">
        <v>0</v>
      </c>
      <c r="Z9" s="5" t="s">
        <v>1</v>
      </c>
      <c r="AA9" s="5" t="s">
        <v>2</v>
      </c>
      <c r="AB9" s="5" t="s">
        <v>60</v>
      </c>
      <c r="AC9" s="5" t="s">
        <v>4</v>
      </c>
      <c r="AD9" s="5" t="s">
        <v>5</v>
      </c>
      <c r="AE9" s="5" t="s">
        <v>6</v>
      </c>
      <c r="AF9" s="5" t="s">
        <v>7</v>
      </c>
      <c r="AG9" s="5" t="s">
        <v>0</v>
      </c>
      <c r="AH9" s="9" t="s">
        <v>1</v>
      </c>
      <c r="AI9" s="2"/>
      <c r="AK9" s="6">
        <f t="shared" si="0"/>
        <v>1</v>
      </c>
      <c r="AL9" s="6">
        <f t="shared" si="1"/>
        <v>7</v>
      </c>
      <c r="AM9" s="6">
        <f t="shared" si="2"/>
        <v>4</v>
      </c>
      <c r="AN9" s="6">
        <f t="shared" si="3"/>
        <v>6</v>
      </c>
      <c r="AO9" s="6">
        <f t="shared" si="4"/>
        <v>12</v>
      </c>
    </row>
    <row r="10" spans="2:41" ht="18.75" x14ac:dyDescent="0.25">
      <c r="B10" s="47" t="s">
        <v>15</v>
      </c>
      <c r="C10" s="48"/>
      <c r="E10" s="5" t="s">
        <v>5</v>
      </c>
      <c r="F10" s="5" t="s">
        <v>6</v>
      </c>
      <c r="G10" s="5" t="s">
        <v>7</v>
      </c>
      <c r="H10" s="5" t="s">
        <v>0</v>
      </c>
      <c r="I10" s="5" t="s">
        <v>59</v>
      </c>
      <c r="J10" s="5" t="s">
        <v>44</v>
      </c>
      <c r="K10" s="5" t="s">
        <v>60</v>
      </c>
      <c r="L10" s="5" t="s">
        <v>4</v>
      </c>
      <c r="M10" s="5" t="s">
        <v>5</v>
      </c>
      <c r="N10" s="5" t="s">
        <v>6</v>
      </c>
      <c r="O10" s="5" t="s">
        <v>7</v>
      </c>
      <c r="P10" s="5" t="s">
        <v>0</v>
      </c>
      <c r="Q10" s="5" t="s">
        <v>1</v>
      </c>
      <c r="R10" s="5" t="s">
        <v>2</v>
      </c>
      <c r="S10" s="5" t="s">
        <v>60</v>
      </c>
      <c r="T10" s="5" t="s">
        <v>4</v>
      </c>
      <c r="U10" s="5" t="s">
        <v>5</v>
      </c>
      <c r="V10" s="5" t="s">
        <v>6</v>
      </c>
      <c r="W10" s="5" t="s">
        <v>7</v>
      </c>
      <c r="X10" s="5" t="s">
        <v>58</v>
      </c>
      <c r="Y10" s="5" t="s">
        <v>1</v>
      </c>
      <c r="Z10" s="5" t="s">
        <v>2</v>
      </c>
      <c r="AA10" s="5" t="s">
        <v>60</v>
      </c>
      <c r="AB10" s="5" t="s">
        <v>4</v>
      </c>
      <c r="AC10" s="5" t="s">
        <v>5</v>
      </c>
      <c r="AD10" s="5" t="s">
        <v>6</v>
      </c>
      <c r="AE10" s="5" t="s">
        <v>7</v>
      </c>
      <c r="AF10" s="5" t="s">
        <v>0</v>
      </c>
      <c r="AG10" s="5" t="s">
        <v>2</v>
      </c>
      <c r="AH10" s="9" t="s">
        <v>44</v>
      </c>
      <c r="AI10" s="2"/>
      <c r="AK10" s="6">
        <f t="shared" si="0"/>
        <v>5</v>
      </c>
      <c r="AL10" s="6">
        <f t="shared" si="1"/>
        <v>5</v>
      </c>
      <c r="AM10" s="6">
        <f t="shared" si="2"/>
        <v>5</v>
      </c>
      <c r="AN10" s="6">
        <f t="shared" si="3"/>
        <v>3</v>
      </c>
      <c r="AO10" s="6">
        <f t="shared" si="4"/>
        <v>12</v>
      </c>
    </row>
    <row r="11" spans="2:41" ht="18.75" x14ac:dyDescent="0.25">
      <c r="B11" s="47" t="s">
        <v>16</v>
      </c>
      <c r="C11" s="48"/>
      <c r="E11" s="5" t="s">
        <v>6</v>
      </c>
      <c r="F11" s="5" t="s">
        <v>7</v>
      </c>
      <c r="G11" s="5" t="s">
        <v>0</v>
      </c>
      <c r="H11" s="5" t="s">
        <v>1</v>
      </c>
      <c r="I11" s="5" t="s">
        <v>2</v>
      </c>
      <c r="J11" s="5" t="s">
        <v>60</v>
      </c>
      <c r="K11" s="5" t="s">
        <v>4</v>
      </c>
      <c r="L11" s="5" t="s">
        <v>5</v>
      </c>
      <c r="M11" s="5" t="s">
        <v>6</v>
      </c>
      <c r="N11" s="5" t="s">
        <v>7</v>
      </c>
      <c r="O11" s="5" t="s">
        <v>58</v>
      </c>
      <c r="P11" s="5" t="s">
        <v>2</v>
      </c>
      <c r="Q11" s="5" t="s">
        <v>3</v>
      </c>
      <c r="R11" s="5" t="s">
        <v>4</v>
      </c>
      <c r="S11" s="5" t="s">
        <v>43</v>
      </c>
      <c r="T11" s="5" t="s">
        <v>5</v>
      </c>
      <c r="U11" s="5" t="s">
        <v>6</v>
      </c>
      <c r="V11" s="5" t="s">
        <v>7</v>
      </c>
      <c r="W11" s="5" t="s">
        <v>58</v>
      </c>
      <c r="X11" s="5" t="s">
        <v>2</v>
      </c>
      <c r="Y11" s="5" t="s">
        <v>61</v>
      </c>
      <c r="Z11" s="5" t="s">
        <v>3</v>
      </c>
      <c r="AA11" s="5" t="s">
        <v>4</v>
      </c>
      <c r="AB11" s="5" t="s">
        <v>5</v>
      </c>
      <c r="AC11" s="5" t="s">
        <v>6</v>
      </c>
      <c r="AD11" s="5" t="s">
        <v>7</v>
      </c>
      <c r="AE11" s="5" t="s">
        <v>58</v>
      </c>
      <c r="AF11" s="5" t="s">
        <v>2</v>
      </c>
      <c r="AG11" s="5" t="s">
        <v>3</v>
      </c>
      <c r="AH11" s="9" t="s">
        <v>4</v>
      </c>
      <c r="AI11" s="2"/>
      <c r="AK11" s="6">
        <f t="shared" si="0"/>
        <v>5</v>
      </c>
      <c r="AL11" s="6">
        <f t="shared" si="1"/>
        <v>2</v>
      </c>
      <c r="AM11" s="6">
        <f t="shared" si="2"/>
        <v>4</v>
      </c>
      <c r="AN11" s="6">
        <f t="shared" si="3"/>
        <v>8</v>
      </c>
      <c r="AO11" s="6">
        <f t="shared" si="4"/>
        <v>11</v>
      </c>
    </row>
    <row r="12" spans="2:41" ht="18.75" x14ac:dyDescent="0.25">
      <c r="B12" s="47" t="s">
        <v>17</v>
      </c>
      <c r="C12" s="48"/>
      <c r="E12" s="5" t="s">
        <v>7</v>
      </c>
      <c r="F12" s="5" t="s">
        <v>0</v>
      </c>
      <c r="G12" s="5" t="s">
        <v>62</v>
      </c>
      <c r="H12" s="5" t="s">
        <v>2</v>
      </c>
      <c r="I12" s="5" t="s">
        <v>3</v>
      </c>
      <c r="J12" s="5" t="s">
        <v>4</v>
      </c>
      <c r="K12" s="5" t="s">
        <v>5</v>
      </c>
      <c r="L12" s="5" t="s">
        <v>6</v>
      </c>
      <c r="M12" s="5" t="s">
        <v>7</v>
      </c>
      <c r="N12" s="5" t="s">
        <v>0</v>
      </c>
      <c r="O12" s="5" t="s">
        <v>1</v>
      </c>
      <c r="P12" s="5" t="s">
        <v>2</v>
      </c>
      <c r="Q12" s="5" t="s">
        <v>44</v>
      </c>
      <c r="R12" s="5" t="s">
        <v>3</v>
      </c>
      <c r="S12" s="5" t="s">
        <v>5</v>
      </c>
      <c r="T12" s="5" t="s">
        <v>6</v>
      </c>
      <c r="U12" s="5" t="s">
        <v>7</v>
      </c>
      <c r="V12" s="5" t="s">
        <v>0</v>
      </c>
      <c r="W12" s="5" t="s">
        <v>1</v>
      </c>
      <c r="X12" s="5" t="s">
        <v>2</v>
      </c>
      <c r="Y12" s="5" t="s">
        <v>3</v>
      </c>
      <c r="Z12" s="5" t="s">
        <v>4</v>
      </c>
      <c r="AA12" s="5" t="s">
        <v>5</v>
      </c>
      <c r="AB12" s="5" t="s">
        <v>6</v>
      </c>
      <c r="AC12" s="5" t="s">
        <v>7</v>
      </c>
      <c r="AD12" s="5" t="s">
        <v>0</v>
      </c>
      <c r="AE12" s="5" t="s">
        <v>1</v>
      </c>
      <c r="AF12" s="5" t="s">
        <v>2</v>
      </c>
      <c r="AG12" s="5" t="s">
        <v>60</v>
      </c>
      <c r="AH12" s="9" t="s">
        <v>4</v>
      </c>
      <c r="AI12" s="2"/>
      <c r="AK12" s="6">
        <f t="shared" si="0"/>
        <v>2</v>
      </c>
      <c r="AL12" s="6">
        <f t="shared" si="1"/>
        <v>7</v>
      </c>
      <c r="AM12" s="6">
        <f t="shared" si="2"/>
        <v>5</v>
      </c>
      <c r="AN12" s="6">
        <f t="shared" si="3"/>
        <v>6</v>
      </c>
      <c r="AO12" s="6">
        <f t="shared" si="4"/>
        <v>10</v>
      </c>
    </row>
    <row r="13" spans="2:41" ht="18.75" x14ac:dyDescent="0.25">
      <c r="B13" s="47" t="s">
        <v>18</v>
      </c>
      <c r="C13" s="48"/>
      <c r="E13" s="5" t="s">
        <v>0</v>
      </c>
      <c r="F13" s="5" t="s">
        <v>1</v>
      </c>
      <c r="G13" s="5" t="s">
        <v>2</v>
      </c>
      <c r="H13" s="5" t="s">
        <v>61</v>
      </c>
      <c r="I13" s="5" t="s">
        <v>3</v>
      </c>
      <c r="J13" s="5" t="s">
        <v>5</v>
      </c>
      <c r="K13" s="5" t="s">
        <v>6</v>
      </c>
      <c r="L13" s="5" t="s">
        <v>7</v>
      </c>
      <c r="M13" s="5" t="s">
        <v>0</v>
      </c>
      <c r="N13" s="5" t="s">
        <v>1</v>
      </c>
      <c r="O13" s="5" t="s">
        <v>2</v>
      </c>
      <c r="P13" s="5" t="s">
        <v>44</v>
      </c>
      <c r="Q13" s="5" t="s">
        <v>3</v>
      </c>
      <c r="R13" s="5" t="s">
        <v>5</v>
      </c>
      <c r="S13" s="5" t="s">
        <v>6</v>
      </c>
      <c r="T13" s="5" t="s">
        <v>7</v>
      </c>
      <c r="U13" s="5" t="s">
        <v>0</v>
      </c>
      <c r="V13" s="5" t="s">
        <v>1</v>
      </c>
      <c r="W13" s="5" t="s">
        <v>2</v>
      </c>
      <c r="X13" s="5" t="s">
        <v>3</v>
      </c>
      <c r="Y13" s="5" t="s">
        <v>4</v>
      </c>
      <c r="Z13" s="5" t="s">
        <v>5</v>
      </c>
      <c r="AA13" s="5" t="s">
        <v>6</v>
      </c>
      <c r="AB13" s="5" t="s">
        <v>7</v>
      </c>
      <c r="AC13" s="5" t="s">
        <v>0</v>
      </c>
      <c r="AD13" s="5" t="s">
        <v>1</v>
      </c>
      <c r="AE13" s="5" t="s">
        <v>2</v>
      </c>
      <c r="AF13" s="5" t="s">
        <v>3</v>
      </c>
      <c r="AG13" s="5" t="s">
        <v>4</v>
      </c>
      <c r="AH13" s="9" t="s">
        <v>5</v>
      </c>
      <c r="AI13" s="2"/>
      <c r="AK13" s="6">
        <f t="shared" si="0"/>
        <v>1</v>
      </c>
      <c r="AL13" s="6">
        <f t="shared" si="1"/>
        <v>8</v>
      </c>
      <c r="AM13" s="6">
        <f t="shared" si="2"/>
        <v>5</v>
      </c>
      <c r="AN13" s="6">
        <f t="shared" si="3"/>
        <v>6</v>
      </c>
      <c r="AO13" s="6">
        <f t="shared" si="4"/>
        <v>10</v>
      </c>
    </row>
    <row r="14" spans="2:41" ht="18.75" x14ac:dyDescent="0.25">
      <c r="B14" s="47" t="s">
        <v>19</v>
      </c>
      <c r="C14" s="48"/>
      <c r="E14" s="5" t="s">
        <v>1</v>
      </c>
      <c r="F14" s="5" t="s">
        <v>2</v>
      </c>
      <c r="G14" s="5" t="s">
        <v>44</v>
      </c>
      <c r="H14" s="5" t="s">
        <v>3</v>
      </c>
      <c r="I14" s="5" t="s">
        <v>5</v>
      </c>
      <c r="J14" s="5" t="s">
        <v>6</v>
      </c>
      <c r="K14" s="5" t="s">
        <v>7</v>
      </c>
      <c r="L14" s="5" t="s">
        <v>0</v>
      </c>
      <c r="M14" s="5" t="s">
        <v>1</v>
      </c>
      <c r="N14" s="5" t="s">
        <v>2</v>
      </c>
      <c r="O14" s="5" t="s">
        <v>44</v>
      </c>
      <c r="P14" s="5" t="s">
        <v>3</v>
      </c>
      <c r="Q14" s="5" t="s">
        <v>5</v>
      </c>
      <c r="R14" s="5" t="s">
        <v>6</v>
      </c>
      <c r="S14" s="5" t="s">
        <v>7</v>
      </c>
      <c r="T14" s="5" t="s">
        <v>0</v>
      </c>
      <c r="U14" s="5" t="s">
        <v>1</v>
      </c>
      <c r="V14" s="5" t="s">
        <v>2</v>
      </c>
      <c r="W14" s="5" t="s">
        <v>44</v>
      </c>
      <c r="X14" s="5" t="s">
        <v>3</v>
      </c>
      <c r="Y14" s="5" t="s">
        <v>5</v>
      </c>
      <c r="Z14" s="5" t="s">
        <v>6</v>
      </c>
      <c r="AA14" s="5" t="s">
        <v>7</v>
      </c>
      <c r="AB14" s="5" t="s">
        <v>0</v>
      </c>
      <c r="AC14" s="5" t="s">
        <v>1</v>
      </c>
      <c r="AD14" s="5" t="s">
        <v>2</v>
      </c>
      <c r="AE14" s="5" t="s">
        <v>44</v>
      </c>
      <c r="AF14" s="5" t="s">
        <v>3</v>
      </c>
      <c r="AG14" s="5" t="s">
        <v>5</v>
      </c>
      <c r="AH14" s="9" t="s">
        <v>6</v>
      </c>
      <c r="AI14" s="2"/>
      <c r="AK14" s="6">
        <f t="shared" si="0"/>
        <v>0</v>
      </c>
      <c r="AL14" s="6">
        <f t="shared" si="1"/>
        <v>7</v>
      </c>
      <c r="AM14" s="6">
        <f t="shared" si="2"/>
        <v>8</v>
      </c>
      <c r="AN14" s="6">
        <f t="shared" si="3"/>
        <v>4</v>
      </c>
      <c r="AO14" s="6">
        <f t="shared" si="4"/>
        <v>11</v>
      </c>
    </row>
    <row r="15" spans="2:41" ht="18.75" x14ac:dyDescent="0.25">
      <c r="B15" s="47" t="s">
        <v>20</v>
      </c>
      <c r="C15" s="48"/>
      <c r="E15" s="5" t="s">
        <v>2</v>
      </c>
      <c r="F15" s="5" t="s">
        <v>44</v>
      </c>
      <c r="G15" s="5" t="s">
        <v>3</v>
      </c>
      <c r="H15" s="5" t="s">
        <v>5</v>
      </c>
      <c r="I15" s="5" t="s">
        <v>6</v>
      </c>
      <c r="J15" s="5" t="s">
        <v>7</v>
      </c>
      <c r="K15" s="5" t="s">
        <v>0</v>
      </c>
      <c r="L15" s="5" t="s">
        <v>1</v>
      </c>
      <c r="M15" s="5" t="s">
        <v>2</v>
      </c>
      <c r="N15" s="5" t="s">
        <v>44</v>
      </c>
      <c r="O15" s="5" t="s">
        <v>3</v>
      </c>
      <c r="P15" s="5" t="s">
        <v>5</v>
      </c>
      <c r="Q15" s="5" t="s">
        <v>6</v>
      </c>
      <c r="R15" s="5" t="s">
        <v>7</v>
      </c>
      <c r="S15" s="5" t="s">
        <v>0</v>
      </c>
      <c r="T15" s="5" t="s">
        <v>1</v>
      </c>
      <c r="U15" s="5" t="s">
        <v>2</v>
      </c>
      <c r="V15" s="5" t="s">
        <v>44</v>
      </c>
      <c r="W15" s="5" t="s">
        <v>3</v>
      </c>
      <c r="X15" s="5" t="s">
        <v>5</v>
      </c>
      <c r="Y15" s="5" t="s">
        <v>6</v>
      </c>
      <c r="Z15" s="5" t="s">
        <v>7</v>
      </c>
      <c r="AA15" s="5" t="s">
        <v>0</v>
      </c>
      <c r="AB15" s="5" t="s">
        <v>1</v>
      </c>
      <c r="AC15" s="5" t="s">
        <v>2</v>
      </c>
      <c r="AD15" s="5" t="s">
        <v>44</v>
      </c>
      <c r="AE15" s="5" t="s">
        <v>3</v>
      </c>
      <c r="AF15" s="5" t="s">
        <v>5</v>
      </c>
      <c r="AG15" s="5" t="s">
        <v>6</v>
      </c>
      <c r="AH15" s="9" t="s">
        <v>7</v>
      </c>
      <c r="AI15" s="2"/>
      <c r="AK15" s="6">
        <f t="shared" si="0"/>
        <v>0</v>
      </c>
      <c r="AL15" s="6">
        <f t="shared" si="1"/>
        <v>6</v>
      </c>
      <c r="AM15" s="6">
        <f t="shared" si="2"/>
        <v>8</v>
      </c>
      <c r="AN15" s="6">
        <f t="shared" si="3"/>
        <v>4</v>
      </c>
      <c r="AO15" s="6">
        <f t="shared" si="4"/>
        <v>12</v>
      </c>
    </row>
    <row r="16" spans="2:41" ht="18.75" x14ac:dyDescent="0.25">
      <c r="B16" s="47" t="s">
        <v>21</v>
      </c>
      <c r="C16" s="48"/>
      <c r="E16" s="5" t="s">
        <v>3</v>
      </c>
      <c r="F16" s="5" t="s">
        <v>4</v>
      </c>
      <c r="G16" s="5" t="s">
        <v>5</v>
      </c>
      <c r="H16" s="5" t="s">
        <v>6</v>
      </c>
      <c r="I16" s="5" t="s">
        <v>7</v>
      </c>
      <c r="J16" s="5" t="s">
        <v>0</v>
      </c>
      <c r="K16" s="5" t="s">
        <v>1</v>
      </c>
      <c r="L16" s="5" t="s">
        <v>2</v>
      </c>
      <c r="M16" s="5" t="s">
        <v>60</v>
      </c>
      <c r="N16" s="5" t="s">
        <v>4</v>
      </c>
      <c r="O16" s="5" t="s">
        <v>5</v>
      </c>
      <c r="P16" s="5" t="s">
        <v>6</v>
      </c>
      <c r="Q16" s="5" t="s">
        <v>7</v>
      </c>
      <c r="R16" s="5" t="s">
        <v>0</v>
      </c>
      <c r="S16" s="5" t="s">
        <v>2</v>
      </c>
      <c r="T16" s="5" t="s">
        <v>44</v>
      </c>
      <c r="U16" s="5" t="s">
        <v>3</v>
      </c>
      <c r="V16" s="5" t="s">
        <v>4</v>
      </c>
      <c r="W16" s="5" t="s">
        <v>5</v>
      </c>
      <c r="X16" s="5" t="s">
        <v>6</v>
      </c>
      <c r="Y16" s="5" t="s">
        <v>7</v>
      </c>
      <c r="Z16" s="5" t="s">
        <v>0</v>
      </c>
      <c r="AA16" s="5" t="s">
        <v>2</v>
      </c>
      <c r="AB16" s="5" t="s">
        <v>44</v>
      </c>
      <c r="AC16" s="5" t="s">
        <v>3</v>
      </c>
      <c r="AD16" s="5" t="s">
        <v>4</v>
      </c>
      <c r="AE16" s="5" t="s">
        <v>5</v>
      </c>
      <c r="AF16" s="5" t="s">
        <v>6</v>
      </c>
      <c r="AG16" s="5" t="s">
        <v>7</v>
      </c>
      <c r="AH16" s="9" t="s">
        <v>0</v>
      </c>
      <c r="AI16" s="2"/>
      <c r="AK16" s="6">
        <f t="shared" si="0"/>
        <v>1</v>
      </c>
      <c r="AL16" s="6">
        <f t="shared" si="1"/>
        <v>5</v>
      </c>
      <c r="AM16" s="6">
        <f t="shared" si="2"/>
        <v>5</v>
      </c>
      <c r="AN16" s="6">
        <f t="shared" si="3"/>
        <v>7</v>
      </c>
      <c r="AO16" s="6">
        <f t="shared" si="4"/>
        <v>12</v>
      </c>
    </row>
    <row r="17" spans="2:41" ht="18.75" x14ac:dyDescent="0.25">
      <c r="B17" s="47" t="s">
        <v>22</v>
      </c>
      <c r="C17" s="48"/>
      <c r="E17" s="5" t="s">
        <v>4</v>
      </c>
      <c r="F17" s="5" t="s">
        <v>5</v>
      </c>
      <c r="G17" s="5" t="s">
        <v>6</v>
      </c>
      <c r="H17" s="5" t="s">
        <v>7</v>
      </c>
      <c r="I17" s="5" t="s">
        <v>0</v>
      </c>
      <c r="J17" s="5" t="s">
        <v>1</v>
      </c>
      <c r="K17" s="5" t="s">
        <v>2</v>
      </c>
      <c r="L17" s="5" t="s">
        <v>60</v>
      </c>
      <c r="M17" s="5" t="s">
        <v>4</v>
      </c>
      <c r="N17" s="5" t="s">
        <v>5</v>
      </c>
      <c r="O17" s="5" t="s">
        <v>6</v>
      </c>
      <c r="P17" s="5" t="s">
        <v>7</v>
      </c>
      <c r="Q17" s="5" t="s">
        <v>0</v>
      </c>
      <c r="R17" s="5" t="s">
        <v>2</v>
      </c>
      <c r="S17" s="5" t="s">
        <v>44</v>
      </c>
      <c r="T17" s="5" t="s">
        <v>60</v>
      </c>
      <c r="U17" s="5" t="s">
        <v>4</v>
      </c>
      <c r="V17" s="5" t="s">
        <v>5</v>
      </c>
      <c r="W17" s="5" t="s">
        <v>6</v>
      </c>
      <c r="X17" s="5" t="s">
        <v>7</v>
      </c>
      <c r="Y17" s="5" t="s">
        <v>0</v>
      </c>
      <c r="Z17" s="5" t="s">
        <v>2</v>
      </c>
      <c r="AA17" s="5" t="s">
        <v>44</v>
      </c>
      <c r="AB17" s="5" t="s">
        <v>3</v>
      </c>
      <c r="AC17" s="5" t="s">
        <v>4</v>
      </c>
      <c r="AD17" s="5" t="s">
        <v>5</v>
      </c>
      <c r="AE17" s="5" t="s">
        <v>6</v>
      </c>
      <c r="AF17" s="5" t="s">
        <v>7</v>
      </c>
      <c r="AG17" s="5" t="s">
        <v>0</v>
      </c>
      <c r="AH17" s="9" t="s">
        <v>2</v>
      </c>
      <c r="AI17" s="2"/>
      <c r="AK17" s="6">
        <f t="shared" si="0"/>
        <v>2</v>
      </c>
      <c r="AL17" s="6">
        <f t="shared" si="1"/>
        <v>5</v>
      </c>
      <c r="AM17" s="6">
        <f t="shared" si="2"/>
        <v>6</v>
      </c>
      <c r="AN17" s="6">
        <f t="shared" si="3"/>
        <v>5</v>
      </c>
      <c r="AO17" s="6">
        <f t="shared" si="4"/>
        <v>12</v>
      </c>
    </row>
    <row r="18" spans="2:41" ht="18.75" x14ac:dyDescent="0.25">
      <c r="B18" s="47" t="s">
        <v>23</v>
      </c>
      <c r="C18" s="48"/>
      <c r="E18" s="5" t="s">
        <v>5</v>
      </c>
      <c r="F18" s="5" t="s">
        <v>6</v>
      </c>
      <c r="G18" s="5" t="s">
        <v>7</v>
      </c>
      <c r="H18" s="5" t="s">
        <v>0</v>
      </c>
      <c r="I18" s="5" t="s">
        <v>1</v>
      </c>
      <c r="J18" s="5" t="s">
        <v>2</v>
      </c>
      <c r="K18" s="5" t="s">
        <v>60</v>
      </c>
      <c r="L18" s="5" t="s">
        <v>4</v>
      </c>
      <c r="M18" s="5" t="s">
        <v>5</v>
      </c>
      <c r="N18" s="5" t="s">
        <v>6</v>
      </c>
      <c r="O18" s="5" t="s">
        <v>7</v>
      </c>
      <c r="P18" s="5" t="s">
        <v>58</v>
      </c>
      <c r="Q18" s="5" t="s">
        <v>2</v>
      </c>
      <c r="R18" s="5" t="s">
        <v>44</v>
      </c>
      <c r="S18" s="5" t="s">
        <v>60</v>
      </c>
      <c r="T18" s="5" t="s">
        <v>4</v>
      </c>
      <c r="U18" s="5" t="s">
        <v>5</v>
      </c>
      <c r="V18" s="5" t="s">
        <v>6</v>
      </c>
      <c r="W18" s="5" t="s">
        <v>7</v>
      </c>
      <c r="X18" s="5" t="s">
        <v>0</v>
      </c>
      <c r="Y18" s="5" t="s">
        <v>2</v>
      </c>
      <c r="Z18" s="5" t="s">
        <v>44</v>
      </c>
      <c r="AA18" s="5" t="s">
        <v>60</v>
      </c>
      <c r="AB18" s="5" t="s">
        <v>4</v>
      </c>
      <c r="AC18" s="5" t="s">
        <v>5</v>
      </c>
      <c r="AD18" s="5" t="s">
        <v>6</v>
      </c>
      <c r="AE18" s="5" t="s">
        <v>7</v>
      </c>
      <c r="AF18" s="5" t="s">
        <v>58</v>
      </c>
      <c r="AG18" s="5" t="s">
        <v>1</v>
      </c>
      <c r="AH18" s="9" t="s">
        <v>2</v>
      </c>
      <c r="AI18" s="2"/>
      <c r="AK18" s="6">
        <f t="shared" si="0"/>
        <v>5</v>
      </c>
      <c r="AL18" s="6">
        <f t="shared" si="1"/>
        <v>4</v>
      </c>
      <c r="AM18" s="6">
        <f t="shared" si="2"/>
        <v>6</v>
      </c>
      <c r="AN18" s="6">
        <f t="shared" si="3"/>
        <v>3</v>
      </c>
      <c r="AO18" s="6">
        <f t="shared" si="4"/>
        <v>12</v>
      </c>
    </row>
    <row r="19" spans="2:41" ht="18.75" x14ac:dyDescent="0.25">
      <c r="B19" s="47" t="s">
        <v>24</v>
      </c>
      <c r="C19" s="48"/>
      <c r="E19" s="5" t="s">
        <v>6</v>
      </c>
      <c r="F19" s="5" t="s">
        <v>7</v>
      </c>
      <c r="G19" s="5" t="s">
        <v>0</v>
      </c>
      <c r="H19" s="5" t="s">
        <v>2</v>
      </c>
      <c r="I19" s="5" t="s">
        <v>44</v>
      </c>
      <c r="J19" s="5" t="s">
        <v>3</v>
      </c>
      <c r="K19" s="5" t="s">
        <v>4</v>
      </c>
      <c r="L19" s="5" t="s">
        <v>5</v>
      </c>
      <c r="M19" s="5" t="s">
        <v>6</v>
      </c>
      <c r="N19" s="5" t="s">
        <v>7</v>
      </c>
      <c r="O19" s="5" t="s">
        <v>0</v>
      </c>
      <c r="P19" s="5" t="s">
        <v>1</v>
      </c>
      <c r="Q19" s="5" t="s">
        <v>59</v>
      </c>
      <c r="R19" s="5" t="s">
        <v>3</v>
      </c>
      <c r="S19" s="5" t="s">
        <v>4</v>
      </c>
      <c r="T19" s="5" t="s">
        <v>5</v>
      </c>
      <c r="U19" s="5" t="s">
        <v>6</v>
      </c>
      <c r="V19" s="5" t="s">
        <v>7</v>
      </c>
      <c r="W19" s="5" t="s">
        <v>0</v>
      </c>
      <c r="X19" s="5" t="s">
        <v>1</v>
      </c>
      <c r="Y19" s="5" t="s">
        <v>2</v>
      </c>
      <c r="Z19" s="5" t="s">
        <v>60</v>
      </c>
      <c r="AA19" s="5" t="s">
        <v>4</v>
      </c>
      <c r="AB19" s="5" t="s">
        <v>5</v>
      </c>
      <c r="AC19" s="5" t="s">
        <v>6</v>
      </c>
      <c r="AD19" s="5" t="s">
        <v>7</v>
      </c>
      <c r="AE19" s="5" t="s">
        <v>0</v>
      </c>
      <c r="AF19" s="5" t="s">
        <v>1</v>
      </c>
      <c r="AG19" s="5" t="s">
        <v>2</v>
      </c>
      <c r="AH19" s="9" t="s">
        <v>60</v>
      </c>
      <c r="AI19" s="2"/>
      <c r="AK19" s="6"/>
      <c r="AL19" s="6"/>
      <c r="AM19" s="6"/>
      <c r="AN19" s="6"/>
      <c r="AO19" s="6"/>
    </row>
    <row r="20" spans="2:41" ht="18.75" x14ac:dyDescent="0.25">
      <c r="B20" s="47" t="s">
        <v>25</v>
      </c>
      <c r="C20" s="48"/>
      <c r="E20" s="5" t="s">
        <v>6</v>
      </c>
      <c r="F20" s="5" t="s">
        <v>7</v>
      </c>
      <c r="G20" s="5" t="s">
        <v>0</v>
      </c>
      <c r="H20" s="5" t="s">
        <v>2</v>
      </c>
      <c r="I20" s="5" t="s">
        <v>44</v>
      </c>
      <c r="J20" s="5" t="s">
        <v>3</v>
      </c>
      <c r="K20" s="5" t="s">
        <v>4</v>
      </c>
      <c r="L20" s="5" t="s">
        <v>5</v>
      </c>
      <c r="M20" s="5" t="s">
        <v>6</v>
      </c>
      <c r="N20" s="5" t="s">
        <v>7</v>
      </c>
      <c r="O20" s="5" t="s">
        <v>0</v>
      </c>
      <c r="P20" s="5" t="s">
        <v>1</v>
      </c>
      <c r="Q20" s="5" t="s">
        <v>2</v>
      </c>
      <c r="R20" s="5" t="s">
        <v>60</v>
      </c>
      <c r="S20" s="5" t="s">
        <v>4</v>
      </c>
      <c r="T20" s="5" t="s">
        <v>5</v>
      </c>
      <c r="U20" s="5" t="s">
        <v>6</v>
      </c>
      <c r="V20" s="5" t="s">
        <v>7</v>
      </c>
      <c r="W20" s="5" t="s">
        <v>0</v>
      </c>
      <c r="X20" s="5" t="s">
        <v>1</v>
      </c>
      <c r="Y20" s="5" t="s">
        <v>2</v>
      </c>
      <c r="Z20" s="5" t="s">
        <v>3</v>
      </c>
      <c r="AA20" s="5" t="s">
        <v>4</v>
      </c>
      <c r="AB20" s="5" t="s">
        <v>5</v>
      </c>
      <c r="AC20" s="5" t="s">
        <v>6</v>
      </c>
      <c r="AD20" s="5" t="s">
        <v>7</v>
      </c>
      <c r="AE20" s="5" t="s">
        <v>0</v>
      </c>
      <c r="AF20" s="5" t="s">
        <v>1</v>
      </c>
      <c r="AG20" s="5" t="s">
        <v>2</v>
      </c>
      <c r="AH20" s="9" t="s">
        <v>3</v>
      </c>
      <c r="AI20" s="2"/>
      <c r="AK20" s="6">
        <f t="shared" si="0"/>
        <v>1</v>
      </c>
      <c r="AL20" s="6">
        <f t="shared" si="1"/>
        <v>7</v>
      </c>
      <c r="AM20" s="6">
        <f t="shared" si="2"/>
        <v>5</v>
      </c>
      <c r="AN20" s="6">
        <f t="shared" si="3"/>
        <v>6</v>
      </c>
      <c r="AO20" s="6">
        <f t="shared" si="4"/>
        <v>11</v>
      </c>
    </row>
    <row r="21" spans="2:41" x14ac:dyDescent="0.25">
      <c r="E21" s="3" t="s">
        <v>45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2:41" ht="18.75" x14ac:dyDescent="0.3">
      <c r="B22" s="45" t="s">
        <v>41</v>
      </c>
      <c r="C22" s="46"/>
      <c r="D22" s="20"/>
      <c r="E22" s="21">
        <f t="shared" ref="E22:AH22" si="5">COUNTIF(E$5:E$20,"M*")</f>
        <v>3</v>
      </c>
      <c r="F22" s="21">
        <f t="shared" si="5"/>
        <v>3</v>
      </c>
      <c r="G22" s="21">
        <f t="shared" si="5"/>
        <v>3</v>
      </c>
      <c r="H22" s="21">
        <f t="shared" si="5"/>
        <v>3</v>
      </c>
      <c r="I22" s="21">
        <f t="shared" si="5"/>
        <v>3</v>
      </c>
      <c r="J22" s="21">
        <f t="shared" si="5"/>
        <v>3</v>
      </c>
      <c r="K22" s="21">
        <f t="shared" si="5"/>
        <v>3</v>
      </c>
      <c r="L22" s="21">
        <f t="shared" si="5"/>
        <v>3</v>
      </c>
      <c r="M22" s="21">
        <f t="shared" si="5"/>
        <v>3</v>
      </c>
      <c r="N22" s="21">
        <f t="shared" si="5"/>
        <v>3</v>
      </c>
      <c r="O22" s="21">
        <f t="shared" si="5"/>
        <v>3</v>
      </c>
      <c r="P22" s="21">
        <f t="shared" si="5"/>
        <v>3</v>
      </c>
      <c r="Q22" s="21">
        <f t="shared" si="5"/>
        <v>3</v>
      </c>
      <c r="R22" s="21">
        <f t="shared" si="5"/>
        <v>3</v>
      </c>
      <c r="S22" s="21">
        <f t="shared" si="5"/>
        <v>3</v>
      </c>
      <c r="T22" s="21">
        <f t="shared" si="5"/>
        <v>3</v>
      </c>
      <c r="U22" s="21">
        <f t="shared" si="5"/>
        <v>3</v>
      </c>
      <c r="V22" s="21">
        <f t="shared" si="5"/>
        <v>3</v>
      </c>
      <c r="W22" s="21">
        <f t="shared" si="5"/>
        <v>3</v>
      </c>
      <c r="X22" s="21">
        <f t="shared" si="5"/>
        <v>3</v>
      </c>
      <c r="Y22" s="21">
        <f t="shared" si="5"/>
        <v>3</v>
      </c>
      <c r="Z22" s="21">
        <f t="shared" si="5"/>
        <v>3</v>
      </c>
      <c r="AA22" s="21">
        <f t="shared" si="5"/>
        <v>3</v>
      </c>
      <c r="AB22" s="21">
        <f t="shared" si="5"/>
        <v>3</v>
      </c>
      <c r="AC22" s="21">
        <f t="shared" si="5"/>
        <v>3</v>
      </c>
      <c r="AD22" s="21">
        <f t="shared" si="5"/>
        <v>3</v>
      </c>
      <c r="AE22" s="21">
        <f t="shared" si="5"/>
        <v>3</v>
      </c>
      <c r="AF22" s="21">
        <f t="shared" si="5"/>
        <v>3</v>
      </c>
      <c r="AG22" s="21">
        <f t="shared" si="5"/>
        <v>3</v>
      </c>
      <c r="AH22" s="21">
        <f t="shared" si="5"/>
        <v>3</v>
      </c>
      <c r="AI22" s="21" t="s">
        <v>45</v>
      </c>
    </row>
    <row r="23" spans="2:41" ht="18.75" x14ac:dyDescent="0.3">
      <c r="B23" s="45" t="s">
        <v>42</v>
      </c>
      <c r="C23" s="46"/>
      <c r="D23" s="20"/>
      <c r="E23" s="21">
        <f t="shared" ref="E23:AH23" si="6">COUNTIF(E$5:E$20,"A*")</f>
        <v>3</v>
      </c>
      <c r="F23" s="21">
        <f t="shared" si="6"/>
        <v>3</v>
      </c>
      <c r="G23" s="21">
        <f t="shared" si="6"/>
        <v>3</v>
      </c>
      <c r="H23" s="21">
        <f t="shared" si="6"/>
        <v>3</v>
      </c>
      <c r="I23" s="21">
        <f t="shared" si="6"/>
        <v>3</v>
      </c>
      <c r="J23" s="21">
        <f t="shared" si="6"/>
        <v>3</v>
      </c>
      <c r="K23" s="21">
        <f t="shared" si="6"/>
        <v>3</v>
      </c>
      <c r="L23" s="21">
        <f t="shared" si="6"/>
        <v>3</v>
      </c>
      <c r="M23" s="21">
        <f t="shared" si="6"/>
        <v>3</v>
      </c>
      <c r="N23" s="21">
        <f t="shared" si="6"/>
        <v>3</v>
      </c>
      <c r="O23" s="21">
        <f t="shared" si="6"/>
        <v>3</v>
      </c>
      <c r="P23" s="21">
        <f t="shared" si="6"/>
        <v>3</v>
      </c>
      <c r="Q23" s="21">
        <f t="shared" si="6"/>
        <v>3</v>
      </c>
      <c r="R23" s="21">
        <f t="shared" si="6"/>
        <v>3</v>
      </c>
      <c r="S23" s="21">
        <f t="shared" si="6"/>
        <v>3</v>
      </c>
      <c r="T23" s="21">
        <f t="shared" si="6"/>
        <v>3</v>
      </c>
      <c r="U23" s="21">
        <f t="shared" si="6"/>
        <v>3</v>
      </c>
      <c r="V23" s="21">
        <f t="shared" si="6"/>
        <v>3</v>
      </c>
      <c r="W23" s="21">
        <f t="shared" si="6"/>
        <v>3</v>
      </c>
      <c r="X23" s="21">
        <f t="shared" si="6"/>
        <v>3</v>
      </c>
      <c r="Y23" s="21">
        <f t="shared" si="6"/>
        <v>3</v>
      </c>
      <c r="Z23" s="21">
        <f t="shared" si="6"/>
        <v>3</v>
      </c>
      <c r="AA23" s="21">
        <f t="shared" si="6"/>
        <v>3</v>
      </c>
      <c r="AB23" s="21">
        <f t="shared" si="6"/>
        <v>3</v>
      </c>
      <c r="AC23" s="21">
        <f t="shared" si="6"/>
        <v>3</v>
      </c>
      <c r="AD23" s="21">
        <f t="shared" si="6"/>
        <v>3</v>
      </c>
      <c r="AE23" s="21">
        <f t="shared" si="6"/>
        <v>3</v>
      </c>
      <c r="AF23" s="21">
        <f t="shared" si="6"/>
        <v>2</v>
      </c>
      <c r="AG23" s="21">
        <f t="shared" si="6"/>
        <v>3</v>
      </c>
      <c r="AH23" s="21">
        <f t="shared" si="6"/>
        <v>3</v>
      </c>
      <c r="AI23" s="21" t="s">
        <v>45</v>
      </c>
    </row>
    <row r="24" spans="2:41" ht="18.75" x14ac:dyDescent="0.3">
      <c r="B24" s="45" t="s">
        <v>8</v>
      </c>
      <c r="C24" s="46"/>
      <c r="D24" s="20"/>
      <c r="E24" s="21">
        <f t="shared" ref="E24:AH24" si="7">COUNTIF(E$5:E$20,"N*")</f>
        <v>3</v>
      </c>
      <c r="F24" s="21">
        <f t="shared" si="7"/>
        <v>3</v>
      </c>
      <c r="G24" s="21">
        <f t="shared" si="7"/>
        <v>3</v>
      </c>
      <c r="H24" s="21">
        <f t="shared" si="7"/>
        <v>3</v>
      </c>
      <c r="I24" s="21">
        <f t="shared" si="7"/>
        <v>3</v>
      </c>
      <c r="J24" s="21">
        <f t="shared" si="7"/>
        <v>3</v>
      </c>
      <c r="K24" s="21">
        <f t="shared" si="7"/>
        <v>3</v>
      </c>
      <c r="L24" s="21">
        <f t="shared" si="7"/>
        <v>3</v>
      </c>
      <c r="M24" s="21">
        <f t="shared" si="7"/>
        <v>3</v>
      </c>
      <c r="N24" s="21">
        <f t="shared" si="7"/>
        <v>3</v>
      </c>
      <c r="O24" s="21">
        <f t="shared" si="7"/>
        <v>3</v>
      </c>
      <c r="P24" s="21">
        <f t="shared" si="7"/>
        <v>3</v>
      </c>
      <c r="Q24" s="21">
        <f t="shared" si="7"/>
        <v>3</v>
      </c>
      <c r="R24" s="21">
        <f t="shared" si="7"/>
        <v>3</v>
      </c>
      <c r="S24" s="21">
        <f t="shared" si="7"/>
        <v>3</v>
      </c>
      <c r="T24" s="21">
        <f t="shared" si="7"/>
        <v>3</v>
      </c>
      <c r="U24" s="21">
        <f t="shared" si="7"/>
        <v>3</v>
      </c>
      <c r="V24" s="21">
        <f t="shared" si="7"/>
        <v>3</v>
      </c>
      <c r="W24" s="21">
        <f t="shared" si="7"/>
        <v>3</v>
      </c>
      <c r="X24" s="21">
        <f t="shared" si="7"/>
        <v>3</v>
      </c>
      <c r="Y24" s="21">
        <f t="shared" si="7"/>
        <v>3</v>
      </c>
      <c r="Z24" s="21">
        <f t="shared" si="7"/>
        <v>3</v>
      </c>
      <c r="AA24" s="21">
        <f t="shared" si="7"/>
        <v>3</v>
      </c>
      <c r="AB24" s="21">
        <f t="shared" si="7"/>
        <v>3</v>
      </c>
      <c r="AC24" s="21">
        <f t="shared" si="7"/>
        <v>3</v>
      </c>
      <c r="AD24" s="21">
        <f t="shared" si="7"/>
        <v>3</v>
      </c>
      <c r="AE24" s="21">
        <f t="shared" si="7"/>
        <v>3</v>
      </c>
      <c r="AF24" s="21">
        <f t="shared" si="7"/>
        <v>4</v>
      </c>
      <c r="AG24" s="21">
        <f t="shared" si="7"/>
        <v>3</v>
      </c>
      <c r="AH24" s="21">
        <f t="shared" si="7"/>
        <v>3</v>
      </c>
      <c r="AI24" s="21" t="s">
        <v>45</v>
      </c>
    </row>
    <row r="25" spans="2:41" ht="18.75" x14ac:dyDescent="0.3">
      <c r="B25" s="45" t="s">
        <v>9</v>
      </c>
      <c r="C25" s="46"/>
      <c r="D25" s="20"/>
      <c r="E25" s="21">
        <f t="shared" ref="E25:AH25" si="8">COUNTIF(E$5:E$20,"O*")</f>
        <v>6</v>
      </c>
      <c r="F25" s="21">
        <f t="shared" si="8"/>
        <v>7</v>
      </c>
      <c r="G25" s="21">
        <f t="shared" si="8"/>
        <v>6</v>
      </c>
      <c r="H25" s="21">
        <f t="shared" si="8"/>
        <v>6</v>
      </c>
      <c r="I25" s="21">
        <f t="shared" si="8"/>
        <v>6</v>
      </c>
      <c r="J25" s="21">
        <f t="shared" si="8"/>
        <v>6</v>
      </c>
      <c r="K25" s="21">
        <f t="shared" si="8"/>
        <v>5</v>
      </c>
      <c r="L25" s="21">
        <f t="shared" si="8"/>
        <v>6</v>
      </c>
      <c r="M25" s="21">
        <f t="shared" si="8"/>
        <v>6</v>
      </c>
      <c r="N25" s="21">
        <f t="shared" si="8"/>
        <v>7</v>
      </c>
      <c r="O25" s="21">
        <f t="shared" si="8"/>
        <v>6</v>
      </c>
      <c r="P25" s="21">
        <f t="shared" si="8"/>
        <v>6</v>
      </c>
      <c r="Q25" s="21">
        <f t="shared" si="8"/>
        <v>6</v>
      </c>
      <c r="R25" s="21">
        <f t="shared" si="8"/>
        <v>6</v>
      </c>
      <c r="S25" s="21">
        <f t="shared" si="8"/>
        <v>5</v>
      </c>
      <c r="T25" s="21">
        <f t="shared" si="8"/>
        <v>6</v>
      </c>
      <c r="U25" s="21">
        <f t="shared" si="8"/>
        <v>6</v>
      </c>
      <c r="V25" s="21">
        <f t="shared" si="8"/>
        <v>7</v>
      </c>
      <c r="W25" s="21">
        <f t="shared" si="8"/>
        <v>6</v>
      </c>
      <c r="X25" s="21">
        <f t="shared" si="8"/>
        <v>6</v>
      </c>
      <c r="Y25" s="21">
        <f t="shared" si="8"/>
        <v>6</v>
      </c>
      <c r="Z25" s="21">
        <f t="shared" si="8"/>
        <v>6</v>
      </c>
      <c r="AA25" s="21">
        <f t="shared" si="8"/>
        <v>5</v>
      </c>
      <c r="AB25" s="21">
        <f t="shared" si="8"/>
        <v>6</v>
      </c>
      <c r="AC25" s="21">
        <f t="shared" si="8"/>
        <v>6</v>
      </c>
      <c r="AD25" s="21">
        <f t="shared" si="8"/>
        <v>7</v>
      </c>
      <c r="AE25" s="21">
        <f t="shared" si="8"/>
        <v>6</v>
      </c>
      <c r="AF25" s="21">
        <f t="shared" si="8"/>
        <v>6</v>
      </c>
      <c r="AG25" s="21">
        <f t="shared" si="8"/>
        <v>6</v>
      </c>
      <c r="AH25" s="21">
        <f t="shared" si="8"/>
        <v>6</v>
      </c>
      <c r="AI25" s="21" t="s">
        <v>45</v>
      </c>
    </row>
    <row r="26" spans="2:41" ht="18.75" x14ac:dyDescent="0.3">
      <c r="B26" s="45" t="s">
        <v>57</v>
      </c>
      <c r="C26" s="46"/>
      <c r="D26" s="20"/>
      <c r="E26" s="21">
        <f t="shared" ref="E26:AH26" si="9">COUNTIF(E$5:E$20,"ST*")</f>
        <v>1</v>
      </c>
      <c r="F26" s="21">
        <f t="shared" si="9"/>
        <v>0</v>
      </c>
      <c r="G26" s="21">
        <f t="shared" si="9"/>
        <v>1</v>
      </c>
      <c r="H26" s="21">
        <f t="shared" si="9"/>
        <v>1</v>
      </c>
      <c r="I26" s="21">
        <f t="shared" si="9"/>
        <v>1</v>
      </c>
      <c r="J26" s="21">
        <f t="shared" si="9"/>
        <v>1</v>
      </c>
      <c r="K26" s="21">
        <f t="shared" si="9"/>
        <v>2</v>
      </c>
      <c r="L26" s="21">
        <f t="shared" si="9"/>
        <v>1</v>
      </c>
      <c r="M26" s="21">
        <f t="shared" si="9"/>
        <v>1</v>
      </c>
      <c r="N26" s="21">
        <f t="shared" si="9"/>
        <v>0</v>
      </c>
      <c r="O26" s="21">
        <f t="shared" si="9"/>
        <v>1</v>
      </c>
      <c r="P26" s="21">
        <f t="shared" si="9"/>
        <v>1</v>
      </c>
      <c r="Q26" s="21">
        <f t="shared" si="9"/>
        <v>1</v>
      </c>
      <c r="R26" s="21">
        <f t="shared" si="9"/>
        <v>1</v>
      </c>
      <c r="S26" s="21">
        <f t="shared" si="9"/>
        <v>2</v>
      </c>
      <c r="T26" s="21">
        <f t="shared" si="9"/>
        <v>1</v>
      </c>
      <c r="U26" s="21">
        <f t="shared" si="9"/>
        <v>1</v>
      </c>
      <c r="V26" s="21">
        <f t="shared" si="9"/>
        <v>0</v>
      </c>
      <c r="W26" s="21">
        <f t="shared" si="9"/>
        <v>1</v>
      </c>
      <c r="X26" s="21">
        <f t="shared" si="9"/>
        <v>1</v>
      </c>
      <c r="Y26" s="21">
        <f t="shared" si="9"/>
        <v>1</v>
      </c>
      <c r="Z26" s="21">
        <f t="shared" si="9"/>
        <v>1</v>
      </c>
      <c r="AA26" s="21">
        <f t="shared" si="9"/>
        <v>2</v>
      </c>
      <c r="AB26" s="21">
        <f t="shared" si="9"/>
        <v>1</v>
      </c>
      <c r="AC26" s="21">
        <f t="shared" si="9"/>
        <v>1</v>
      </c>
      <c r="AD26" s="21">
        <f t="shared" si="9"/>
        <v>0</v>
      </c>
      <c r="AE26" s="21">
        <f t="shared" si="9"/>
        <v>1</v>
      </c>
      <c r="AF26" s="21">
        <f t="shared" si="9"/>
        <v>1</v>
      </c>
      <c r="AG26" s="21">
        <f t="shared" si="9"/>
        <v>1</v>
      </c>
      <c r="AH26" s="21">
        <f t="shared" si="9"/>
        <v>1</v>
      </c>
      <c r="AI26" s="21" t="s">
        <v>45</v>
      </c>
    </row>
    <row r="27" spans="2:41" ht="18.75" x14ac:dyDescent="0.3">
      <c r="B27" s="52" t="s">
        <v>55</v>
      </c>
      <c r="C27" s="53"/>
      <c r="D27" s="22"/>
      <c r="E27" s="23">
        <f>E29-E30</f>
        <v>0</v>
      </c>
      <c r="F27" s="23">
        <f t="shared" ref="F27:AH27" si="10">F29-F30</f>
        <v>0</v>
      </c>
      <c r="G27" s="23">
        <f t="shared" si="10"/>
        <v>0</v>
      </c>
      <c r="H27" s="23">
        <f t="shared" si="10"/>
        <v>0</v>
      </c>
      <c r="I27" s="23">
        <f t="shared" si="10"/>
        <v>0</v>
      </c>
      <c r="J27" s="23">
        <f t="shared" si="10"/>
        <v>0</v>
      </c>
      <c r="K27" s="23">
        <f t="shared" si="10"/>
        <v>0</v>
      </c>
      <c r="L27" s="23">
        <f t="shared" si="10"/>
        <v>0</v>
      </c>
      <c r="M27" s="23">
        <f t="shared" si="10"/>
        <v>0</v>
      </c>
      <c r="N27" s="23">
        <f t="shared" si="10"/>
        <v>0</v>
      </c>
      <c r="O27" s="23">
        <f t="shared" si="10"/>
        <v>0</v>
      </c>
      <c r="P27" s="23">
        <f t="shared" si="10"/>
        <v>0</v>
      </c>
      <c r="Q27" s="23">
        <f t="shared" si="10"/>
        <v>0</v>
      </c>
      <c r="R27" s="23">
        <f t="shared" si="10"/>
        <v>0</v>
      </c>
      <c r="S27" s="23">
        <f t="shared" si="10"/>
        <v>0</v>
      </c>
      <c r="T27" s="23">
        <f t="shared" si="10"/>
        <v>0</v>
      </c>
      <c r="U27" s="23">
        <f t="shared" si="10"/>
        <v>0</v>
      </c>
      <c r="V27" s="23">
        <f t="shared" si="10"/>
        <v>0</v>
      </c>
      <c r="W27" s="23">
        <f t="shared" si="10"/>
        <v>0</v>
      </c>
      <c r="X27" s="23">
        <f t="shared" si="10"/>
        <v>0</v>
      </c>
      <c r="Y27" s="23">
        <f t="shared" si="10"/>
        <v>0</v>
      </c>
      <c r="Z27" s="23">
        <f t="shared" si="10"/>
        <v>0</v>
      </c>
      <c r="AA27" s="23">
        <f t="shared" si="10"/>
        <v>0</v>
      </c>
      <c r="AB27" s="23">
        <f t="shared" si="10"/>
        <v>0</v>
      </c>
      <c r="AC27" s="23">
        <f t="shared" si="10"/>
        <v>0</v>
      </c>
      <c r="AD27" s="23">
        <f t="shared" si="10"/>
        <v>0</v>
      </c>
      <c r="AE27" s="23">
        <f t="shared" si="10"/>
        <v>0</v>
      </c>
      <c r="AF27" s="23">
        <f t="shared" si="10"/>
        <v>0</v>
      </c>
      <c r="AG27" s="23">
        <f t="shared" si="10"/>
        <v>0</v>
      </c>
      <c r="AH27" s="23">
        <f t="shared" si="10"/>
        <v>0</v>
      </c>
      <c r="AI27" s="23" t="s">
        <v>45</v>
      </c>
    </row>
    <row r="28" spans="2:41" ht="9.75" customHeight="1" x14ac:dyDescent="0.3">
      <c r="B28" s="24"/>
      <c r="C28" s="24"/>
      <c r="D28" s="20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</row>
    <row r="29" spans="2:41" ht="18.75" x14ac:dyDescent="0.3">
      <c r="B29" s="45" t="s">
        <v>53</v>
      </c>
      <c r="C29" s="46"/>
      <c r="D29" s="20"/>
      <c r="E29" s="25">
        <f>SUM(E22:E24)</f>
        <v>9</v>
      </c>
      <c r="F29" s="25">
        <f t="shared" ref="F29:AH29" si="11">SUM(F22:F24)</f>
        <v>9</v>
      </c>
      <c r="G29" s="25">
        <f t="shared" si="11"/>
        <v>9</v>
      </c>
      <c r="H29" s="25">
        <f t="shared" si="11"/>
        <v>9</v>
      </c>
      <c r="I29" s="25">
        <f t="shared" si="11"/>
        <v>9</v>
      </c>
      <c r="J29" s="25">
        <f t="shared" si="11"/>
        <v>9</v>
      </c>
      <c r="K29" s="25">
        <f t="shared" si="11"/>
        <v>9</v>
      </c>
      <c r="L29" s="25">
        <f t="shared" si="11"/>
        <v>9</v>
      </c>
      <c r="M29" s="25">
        <f t="shared" si="11"/>
        <v>9</v>
      </c>
      <c r="N29" s="25">
        <f t="shared" si="11"/>
        <v>9</v>
      </c>
      <c r="O29" s="25">
        <f t="shared" si="11"/>
        <v>9</v>
      </c>
      <c r="P29" s="25">
        <f t="shared" si="11"/>
        <v>9</v>
      </c>
      <c r="Q29" s="25">
        <f t="shared" si="11"/>
        <v>9</v>
      </c>
      <c r="R29" s="25">
        <f t="shared" si="11"/>
        <v>9</v>
      </c>
      <c r="S29" s="25">
        <f t="shared" si="11"/>
        <v>9</v>
      </c>
      <c r="T29" s="25">
        <f t="shared" si="11"/>
        <v>9</v>
      </c>
      <c r="U29" s="25">
        <f t="shared" si="11"/>
        <v>9</v>
      </c>
      <c r="V29" s="25">
        <f t="shared" si="11"/>
        <v>9</v>
      </c>
      <c r="W29" s="25">
        <f t="shared" si="11"/>
        <v>9</v>
      </c>
      <c r="X29" s="25">
        <f t="shared" si="11"/>
        <v>9</v>
      </c>
      <c r="Y29" s="25">
        <f t="shared" si="11"/>
        <v>9</v>
      </c>
      <c r="Z29" s="25">
        <f t="shared" si="11"/>
        <v>9</v>
      </c>
      <c r="AA29" s="25">
        <f t="shared" si="11"/>
        <v>9</v>
      </c>
      <c r="AB29" s="25">
        <f t="shared" si="11"/>
        <v>9</v>
      </c>
      <c r="AC29" s="25">
        <f t="shared" si="11"/>
        <v>9</v>
      </c>
      <c r="AD29" s="25">
        <f t="shared" si="11"/>
        <v>9</v>
      </c>
      <c r="AE29" s="25">
        <f t="shared" si="11"/>
        <v>9</v>
      </c>
      <c r="AF29" s="25">
        <f t="shared" si="11"/>
        <v>9</v>
      </c>
      <c r="AG29" s="25">
        <f t="shared" si="11"/>
        <v>9</v>
      </c>
      <c r="AH29" s="25">
        <f t="shared" si="11"/>
        <v>9</v>
      </c>
      <c r="AI29" s="25" t="s">
        <v>45</v>
      </c>
    </row>
    <row r="30" spans="2:41" ht="18.75" x14ac:dyDescent="0.3">
      <c r="B30" s="45" t="s">
        <v>40</v>
      </c>
      <c r="C30" s="46"/>
      <c r="D30" s="20"/>
      <c r="E30" s="21">
        <v>9</v>
      </c>
      <c r="F30" s="21">
        <v>9</v>
      </c>
      <c r="G30" s="21">
        <v>9</v>
      </c>
      <c r="H30" s="21">
        <v>9</v>
      </c>
      <c r="I30" s="21">
        <v>9</v>
      </c>
      <c r="J30" s="21">
        <v>9</v>
      </c>
      <c r="K30" s="21">
        <v>9</v>
      </c>
      <c r="L30" s="21">
        <v>9</v>
      </c>
      <c r="M30" s="21">
        <v>9</v>
      </c>
      <c r="N30" s="21">
        <v>9</v>
      </c>
      <c r="O30" s="21">
        <v>9</v>
      </c>
      <c r="P30" s="21">
        <v>9</v>
      </c>
      <c r="Q30" s="21">
        <v>9</v>
      </c>
      <c r="R30" s="21">
        <v>9</v>
      </c>
      <c r="S30" s="21">
        <v>9</v>
      </c>
      <c r="T30" s="21">
        <v>9</v>
      </c>
      <c r="U30" s="21">
        <v>9</v>
      </c>
      <c r="V30" s="21">
        <v>9</v>
      </c>
      <c r="W30" s="21">
        <v>9</v>
      </c>
      <c r="X30" s="21">
        <v>9</v>
      </c>
      <c r="Y30" s="21">
        <v>9</v>
      </c>
      <c r="Z30" s="21">
        <v>9</v>
      </c>
      <c r="AA30" s="21">
        <v>9</v>
      </c>
      <c r="AB30" s="21">
        <v>9</v>
      </c>
      <c r="AC30" s="21">
        <v>9</v>
      </c>
      <c r="AD30" s="21">
        <v>9</v>
      </c>
      <c r="AE30" s="21">
        <v>9</v>
      </c>
      <c r="AF30" s="21">
        <v>9</v>
      </c>
      <c r="AG30" s="21">
        <v>9</v>
      </c>
      <c r="AH30" s="21">
        <v>9</v>
      </c>
      <c r="AI30" s="21" t="s">
        <v>45</v>
      </c>
    </row>
    <row r="31" spans="2:41" ht="18.75" x14ac:dyDescent="0.3">
      <c r="B31" s="45" t="s">
        <v>54</v>
      </c>
      <c r="C31" s="46"/>
      <c r="D31" s="20"/>
      <c r="E31" s="21">
        <v>16</v>
      </c>
      <c r="F31" s="21">
        <v>16</v>
      </c>
      <c r="G31" s="21">
        <v>16</v>
      </c>
      <c r="H31" s="21">
        <v>16</v>
      </c>
      <c r="I31" s="21">
        <v>16</v>
      </c>
      <c r="J31" s="21">
        <v>16</v>
      </c>
      <c r="K31" s="21">
        <v>16</v>
      </c>
      <c r="L31" s="21">
        <v>16</v>
      </c>
      <c r="M31" s="21">
        <v>16</v>
      </c>
      <c r="N31" s="21">
        <v>16</v>
      </c>
      <c r="O31" s="21">
        <v>16</v>
      </c>
      <c r="P31" s="21">
        <v>16</v>
      </c>
      <c r="Q31" s="21">
        <v>16</v>
      </c>
      <c r="R31" s="21">
        <v>16</v>
      </c>
      <c r="S31" s="21">
        <v>16</v>
      </c>
      <c r="T31" s="21">
        <v>16</v>
      </c>
      <c r="U31" s="21">
        <v>16</v>
      </c>
      <c r="V31" s="21">
        <v>16</v>
      </c>
      <c r="W31" s="21">
        <v>16</v>
      </c>
      <c r="X31" s="21">
        <v>16</v>
      </c>
      <c r="Y31" s="21">
        <v>16</v>
      </c>
      <c r="Z31" s="21">
        <v>16</v>
      </c>
      <c r="AA31" s="21">
        <v>16</v>
      </c>
      <c r="AB31" s="21">
        <v>16</v>
      </c>
      <c r="AC31" s="21">
        <v>16</v>
      </c>
      <c r="AD31" s="21">
        <v>16</v>
      </c>
      <c r="AE31" s="21">
        <v>16</v>
      </c>
      <c r="AF31" s="21">
        <v>16</v>
      </c>
      <c r="AG31" s="21">
        <v>16</v>
      </c>
      <c r="AH31" s="21">
        <v>16</v>
      </c>
      <c r="AI31" s="21" t="s">
        <v>45</v>
      </c>
    </row>
  </sheetData>
  <mergeCells count="33">
    <mergeCell ref="AO2:AO4"/>
    <mergeCell ref="E2:AI2"/>
    <mergeCell ref="AK2:AK4"/>
    <mergeCell ref="AL2:AL4"/>
    <mergeCell ref="AM2:AM4"/>
    <mergeCell ref="AN2:AN4"/>
    <mergeCell ref="B15:C15"/>
    <mergeCell ref="B3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E28:AI28"/>
    <mergeCell ref="B29:C29"/>
    <mergeCell ref="B16:C16"/>
    <mergeCell ref="B17:C17"/>
    <mergeCell ref="B18:C18"/>
    <mergeCell ref="B20:C20"/>
    <mergeCell ref="B22:C22"/>
    <mergeCell ref="B23:C23"/>
    <mergeCell ref="B30:C30"/>
    <mergeCell ref="B31:C31"/>
    <mergeCell ref="B19:C19"/>
    <mergeCell ref="B24:C24"/>
    <mergeCell ref="B25:C25"/>
    <mergeCell ref="B26:C26"/>
    <mergeCell ref="B27:C27"/>
  </mergeCells>
  <conditionalFormatting sqref="F5:AH5 E6:AH20">
    <cfRule type="containsText" dxfId="1116" priority="9" operator="containsText" text="STM1">
      <formula>NOT(ISERROR(SEARCH("STM1",E5)))</formula>
    </cfRule>
    <cfRule type="containsText" dxfId="1115" priority="10" operator="containsText" text="STA">
      <formula>NOT(ISERROR(SEARCH("STA",E5)))</formula>
    </cfRule>
    <cfRule type="containsText" dxfId="1114" priority="11" operator="containsText" text="STM1">
      <formula>NOT(ISERROR(SEARCH("STM1",E5)))</formula>
    </cfRule>
    <cfRule type="containsText" dxfId="1113" priority="12" operator="containsText" text="O">
      <formula>NOT(ISERROR(SEARCH("O",E5)))</formula>
    </cfRule>
    <cfRule type="containsText" dxfId="1112" priority="13" operator="containsText" text="N">
      <formula>NOT(ISERROR(SEARCH("N",E5)))</formula>
    </cfRule>
    <cfRule type="containsText" dxfId="1111" priority="14" operator="containsText" text="A">
      <formula>NOT(ISERROR(SEARCH("A",E5)))</formula>
    </cfRule>
    <cfRule type="containsText" dxfId="1110" priority="15" operator="containsText" text="M">
      <formula>NOT(ISERROR(SEARCH("M",E5)))</formula>
    </cfRule>
  </conditionalFormatting>
  <conditionalFormatting sqref="E5:AH20">
    <cfRule type="containsText" dxfId="1109" priority="1" operator="containsText" text="STN">
      <formula>NOT(ISERROR(SEARCH("STN",E5)))</formula>
    </cfRule>
    <cfRule type="containsText" dxfId="1108" priority="2" operator="containsText" text="STN">
      <formula>NOT(ISERROR(SEARCH("STN",E5)))</formula>
    </cfRule>
    <cfRule type="containsText" dxfId="1107" priority="3" operator="containsText" text="STM">
      <formula>NOT(ISERROR(SEARCH("STM",E5)))</formula>
    </cfRule>
    <cfRule type="containsText" dxfId="1106" priority="4" operator="containsText" text="M">
      <formula>NOT(ISERROR(SEARCH("M",E5)))</formula>
    </cfRule>
    <cfRule type="containsText" dxfId="1105" priority="5" operator="containsText" text="STM1">
      <formula>NOT(ISERROR(SEARCH("STM1",E5)))</formula>
    </cfRule>
    <cfRule type="containsText" dxfId="1104" priority="6" operator="containsText" text="M">
      <formula>NOT(ISERROR(SEARCH("M",E5)))</formula>
    </cfRule>
    <cfRule type="containsText" dxfId="1103" priority="7" operator="containsText" text="STM">
      <formula>NOT(ISERROR(SEARCH("STM",E5)))</formula>
    </cfRule>
    <cfRule type="containsText" dxfId="1102" priority="8" operator="containsText" text="STM">
      <formula>NOT(ISERROR(SEARCH("STM",E5)))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6630-9F4F-4714-81B4-2D9B28FEC44D}">
  <dimension ref="B2:AO30"/>
  <sheetViews>
    <sheetView workbookViewId="0">
      <selection activeCell="O29" sqref="O29"/>
    </sheetView>
  </sheetViews>
  <sheetFormatPr defaultRowHeight="15.75" x14ac:dyDescent="0.25"/>
  <cols>
    <col min="1" max="1" width="3.42578125" style="1" customWidth="1"/>
    <col min="2" max="2" width="12.85546875" style="1" customWidth="1"/>
    <col min="3" max="3" width="14.8554687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54" t="s">
        <v>85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6"/>
      <c r="AK2" s="36" t="s">
        <v>63</v>
      </c>
      <c r="AL2" s="36" t="s">
        <v>64</v>
      </c>
      <c r="AM2" s="36" t="s">
        <v>67</v>
      </c>
      <c r="AN2" s="36" t="s">
        <v>65</v>
      </c>
      <c r="AO2" s="36" t="s">
        <v>66</v>
      </c>
    </row>
    <row r="3" spans="2:41" ht="39" x14ac:dyDescent="0.3">
      <c r="B3" s="41" t="s">
        <v>56</v>
      </c>
      <c r="C3" s="42"/>
      <c r="E3" s="12" t="s">
        <v>46</v>
      </c>
      <c r="F3" s="13" t="s">
        <v>47</v>
      </c>
      <c r="G3" s="13" t="s">
        <v>48</v>
      </c>
      <c r="H3" s="13" t="s">
        <v>49</v>
      </c>
      <c r="I3" s="13" t="s">
        <v>50</v>
      </c>
      <c r="J3" s="13" t="s">
        <v>51</v>
      </c>
      <c r="K3" s="13" t="s">
        <v>52</v>
      </c>
      <c r="L3" s="13" t="s">
        <v>46</v>
      </c>
      <c r="M3" s="13" t="s">
        <v>47</v>
      </c>
      <c r="N3" s="13" t="s">
        <v>48</v>
      </c>
      <c r="O3" s="13" t="s">
        <v>49</v>
      </c>
      <c r="P3" s="13" t="s">
        <v>50</v>
      </c>
      <c r="Q3" s="13" t="s">
        <v>51</v>
      </c>
      <c r="R3" s="13" t="s">
        <v>52</v>
      </c>
      <c r="S3" s="13" t="s">
        <v>46</v>
      </c>
      <c r="T3" s="13" t="s">
        <v>47</v>
      </c>
      <c r="U3" s="13" t="s">
        <v>48</v>
      </c>
      <c r="V3" s="13" t="s">
        <v>49</v>
      </c>
      <c r="W3" s="13" t="s">
        <v>50</v>
      </c>
      <c r="X3" s="13" t="s">
        <v>51</v>
      </c>
      <c r="Y3" s="13" t="s">
        <v>52</v>
      </c>
      <c r="Z3" s="13" t="s">
        <v>46</v>
      </c>
      <c r="AA3" s="13" t="s">
        <v>47</v>
      </c>
      <c r="AB3" s="13" t="s">
        <v>48</v>
      </c>
      <c r="AC3" s="13" t="s">
        <v>49</v>
      </c>
      <c r="AD3" s="13" t="s">
        <v>50</v>
      </c>
      <c r="AE3" s="13" t="s">
        <v>51</v>
      </c>
      <c r="AF3" s="13" t="s">
        <v>52</v>
      </c>
      <c r="AG3" s="13" t="s">
        <v>46</v>
      </c>
      <c r="AH3" s="14" t="s">
        <v>47</v>
      </c>
      <c r="AI3" s="15"/>
      <c r="AK3" s="37"/>
      <c r="AL3" s="37"/>
      <c r="AM3" s="37"/>
      <c r="AN3" s="37"/>
      <c r="AO3" s="37"/>
    </row>
    <row r="4" spans="2:41" ht="19.5" customHeight="1" thickBot="1" x14ac:dyDescent="0.35">
      <c r="B4" s="43"/>
      <c r="C4" s="44"/>
      <c r="E4" s="16">
        <v>1</v>
      </c>
      <c r="F4" s="17">
        <v>2</v>
      </c>
      <c r="G4" s="17">
        <v>3</v>
      </c>
      <c r="H4" s="17">
        <v>4</v>
      </c>
      <c r="I4" s="17">
        <v>5</v>
      </c>
      <c r="J4" s="17">
        <v>6</v>
      </c>
      <c r="K4" s="17">
        <v>7</v>
      </c>
      <c r="L4" s="17">
        <v>8</v>
      </c>
      <c r="M4" s="17">
        <v>9</v>
      </c>
      <c r="N4" s="17">
        <v>10</v>
      </c>
      <c r="O4" s="17">
        <v>11</v>
      </c>
      <c r="P4" s="17">
        <v>12</v>
      </c>
      <c r="Q4" s="17">
        <v>13</v>
      </c>
      <c r="R4" s="17">
        <v>14</v>
      </c>
      <c r="S4" s="17">
        <v>15</v>
      </c>
      <c r="T4" s="17">
        <v>16</v>
      </c>
      <c r="U4" s="17">
        <v>17</v>
      </c>
      <c r="V4" s="17">
        <v>18</v>
      </c>
      <c r="W4" s="17">
        <v>19</v>
      </c>
      <c r="X4" s="17">
        <v>20</v>
      </c>
      <c r="Y4" s="17">
        <v>21</v>
      </c>
      <c r="Z4" s="17">
        <v>22</v>
      </c>
      <c r="AA4" s="17">
        <v>23</v>
      </c>
      <c r="AB4" s="17">
        <v>24</v>
      </c>
      <c r="AC4" s="17">
        <v>25</v>
      </c>
      <c r="AD4" s="17">
        <v>26</v>
      </c>
      <c r="AE4" s="17">
        <v>27</v>
      </c>
      <c r="AF4" s="17">
        <v>28</v>
      </c>
      <c r="AG4" s="17">
        <v>29</v>
      </c>
      <c r="AH4" s="18">
        <v>30</v>
      </c>
      <c r="AI4" s="19"/>
      <c r="AK4" s="38"/>
      <c r="AL4" s="38"/>
      <c r="AM4" s="38"/>
      <c r="AN4" s="38"/>
      <c r="AO4" s="38"/>
    </row>
    <row r="5" spans="2:41" ht="18.75" x14ac:dyDescent="0.25">
      <c r="B5" s="47" t="s">
        <v>10</v>
      </c>
      <c r="C5" s="48"/>
      <c r="E5" s="11" t="s">
        <v>0</v>
      </c>
      <c r="F5" s="7" t="s">
        <v>1</v>
      </c>
      <c r="G5" s="7" t="s">
        <v>2</v>
      </c>
      <c r="H5" s="7" t="s">
        <v>3</v>
      </c>
      <c r="I5" s="7" t="s">
        <v>4</v>
      </c>
      <c r="J5" s="7" t="s">
        <v>5</v>
      </c>
      <c r="K5" s="7" t="s">
        <v>6</v>
      </c>
      <c r="L5" s="7" t="s">
        <v>7</v>
      </c>
      <c r="M5" s="7" t="s">
        <v>0</v>
      </c>
      <c r="N5" s="7" t="s">
        <v>1</v>
      </c>
      <c r="O5" s="7" t="s">
        <v>2</v>
      </c>
      <c r="P5" s="7" t="s">
        <v>3</v>
      </c>
      <c r="Q5" s="7" t="s">
        <v>4</v>
      </c>
      <c r="R5" s="7" t="s">
        <v>5</v>
      </c>
      <c r="S5" s="7" t="s">
        <v>6</v>
      </c>
      <c r="T5" s="7" t="s">
        <v>7</v>
      </c>
      <c r="U5" s="7" t="s">
        <v>0</v>
      </c>
      <c r="V5" s="7" t="s">
        <v>1</v>
      </c>
      <c r="W5" s="7" t="s">
        <v>2</v>
      </c>
      <c r="X5" s="7" t="s">
        <v>44</v>
      </c>
      <c r="Y5" s="7" t="s">
        <v>3</v>
      </c>
      <c r="Z5" s="7" t="s">
        <v>5</v>
      </c>
      <c r="AA5" s="7" t="s">
        <v>6</v>
      </c>
      <c r="AB5" s="7" t="s">
        <v>7</v>
      </c>
      <c r="AC5" s="7" t="s">
        <v>0</v>
      </c>
      <c r="AD5" s="7" t="s">
        <v>1</v>
      </c>
      <c r="AE5" s="7" t="s">
        <v>2</v>
      </c>
      <c r="AF5" s="7" t="s">
        <v>3</v>
      </c>
      <c r="AG5" s="7" t="s">
        <v>4</v>
      </c>
      <c r="AH5" s="8" t="s">
        <v>5</v>
      </c>
      <c r="AI5" s="10"/>
      <c r="AK5" s="26">
        <f>COUNTIF($E5:$AI5,"ST*")</f>
        <v>0</v>
      </c>
      <c r="AL5" s="26">
        <f>COUNTIF($E5:$AI5,"M*")</f>
        <v>8</v>
      </c>
      <c r="AM5" s="26">
        <f>COUNTIF($E5:$AI5,"A*")</f>
        <v>5</v>
      </c>
      <c r="AN5" s="26">
        <f>COUNTIF($E5:$AI5,"N*")</f>
        <v>7</v>
      </c>
      <c r="AO5" s="26">
        <f>COUNTIF($E5:$AI5,"O*")</f>
        <v>10</v>
      </c>
    </row>
    <row r="6" spans="2:41" ht="18.75" x14ac:dyDescent="0.25">
      <c r="B6" s="47" t="s">
        <v>11</v>
      </c>
      <c r="C6" s="48"/>
      <c r="E6" s="27" t="s">
        <v>2</v>
      </c>
      <c r="F6" s="27" t="s">
        <v>44</v>
      </c>
      <c r="G6" s="27" t="s">
        <v>3</v>
      </c>
      <c r="H6" s="27" t="s">
        <v>4</v>
      </c>
      <c r="I6" s="27" t="s">
        <v>5</v>
      </c>
      <c r="J6" s="27" t="s">
        <v>6</v>
      </c>
      <c r="K6" s="27" t="s">
        <v>7</v>
      </c>
      <c r="L6" s="27" t="s">
        <v>0</v>
      </c>
      <c r="M6" s="27" t="s">
        <v>2</v>
      </c>
      <c r="N6" s="27" t="s">
        <v>44</v>
      </c>
      <c r="O6" s="27" t="s">
        <v>3</v>
      </c>
      <c r="P6" s="27" t="s">
        <v>4</v>
      </c>
      <c r="Q6" s="27" t="s">
        <v>5</v>
      </c>
      <c r="R6" s="27" t="s">
        <v>6</v>
      </c>
      <c r="S6" s="27" t="s">
        <v>7</v>
      </c>
      <c r="T6" s="27" t="s">
        <v>0</v>
      </c>
      <c r="U6" s="27" t="s">
        <v>2</v>
      </c>
      <c r="V6" s="27" t="s">
        <v>44</v>
      </c>
      <c r="W6" s="27" t="s">
        <v>3</v>
      </c>
      <c r="X6" s="27" t="s">
        <v>4</v>
      </c>
      <c r="Y6" s="27" t="s">
        <v>5</v>
      </c>
      <c r="Z6" s="27" t="s">
        <v>6</v>
      </c>
      <c r="AA6" s="27" t="s">
        <v>7</v>
      </c>
      <c r="AB6" s="27" t="s">
        <v>0</v>
      </c>
      <c r="AC6" s="27" t="s">
        <v>2</v>
      </c>
      <c r="AD6" s="27" t="s">
        <v>44</v>
      </c>
      <c r="AE6" s="27" t="s">
        <v>3</v>
      </c>
      <c r="AF6" s="27" t="s">
        <v>4</v>
      </c>
      <c r="AG6" s="27" t="s">
        <v>5</v>
      </c>
      <c r="AH6" s="9" t="s">
        <v>6</v>
      </c>
      <c r="AI6" s="2"/>
      <c r="AK6" s="26">
        <f t="shared" ref="AK6:AK18" si="0">COUNTIF($E6:$AI6,"ST*")</f>
        <v>0</v>
      </c>
      <c r="AL6" s="26">
        <f t="shared" ref="AL6:AL18" si="1">COUNTIF($E6:$AI6,"M*")</f>
        <v>3</v>
      </c>
      <c r="AM6" s="26">
        <f t="shared" ref="AM6:AM18" si="2">COUNTIF($E6:$AI6,"A*")</f>
        <v>8</v>
      </c>
      <c r="AN6" s="26">
        <f t="shared" ref="AN6:AN18" si="3">COUNTIF($E6:$AI6,"N*")</f>
        <v>8</v>
      </c>
      <c r="AO6" s="26">
        <f t="shared" ref="AO6:AO18" si="4">COUNTIF($E6:$AI6,"O*")</f>
        <v>11</v>
      </c>
    </row>
    <row r="7" spans="2:41" ht="18.75" x14ac:dyDescent="0.25">
      <c r="B7" s="47" t="s">
        <v>12</v>
      </c>
      <c r="C7" s="48"/>
      <c r="E7" s="27" t="s">
        <v>2</v>
      </c>
      <c r="F7" s="27" t="s">
        <v>3</v>
      </c>
      <c r="G7" s="27" t="s">
        <v>4</v>
      </c>
      <c r="H7" s="27" t="s">
        <v>5</v>
      </c>
      <c r="I7" s="27" t="s">
        <v>6</v>
      </c>
      <c r="J7" s="27" t="s">
        <v>7</v>
      </c>
      <c r="K7" s="27" t="s">
        <v>0</v>
      </c>
      <c r="L7" s="27" t="s">
        <v>2</v>
      </c>
      <c r="M7" s="27" t="s">
        <v>44</v>
      </c>
      <c r="N7" s="27" t="s">
        <v>3</v>
      </c>
      <c r="O7" s="27" t="s">
        <v>4</v>
      </c>
      <c r="P7" s="27" t="s">
        <v>5</v>
      </c>
      <c r="Q7" s="27" t="s">
        <v>6</v>
      </c>
      <c r="R7" s="27" t="s">
        <v>7</v>
      </c>
      <c r="S7" s="27" t="s">
        <v>0</v>
      </c>
      <c r="T7" s="27" t="s">
        <v>2</v>
      </c>
      <c r="U7" s="27" t="s">
        <v>44</v>
      </c>
      <c r="V7" s="27" t="s">
        <v>3</v>
      </c>
      <c r="W7" s="27" t="s">
        <v>4</v>
      </c>
      <c r="X7" s="27" t="s">
        <v>5</v>
      </c>
      <c r="Y7" s="27" t="s">
        <v>6</v>
      </c>
      <c r="Z7" s="27" t="s">
        <v>7</v>
      </c>
      <c r="AA7" s="27" t="s">
        <v>0</v>
      </c>
      <c r="AB7" s="27" t="s">
        <v>2</v>
      </c>
      <c r="AC7" s="27" t="s">
        <v>44</v>
      </c>
      <c r="AD7" s="27" t="s">
        <v>3</v>
      </c>
      <c r="AE7" s="27" t="s">
        <v>4</v>
      </c>
      <c r="AF7" s="27" t="s">
        <v>5</v>
      </c>
      <c r="AG7" s="27" t="s">
        <v>6</v>
      </c>
      <c r="AH7" s="9" t="s">
        <v>7</v>
      </c>
      <c r="AI7" s="2"/>
      <c r="AK7" s="26">
        <f t="shared" si="0"/>
        <v>0</v>
      </c>
      <c r="AL7" s="26">
        <f t="shared" si="1"/>
        <v>3</v>
      </c>
      <c r="AM7" s="26">
        <f t="shared" si="2"/>
        <v>7</v>
      </c>
      <c r="AN7" s="26">
        <f t="shared" si="3"/>
        <v>8</v>
      </c>
      <c r="AO7" s="26">
        <f t="shared" si="4"/>
        <v>12</v>
      </c>
    </row>
    <row r="8" spans="2:41" ht="18.75" x14ac:dyDescent="0.25">
      <c r="B8" s="47" t="s">
        <v>13</v>
      </c>
      <c r="C8" s="48"/>
      <c r="E8" s="27" t="s">
        <v>60</v>
      </c>
      <c r="F8" s="27" t="s">
        <v>4</v>
      </c>
      <c r="G8" s="27" t="s">
        <v>5</v>
      </c>
      <c r="H8" s="27" t="s">
        <v>6</v>
      </c>
      <c r="I8" s="27" t="s">
        <v>7</v>
      </c>
      <c r="J8" s="27" t="s">
        <v>0</v>
      </c>
      <c r="K8" s="27" t="s">
        <v>2</v>
      </c>
      <c r="L8" s="27" t="s">
        <v>44</v>
      </c>
      <c r="M8" s="27" t="s">
        <v>3</v>
      </c>
      <c r="N8" s="27" t="s">
        <v>4</v>
      </c>
      <c r="O8" s="27" t="s">
        <v>5</v>
      </c>
      <c r="P8" s="27" t="s">
        <v>6</v>
      </c>
      <c r="Q8" s="27" t="s">
        <v>7</v>
      </c>
      <c r="R8" s="27" t="s">
        <v>0</v>
      </c>
      <c r="S8" s="27" t="s">
        <v>1</v>
      </c>
      <c r="T8" s="27" t="s">
        <v>2</v>
      </c>
      <c r="U8" s="27" t="s">
        <v>60</v>
      </c>
      <c r="V8" s="27" t="s">
        <v>4</v>
      </c>
      <c r="W8" s="27" t="s">
        <v>5</v>
      </c>
      <c r="X8" s="27" t="s">
        <v>6</v>
      </c>
      <c r="Y8" s="27" t="s">
        <v>7</v>
      </c>
      <c r="Z8" s="27" t="s">
        <v>0</v>
      </c>
      <c r="AA8" s="27" t="s">
        <v>1</v>
      </c>
      <c r="AB8" s="27" t="s">
        <v>2</v>
      </c>
      <c r="AC8" s="27" t="s">
        <v>60</v>
      </c>
      <c r="AD8" s="27" t="s">
        <v>4</v>
      </c>
      <c r="AE8" s="27" t="s">
        <v>5</v>
      </c>
      <c r="AF8" s="27" t="s">
        <v>6</v>
      </c>
      <c r="AG8" s="27" t="s">
        <v>7</v>
      </c>
      <c r="AH8" s="9" t="s">
        <v>0</v>
      </c>
      <c r="AI8" s="2"/>
      <c r="AK8" s="26">
        <f t="shared" si="0"/>
        <v>3</v>
      </c>
      <c r="AL8" s="26">
        <f t="shared" si="1"/>
        <v>6</v>
      </c>
      <c r="AM8" s="26">
        <f t="shared" si="2"/>
        <v>4</v>
      </c>
      <c r="AN8" s="26">
        <f t="shared" si="3"/>
        <v>5</v>
      </c>
      <c r="AO8" s="26">
        <f t="shared" si="4"/>
        <v>12</v>
      </c>
    </row>
    <row r="9" spans="2:41" ht="18.75" x14ac:dyDescent="0.25">
      <c r="B9" s="47" t="s">
        <v>14</v>
      </c>
      <c r="C9" s="48"/>
      <c r="E9" s="27" t="s">
        <v>4</v>
      </c>
      <c r="F9" s="27" t="s">
        <v>5</v>
      </c>
      <c r="G9" s="27" t="s">
        <v>6</v>
      </c>
      <c r="H9" s="27" t="s">
        <v>7</v>
      </c>
      <c r="I9" s="27" t="s">
        <v>0</v>
      </c>
      <c r="J9" s="27" t="s">
        <v>2</v>
      </c>
      <c r="K9" s="27" t="s">
        <v>44</v>
      </c>
      <c r="L9" s="27" t="s">
        <v>4</v>
      </c>
      <c r="M9" s="27" t="s">
        <v>43</v>
      </c>
      <c r="N9" s="27" t="s">
        <v>5</v>
      </c>
      <c r="O9" s="27" t="s">
        <v>6</v>
      </c>
      <c r="P9" s="27" t="s">
        <v>7</v>
      </c>
      <c r="Q9" s="27" t="s">
        <v>0</v>
      </c>
      <c r="R9" s="27" t="s">
        <v>1</v>
      </c>
      <c r="S9" s="27" t="s">
        <v>2</v>
      </c>
      <c r="T9" s="27" t="s">
        <v>3</v>
      </c>
      <c r="U9" s="27" t="s">
        <v>4</v>
      </c>
      <c r="V9" s="27" t="s">
        <v>5</v>
      </c>
      <c r="W9" s="27" t="s">
        <v>6</v>
      </c>
      <c r="X9" s="27" t="s">
        <v>7</v>
      </c>
      <c r="Y9" s="27" t="s">
        <v>0</v>
      </c>
      <c r="Z9" s="27" t="s">
        <v>1</v>
      </c>
      <c r="AA9" s="27" t="s">
        <v>2</v>
      </c>
      <c r="AB9" s="27" t="s">
        <v>60</v>
      </c>
      <c r="AC9" s="27" t="s">
        <v>4</v>
      </c>
      <c r="AD9" s="27" t="s">
        <v>5</v>
      </c>
      <c r="AE9" s="27" t="s">
        <v>6</v>
      </c>
      <c r="AF9" s="27" t="s">
        <v>7</v>
      </c>
      <c r="AG9" s="27" t="s">
        <v>0</v>
      </c>
      <c r="AH9" s="9" t="s">
        <v>1</v>
      </c>
      <c r="AI9" s="2"/>
      <c r="AK9" s="26">
        <f t="shared" si="0"/>
        <v>1</v>
      </c>
      <c r="AL9" s="26">
        <f t="shared" si="1"/>
        <v>7</v>
      </c>
      <c r="AM9" s="26">
        <f t="shared" si="2"/>
        <v>4</v>
      </c>
      <c r="AN9" s="26">
        <f t="shared" si="3"/>
        <v>6</v>
      </c>
      <c r="AO9" s="26">
        <f t="shared" si="4"/>
        <v>12</v>
      </c>
    </row>
    <row r="10" spans="2:41" ht="18.75" x14ac:dyDescent="0.25">
      <c r="B10" s="47" t="s">
        <v>15</v>
      </c>
      <c r="C10" s="48"/>
      <c r="E10" s="27" t="s">
        <v>5</v>
      </c>
      <c r="F10" s="27" t="s">
        <v>6</v>
      </c>
      <c r="G10" s="27" t="s">
        <v>7</v>
      </c>
      <c r="H10" s="27" t="s">
        <v>0</v>
      </c>
      <c r="I10" s="27" t="s">
        <v>2</v>
      </c>
      <c r="J10" s="27" t="s">
        <v>44</v>
      </c>
      <c r="K10" s="27" t="s">
        <v>3</v>
      </c>
      <c r="L10" s="27" t="s">
        <v>4</v>
      </c>
      <c r="M10" s="27" t="s">
        <v>5</v>
      </c>
      <c r="N10" s="27" t="s">
        <v>6</v>
      </c>
      <c r="O10" s="27" t="s">
        <v>7</v>
      </c>
      <c r="P10" s="27" t="s">
        <v>0</v>
      </c>
      <c r="Q10" s="27" t="s">
        <v>1</v>
      </c>
      <c r="R10" s="27" t="s">
        <v>2</v>
      </c>
      <c r="S10" s="27" t="s">
        <v>3</v>
      </c>
      <c r="T10" s="27" t="s">
        <v>4</v>
      </c>
      <c r="U10" s="27" t="s">
        <v>5</v>
      </c>
      <c r="V10" s="27" t="s">
        <v>6</v>
      </c>
      <c r="W10" s="27" t="s">
        <v>7</v>
      </c>
      <c r="X10" s="27" t="s">
        <v>0</v>
      </c>
      <c r="Y10" s="27" t="s">
        <v>1</v>
      </c>
      <c r="Z10" s="27" t="s">
        <v>2</v>
      </c>
      <c r="AA10" s="27" t="s">
        <v>60</v>
      </c>
      <c r="AB10" s="27" t="s">
        <v>4</v>
      </c>
      <c r="AC10" s="27" t="s">
        <v>5</v>
      </c>
      <c r="AD10" s="27" t="s">
        <v>6</v>
      </c>
      <c r="AE10" s="27" t="s">
        <v>7</v>
      </c>
      <c r="AF10" s="27" t="s">
        <v>0</v>
      </c>
      <c r="AG10" s="27" t="s">
        <v>2</v>
      </c>
      <c r="AH10" s="9" t="s">
        <v>3</v>
      </c>
      <c r="AI10" s="2"/>
      <c r="AK10" s="26">
        <f t="shared" si="0"/>
        <v>1</v>
      </c>
      <c r="AL10" s="26">
        <f t="shared" si="1"/>
        <v>6</v>
      </c>
      <c r="AM10" s="26">
        <f t="shared" si="2"/>
        <v>5</v>
      </c>
      <c r="AN10" s="26">
        <f t="shared" si="3"/>
        <v>6</v>
      </c>
      <c r="AO10" s="26">
        <f t="shared" si="4"/>
        <v>12</v>
      </c>
    </row>
    <row r="11" spans="2:41" ht="18.75" x14ac:dyDescent="0.25">
      <c r="B11" s="47" t="s">
        <v>16</v>
      </c>
      <c r="C11" s="48"/>
      <c r="E11" s="27" t="s">
        <v>6</v>
      </c>
      <c r="F11" s="27" t="s">
        <v>7</v>
      </c>
      <c r="G11" s="27" t="s">
        <v>0</v>
      </c>
      <c r="H11" s="27" t="s">
        <v>1</v>
      </c>
      <c r="I11" s="27" t="s">
        <v>2</v>
      </c>
      <c r="J11" s="27" t="s">
        <v>3</v>
      </c>
      <c r="K11" s="27" t="s">
        <v>4</v>
      </c>
      <c r="L11" s="27" t="s">
        <v>5</v>
      </c>
      <c r="M11" s="27" t="s">
        <v>6</v>
      </c>
      <c r="N11" s="27" t="s">
        <v>7</v>
      </c>
      <c r="O11" s="27" t="s">
        <v>0</v>
      </c>
      <c r="P11" s="27" t="s">
        <v>2</v>
      </c>
      <c r="Q11" s="27" t="s">
        <v>3</v>
      </c>
      <c r="R11" s="27" t="s">
        <v>4</v>
      </c>
      <c r="S11" s="27" t="s">
        <v>43</v>
      </c>
      <c r="T11" s="27" t="s">
        <v>5</v>
      </c>
      <c r="U11" s="27" t="s">
        <v>6</v>
      </c>
      <c r="V11" s="27" t="s">
        <v>7</v>
      </c>
      <c r="W11" s="27" t="s">
        <v>0</v>
      </c>
      <c r="X11" s="27" t="s">
        <v>2</v>
      </c>
      <c r="Y11" s="27" t="s">
        <v>44</v>
      </c>
      <c r="Z11" s="27" t="s">
        <v>3</v>
      </c>
      <c r="AA11" s="27" t="s">
        <v>4</v>
      </c>
      <c r="AB11" s="27" t="s">
        <v>5</v>
      </c>
      <c r="AC11" s="27" t="s">
        <v>6</v>
      </c>
      <c r="AD11" s="27" t="s">
        <v>7</v>
      </c>
      <c r="AE11" s="27" t="s">
        <v>0</v>
      </c>
      <c r="AF11" s="27" t="s">
        <v>2</v>
      </c>
      <c r="AG11" s="27" t="s">
        <v>3</v>
      </c>
      <c r="AH11" s="9" t="s">
        <v>4</v>
      </c>
      <c r="AI11" s="2"/>
      <c r="AK11" s="26">
        <f t="shared" si="0"/>
        <v>0</v>
      </c>
      <c r="AL11" s="26">
        <f t="shared" si="1"/>
        <v>5</v>
      </c>
      <c r="AM11" s="26">
        <f t="shared" si="2"/>
        <v>5</v>
      </c>
      <c r="AN11" s="26">
        <f t="shared" si="3"/>
        <v>9</v>
      </c>
      <c r="AO11" s="26">
        <f t="shared" si="4"/>
        <v>11</v>
      </c>
    </row>
    <row r="12" spans="2:41" ht="18.75" x14ac:dyDescent="0.25">
      <c r="B12" s="47" t="s">
        <v>17</v>
      </c>
      <c r="C12" s="48"/>
      <c r="E12" s="27" t="s">
        <v>7</v>
      </c>
      <c r="F12" s="27" t="s">
        <v>0</v>
      </c>
      <c r="G12" s="27" t="s">
        <v>1</v>
      </c>
      <c r="H12" s="27" t="s">
        <v>2</v>
      </c>
      <c r="I12" s="27" t="s">
        <v>3</v>
      </c>
      <c r="J12" s="27" t="s">
        <v>4</v>
      </c>
      <c r="K12" s="27" t="s">
        <v>5</v>
      </c>
      <c r="L12" s="27" t="s">
        <v>6</v>
      </c>
      <c r="M12" s="27" t="s">
        <v>7</v>
      </c>
      <c r="N12" s="27" t="s">
        <v>0</v>
      </c>
      <c r="O12" s="27" t="s">
        <v>1</v>
      </c>
      <c r="P12" s="27" t="s">
        <v>2</v>
      </c>
      <c r="Q12" s="27" t="s">
        <v>44</v>
      </c>
      <c r="R12" s="27" t="s">
        <v>3</v>
      </c>
      <c r="S12" s="27" t="s">
        <v>5</v>
      </c>
      <c r="T12" s="27" t="s">
        <v>6</v>
      </c>
      <c r="U12" s="27" t="s">
        <v>7</v>
      </c>
      <c r="V12" s="27" t="s">
        <v>0</v>
      </c>
      <c r="W12" s="27" t="s">
        <v>1</v>
      </c>
      <c r="X12" s="27" t="s">
        <v>2</v>
      </c>
      <c r="Y12" s="27" t="s">
        <v>3</v>
      </c>
      <c r="Z12" s="27" t="s">
        <v>4</v>
      </c>
      <c r="AA12" s="27" t="s">
        <v>5</v>
      </c>
      <c r="AB12" s="27" t="s">
        <v>6</v>
      </c>
      <c r="AC12" s="27" t="s">
        <v>7</v>
      </c>
      <c r="AD12" s="27" t="s">
        <v>0</v>
      </c>
      <c r="AE12" s="27" t="s">
        <v>1</v>
      </c>
      <c r="AF12" s="27" t="s">
        <v>2</v>
      </c>
      <c r="AG12" s="27" t="s">
        <v>3</v>
      </c>
      <c r="AH12" s="9" t="s">
        <v>4</v>
      </c>
      <c r="AI12" s="2"/>
      <c r="AK12" s="26">
        <f t="shared" si="0"/>
        <v>0</v>
      </c>
      <c r="AL12" s="26">
        <f t="shared" si="1"/>
        <v>8</v>
      </c>
      <c r="AM12" s="26">
        <f t="shared" si="2"/>
        <v>5</v>
      </c>
      <c r="AN12" s="26">
        <f t="shared" si="3"/>
        <v>7</v>
      </c>
      <c r="AO12" s="26">
        <f t="shared" si="4"/>
        <v>10</v>
      </c>
    </row>
    <row r="13" spans="2:41" ht="18.75" x14ac:dyDescent="0.25">
      <c r="B13" s="47" t="s">
        <v>18</v>
      </c>
      <c r="C13" s="48"/>
      <c r="E13" s="27" t="s">
        <v>0</v>
      </c>
      <c r="F13" s="27" t="s">
        <v>1</v>
      </c>
      <c r="G13" s="27" t="s">
        <v>2</v>
      </c>
      <c r="H13" s="27" t="s">
        <v>44</v>
      </c>
      <c r="I13" s="27" t="s">
        <v>3</v>
      </c>
      <c r="J13" s="27" t="s">
        <v>5</v>
      </c>
      <c r="K13" s="27" t="s">
        <v>6</v>
      </c>
      <c r="L13" s="27" t="s">
        <v>7</v>
      </c>
      <c r="M13" s="27" t="s">
        <v>0</v>
      </c>
      <c r="N13" s="27" t="s">
        <v>1</v>
      </c>
      <c r="O13" s="27" t="s">
        <v>2</v>
      </c>
      <c r="P13" s="27" t="s">
        <v>44</v>
      </c>
      <c r="Q13" s="27" t="s">
        <v>3</v>
      </c>
      <c r="R13" s="27" t="s">
        <v>5</v>
      </c>
      <c r="S13" s="27" t="s">
        <v>6</v>
      </c>
      <c r="T13" s="27" t="s">
        <v>7</v>
      </c>
      <c r="U13" s="27" t="s">
        <v>0</v>
      </c>
      <c r="V13" s="27" t="s">
        <v>1</v>
      </c>
      <c r="W13" s="27" t="s">
        <v>2</v>
      </c>
      <c r="X13" s="27" t="s">
        <v>3</v>
      </c>
      <c r="Y13" s="27" t="s">
        <v>4</v>
      </c>
      <c r="Z13" s="27" t="s">
        <v>5</v>
      </c>
      <c r="AA13" s="27" t="s">
        <v>6</v>
      </c>
      <c r="AB13" s="27" t="s">
        <v>7</v>
      </c>
      <c r="AC13" s="27" t="s">
        <v>0</v>
      </c>
      <c r="AD13" s="27" t="s">
        <v>1</v>
      </c>
      <c r="AE13" s="27" t="s">
        <v>2</v>
      </c>
      <c r="AF13" s="27" t="s">
        <v>3</v>
      </c>
      <c r="AG13" s="27" t="s">
        <v>4</v>
      </c>
      <c r="AH13" s="9" t="s">
        <v>5</v>
      </c>
      <c r="AI13" s="2"/>
      <c r="AK13" s="26">
        <f t="shared" si="0"/>
        <v>0</v>
      </c>
      <c r="AL13" s="26">
        <f t="shared" si="1"/>
        <v>8</v>
      </c>
      <c r="AM13" s="26">
        <f t="shared" si="2"/>
        <v>6</v>
      </c>
      <c r="AN13" s="26">
        <f t="shared" si="3"/>
        <v>6</v>
      </c>
      <c r="AO13" s="26">
        <f t="shared" si="4"/>
        <v>10</v>
      </c>
    </row>
    <row r="14" spans="2:41" ht="18.75" x14ac:dyDescent="0.25">
      <c r="B14" s="47" t="s">
        <v>19</v>
      </c>
      <c r="C14" s="48"/>
      <c r="E14" s="27" t="s">
        <v>1</v>
      </c>
      <c r="F14" s="27" t="s">
        <v>2</v>
      </c>
      <c r="G14" s="27" t="s">
        <v>44</v>
      </c>
      <c r="H14" s="27" t="s">
        <v>3</v>
      </c>
      <c r="I14" s="27" t="s">
        <v>5</v>
      </c>
      <c r="J14" s="27" t="s">
        <v>6</v>
      </c>
      <c r="K14" s="27" t="s">
        <v>7</v>
      </c>
      <c r="L14" s="27" t="s">
        <v>0</v>
      </c>
      <c r="M14" s="27" t="s">
        <v>1</v>
      </c>
      <c r="N14" s="27" t="s">
        <v>2</v>
      </c>
      <c r="O14" s="27" t="s">
        <v>44</v>
      </c>
      <c r="P14" s="27" t="s">
        <v>3</v>
      </c>
      <c r="Q14" s="27" t="s">
        <v>5</v>
      </c>
      <c r="R14" s="27" t="s">
        <v>6</v>
      </c>
      <c r="S14" s="27" t="s">
        <v>7</v>
      </c>
      <c r="T14" s="27" t="s">
        <v>0</v>
      </c>
      <c r="U14" s="27" t="s">
        <v>1</v>
      </c>
      <c r="V14" s="27" t="s">
        <v>2</v>
      </c>
      <c r="W14" s="27" t="s">
        <v>44</v>
      </c>
      <c r="X14" s="27" t="s">
        <v>3</v>
      </c>
      <c r="Y14" s="27" t="s">
        <v>5</v>
      </c>
      <c r="Z14" s="27" t="s">
        <v>6</v>
      </c>
      <c r="AA14" s="27" t="s">
        <v>7</v>
      </c>
      <c r="AB14" s="27" t="s">
        <v>0</v>
      </c>
      <c r="AC14" s="27" t="s">
        <v>1</v>
      </c>
      <c r="AD14" s="27" t="s">
        <v>2</v>
      </c>
      <c r="AE14" s="27" t="s">
        <v>44</v>
      </c>
      <c r="AF14" s="27" t="s">
        <v>3</v>
      </c>
      <c r="AG14" s="27" t="s">
        <v>5</v>
      </c>
      <c r="AH14" s="9" t="s">
        <v>6</v>
      </c>
      <c r="AI14" s="2"/>
      <c r="AK14" s="26">
        <f t="shared" si="0"/>
        <v>0</v>
      </c>
      <c r="AL14" s="26">
        <f t="shared" si="1"/>
        <v>7</v>
      </c>
      <c r="AM14" s="26">
        <f t="shared" si="2"/>
        <v>8</v>
      </c>
      <c r="AN14" s="26">
        <f t="shared" si="3"/>
        <v>4</v>
      </c>
      <c r="AO14" s="26">
        <f t="shared" si="4"/>
        <v>11</v>
      </c>
    </row>
    <row r="15" spans="2:41" ht="18.75" x14ac:dyDescent="0.25">
      <c r="B15" s="47" t="s">
        <v>20</v>
      </c>
      <c r="C15" s="48"/>
      <c r="E15" s="27" t="s">
        <v>2</v>
      </c>
      <c r="F15" s="27" t="s">
        <v>44</v>
      </c>
      <c r="G15" s="27" t="s">
        <v>3</v>
      </c>
      <c r="H15" s="27" t="s">
        <v>5</v>
      </c>
      <c r="I15" s="27" t="s">
        <v>6</v>
      </c>
      <c r="J15" s="27" t="s">
        <v>7</v>
      </c>
      <c r="K15" s="27" t="s">
        <v>0</v>
      </c>
      <c r="L15" s="27" t="s">
        <v>1</v>
      </c>
      <c r="M15" s="27" t="s">
        <v>2</v>
      </c>
      <c r="N15" s="27" t="s">
        <v>44</v>
      </c>
      <c r="O15" s="27" t="s">
        <v>3</v>
      </c>
      <c r="P15" s="27" t="s">
        <v>5</v>
      </c>
      <c r="Q15" s="27" t="s">
        <v>6</v>
      </c>
      <c r="R15" s="27" t="s">
        <v>7</v>
      </c>
      <c r="S15" s="27" t="s">
        <v>0</v>
      </c>
      <c r="T15" s="27" t="s">
        <v>1</v>
      </c>
      <c r="U15" s="27" t="s">
        <v>2</v>
      </c>
      <c r="V15" s="27" t="s">
        <v>44</v>
      </c>
      <c r="W15" s="27" t="s">
        <v>3</v>
      </c>
      <c r="X15" s="27" t="s">
        <v>5</v>
      </c>
      <c r="Y15" s="27" t="s">
        <v>6</v>
      </c>
      <c r="Z15" s="27" t="s">
        <v>7</v>
      </c>
      <c r="AA15" s="27" t="s">
        <v>0</v>
      </c>
      <c r="AB15" s="27" t="s">
        <v>1</v>
      </c>
      <c r="AC15" s="27" t="s">
        <v>2</v>
      </c>
      <c r="AD15" s="27" t="s">
        <v>44</v>
      </c>
      <c r="AE15" s="27" t="s">
        <v>3</v>
      </c>
      <c r="AF15" s="27" t="s">
        <v>5</v>
      </c>
      <c r="AG15" s="27" t="s">
        <v>6</v>
      </c>
      <c r="AH15" s="9" t="s">
        <v>7</v>
      </c>
      <c r="AI15" s="2"/>
      <c r="AK15" s="26">
        <f t="shared" si="0"/>
        <v>0</v>
      </c>
      <c r="AL15" s="26">
        <f t="shared" si="1"/>
        <v>6</v>
      </c>
      <c r="AM15" s="26">
        <f t="shared" si="2"/>
        <v>8</v>
      </c>
      <c r="AN15" s="26">
        <f t="shared" si="3"/>
        <v>4</v>
      </c>
      <c r="AO15" s="26">
        <f t="shared" si="4"/>
        <v>12</v>
      </c>
    </row>
    <row r="16" spans="2:41" ht="18.75" x14ac:dyDescent="0.25">
      <c r="B16" s="47" t="s">
        <v>21</v>
      </c>
      <c r="C16" s="48"/>
      <c r="E16" s="27" t="s">
        <v>3</v>
      </c>
      <c r="F16" s="27" t="s">
        <v>4</v>
      </c>
      <c r="G16" s="27" t="s">
        <v>5</v>
      </c>
      <c r="H16" s="27" t="s">
        <v>6</v>
      </c>
      <c r="I16" s="27" t="s">
        <v>7</v>
      </c>
      <c r="J16" s="27" t="s">
        <v>0</v>
      </c>
      <c r="K16" s="27" t="s">
        <v>1</v>
      </c>
      <c r="L16" s="27" t="s">
        <v>2</v>
      </c>
      <c r="M16" s="27" t="s">
        <v>60</v>
      </c>
      <c r="N16" s="27" t="s">
        <v>4</v>
      </c>
      <c r="O16" s="27" t="s">
        <v>5</v>
      </c>
      <c r="P16" s="27" t="s">
        <v>6</v>
      </c>
      <c r="Q16" s="27" t="s">
        <v>7</v>
      </c>
      <c r="R16" s="27" t="s">
        <v>0</v>
      </c>
      <c r="S16" s="27" t="s">
        <v>2</v>
      </c>
      <c r="T16" s="27" t="s">
        <v>44</v>
      </c>
      <c r="U16" s="27" t="s">
        <v>3</v>
      </c>
      <c r="V16" s="27" t="s">
        <v>4</v>
      </c>
      <c r="W16" s="27" t="s">
        <v>5</v>
      </c>
      <c r="X16" s="27" t="s">
        <v>6</v>
      </c>
      <c r="Y16" s="27" t="s">
        <v>7</v>
      </c>
      <c r="Z16" s="27" t="s">
        <v>0</v>
      </c>
      <c r="AA16" s="27" t="s">
        <v>2</v>
      </c>
      <c r="AB16" s="27" t="s">
        <v>44</v>
      </c>
      <c r="AC16" s="27" t="s">
        <v>3</v>
      </c>
      <c r="AD16" s="27" t="s">
        <v>4</v>
      </c>
      <c r="AE16" s="27" t="s">
        <v>5</v>
      </c>
      <c r="AF16" s="27" t="s">
        <v>6</v>
      </c>
      <c r="AG16" s="27" t="s">
        <v>7</v>
      </c>
      <c r="AH16" s="9" t="s">
        <v>0</v>
      </c>
      <c r="AI16" s="2"/>
      <c r="AK16" s="26">
        <f t="shared" si="0"/>
        <v>1</v>
      </c>
      <c r="AL16" s="26">
        <f t="shared" si="1"/>
        <v>5</v>
      </c>
      <c r="AM16" s="26">
        <f t="shared" si="2"/>
        <v>5</v>
      </c>
      <c r="AN16" s="26">
        <f t="shared" si="3"/>
        <v>7</v>
      </c>
      <c r="AO16" s="26">
        <f t="shared" si="4"/>
        <v>12</v>
      </c>
    </row>
    <row r="17" spans="2:41" ht="18.75" x14ac:dyDescent="0.25">
      <c r="B17" s="47" t="s">
        <v>22</v>
      </c>
      <c r="C17" s="48"/>
      <c r="E17" s="27" t="s">
        <v>4</v>
      </c>
      <c r="F17" s="27" t="s">
        <v>5</v>
      </c>
      <c r="G17" s="27" t="s">
        <v>6</v>
      </c>
      <c r="H17" s="27" t="s">
        <v>7</v>
      </c>
      <c r="I17" s="27" t="s">
        <v>0</v>
      </c>
      <c r="J17" s="27" t="s">
        <v>1</v>
      </c>
      <c r="K17" s="27" t="s">
        <v>2</v>
      </c>
      <c r="L17" s="27" t="s">
        <v>60</v>
      </c>
      <c r="M17" s="27" t="s">
        <v>4</v>
      </c>
      <c r="N17" s="27" t="s">
        <v>5</v>
      </c>
      <c r="O17" s="27" t="s">
        <v>6</v>
      </c>
      <c r="P17" s="27" t="s">
        <v>7</v>
      </c>
      <c r="Q17" s="27" t="s">
        <v>0</v>
      </c>
      <c r="R17" s="27" t="s">
        <v>2</v>
      </c>
      <c r="S17" s="27" t="s">
        <v>44</v>
      </c>
      <c r="T17" s="27" t="s">
        <v>60</v>
      </c>
      <c r="U17" s="27" t="s">
        <v>4</v>
      </c>
      <c r="V17" s="27" t="s">
        <v>5</v>
      </c>
      <c r="W17" s="27" t="s">
        <v>6</v>
      </c>
      <c r="X17" s="27" t="s">
        <v>7</v>
      </c>
      <c r="Y17" s="27" t="s">
        <v>0</v>
      </c>
      <c r="Z17" s="27" t="s">
        <v>2</v>
      </c>
      <c r="AA17" s="27" t="s">
        <v>44</v>
      </c>
      <c r="AB17" s="27" t="s">
        <v>3</v>
      </c>
      <c r="AC17" s="27" t="s">
        <v>4</v>
      </c>
      <c r="AD17" s="27" t="s">
        <v>5</v>
      </c>
      <c r="AE17" s="27" t="s">
        <v>6</v>
      </c>
      <c r="AF17" s="27" t="s">
        <v>7</v>
      </c>
      <c r="AG17" s="27" t="s">
        <v>0</v>
      </c>
      <c r="AH17" s="9" t="s">
        <v>2</v>
      </c>
      <c r="AI17" s="2"/>
      <c r="AK17" s="26">
        <f t="shared" si="0"/>
        <v>2</v>
      </c>
      <c r="AL17" s="26">
        <f t="shared" si="1"/>
        <v>5</v>
      </c>
      <c r="AM17" s="26">
        <f t="shared" si="2"/>
        <v>6</v>
      </c>
      <c r="AN17" s="26">
        <f t="shared" si="3"/>
        <v>5</v>
      </c>
      <c r="AO17" s="26">
        <f t="shared" si="4"/>
        <v>12</v>
      </c>
    </row>
    <row r="18" spans="2:41" ht="18.75" x14ac:dyDescent="0.25">
      <c r="B18" s="47" t="s">
        <v>23</v>
      </c>
      <c r="C18" s="48"/>
      <c r="E18" s="27" t="s">
        <v>5</v>
      </c>
      <c r="F18" s="27" t="s">
        <v>6</v>
      </c>
      <c r="G18" s="27" t="s">
        <v>7</v>
      </c>
      <c r="H18" s="27" t="s">
        <v>0</v>
      </c>
      <c r="I18" s="27" t="s">
        <v>1</v>
      </c>
      <c r="J18" s="27" t="s">
        <v>2</v>
      </c>
      <c r="K18" s="27" t="s">
        <v>60</v>
      </c>
      <c r="L18" s="27" t="s">
        <v>4</v>
      </c>
      <c r="M18" s="27" t="s">
        <v>5</v>
      </c>
      <c r="N18" s="27" t="s">
        <v>6</v>
      </c>
      <c r="O18" s="27" t="s">
        <v>7</v>
      </c>
      <c r="P18" s="27" t="s">
        <v>0</v>
      </c>
      <c r="Q18" s="27" t="s">
        <v>2</v>
      </c>
      <c r="R18" s="27" t="s">
        <v>44</v>
      </c>
      <c r="S18" s="27" t="s">
        <v>60</v>
      </c>
      <c r="T18" s="27" t="s">
        <v>4</v>
      </c>
      <c r="U18" s="27" t="s">
        <v>5</v>
      </c>
      <c r="V18" s="27" t="s">
        <v>6</v>
      </c>
      <c r="W18" s="27" t="s">
        <v>7</v>
      </c>
      <c r="X18" s="27" t="s">
        <v>0</v>
      </c>
      <c r="Y18" s="27" t="s">
        <v>2</v>
      </c>
      <c r="Z18" s="27" t="s">
        <v>44</v>
      </c>
      <c r="AA18" s="27" t="s">
        <v>3</v>
      </c>
      <c r="AB18" s="27" t="s">
        <v>4</v>
      </c>
      <c r="AC18" s="27" t="s">
        <v>5</v>
      </c>
      <c r="AD18" s="27" t="s">
        <v>6</v>
      </c>
      <c r="AE18" s="27" t="s">
        <v>7</v>
      </c>
      <c r="AF18" s="27" t="s">
        <v>0</v>
      </c>
      <c r="AG18" s="27" t="s">
        <v>2</v>
      </c>
      <c r="AH18" s="9" t="s">
        <v>44</v>
      </c>
      <c r="AI18" s="2"/>
      <c r="AK18" s="26">
        <f t="shared" si="0"/>
        <v>2</v>
      </c>
      <c r="AL18" s="26">
        <f t="shared" si="1"/>
        <v>5</v>
      </c>
      <c r="AM18" s="26">
        <f t="shared" si="2"/>
        <v>7</v>
      </c>
      <c r="AN18" s="26">
        <f t="shared" si="3"/>
        <v>4</v>
      </c>
      <c r="AO18" s="26">
        <f t="shared" si="4"/>
        <v>12</v>
      </c>
    </row>
    <row r="19" spans="2:41" ht="18.75" x14ac:dyDescent="0.25">
      <c r="B19" s="47" t="s">
        <v>24</v>
      </c>
      <c r="C19" s="48"/>
      <c r="E19" s="27" t="s">
        <v>6</v>
      </c>
      <c r="F19" s="27" t="s">
        <v>7</v>
      </c>
      <c r="G19" s="27" t="s">
        <v>0</v>
      </c>
      <c r="H19" s="27" t="s">
        <v>2</v>
      </c>
      <c r="I19" s="27" t="s">
        <v>44</v>
      </c>
      <c r="J19" s="27" t="s">
        <v>3</v>
      </c>
      <c r="K19" s="27" t="s">
        <v>4</v>
      </c>
      <c r="L19" s="27" t="s">
        <v>5</v>
      </c>
      <c r="M19" s="27" t="s">
        <v>6</v>
      </c>
      <c r="N19" s="27" t="s">
        <v>7</v>
      </c>
      <c r="O19" s="27" t="s">
        <v>0</v>
      </c>
      <c r="P19" s="27" t="s">
        <v>1</v>
      </c>
      <c r="Q19" s="27" t="s">
        <v>2</v>
      </c>
      <c r="R19" s="27" t="s">
        <v>3</v>
      </c>
      <c r="S19" s="27" t="s">
        <v>4</v>
      </c>
      <c r="T19" s="27" t="s">
        <v>5</v>
      </c>
      <c r="U19" s="27" t="s">
        <v>6</v>
      </c>
      <c r="V19" s="27" t="s">
        <v>7</v>
      </c>
      <c r="W19" s="27" t="s">
        <v>0</v>
      </c>
      <c r="X19" s="27" t="s">
        <v>1</v>
      </c>
      <c r="Y19" s="27" t="s">
        <v>2</v>
      </c>
      <c r="Z19" s="27" t="s">
        <v>3</v>
      </c>
      <c r="AA19" s="27" t="s">
        <v>4</v>
      </c>
      <c r="AB19" s="27" t="s">
        <v>5</v>
      </c>
      <c r="AC19" s="27" t="s">
        <v>6</v>
      </c>
      <c r="AD19" s="27" t="s">
        <v>7</v>
      </c>
      <c r="AE19" s="27" t="s">
        <v>0</v>
      </c>
      <c r="AF19" s="27" t="s">
        <v>1</v>
      </c>
      <c r="AG19" s="27" t="s">
        <v>2</v>
      </c>
      <c r="AH19" s="9" t="s">
        <v>3</v>
      </c>
      <c r="AI19" s="2"/>
      <c r="AK19" s="26"/>
      <c r="AL19" s="26"/>
      <c r="AM19" s="26"/>
      <c r="AN19" s="26"/>
      <c r="AO19" s="26"/>
    </row>
    <row r="20" spans="2:41" x14ac:dyDescent="0.25">
      <c r="E20" s="3" t="s">
        <v>45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2:41" ht="18.75" x14ac:dyDescent="0.3">
      <c r="B21" s="45" t="s">
        <v>41</v>
      </c>
      <c r="C21" s="46"/>
      <c r="D21" s="20"/>
      <c r="E21" s="21">
        <f t="shared" ref="E21:AH21" si="5">COUNTIF(E$5:E$19,"M*")</f>
        <v>3</v>
      </c>
      <c r="F21" s="21">
        <f t="shared" si="5"/>
        <v>3</v>
      </c>
      <c r="G21" s="21">
        <f t="shared" si="5"/>
        <v>3</v>
      </c>
      <c r="H21" s="21">
        <f t="shared" si="5"/>
        <v>3</v>
      </c>
      <c r="I21" s="21">
        <f t="shared" si="5"/>
        <v>3</v>
      </c>
      <c r="J21" s="21">
        <f t="shared" si="5"/>
        <v>3</v>
      </c>
      <c r="K21" s="21">
        <f t="shared" si="5"/>
        <v>3</v>
      </c>
      <c r="L21" s="21">
        <f t="shared" si="5"/>
        <v>3</v>
      </c>
      <c r="M21" s="21">
        <f t="shared" si="5"/>
        <v>3</v>
      </c>
      <c r="N21" s="21">
        <f t="shared" si="5"/>
        <v>3</v>
      </c>
      <c r="O21" s="21">
        <f t="shared" si="5"/>
        <v>3</v>
      </c>
      <c r="P21" s="21">
        <f t="shared" si="5"/>
        <v>3</v>
      </c>
      <c r="Q21" s="21">
        <f t="shared" si="5"/>
        <v>3</v>
      </c>
      <c r="R21" s="21">
        <f t="shared" si="5"/>
        <v>3</v>
      </c>
      <c r="S21" s="21">
        <f t="shared" si="5"/>
        <v>3</v>
      </c>
      <c r="T21" s="21">
        <f t="shared" si="5"/>
        <v>3</v>
      </c>
      <c r="U21" s="21">
        <f t="shared" si="5"/>
        <v>3</v>
      </c>
      <c r="V21" s="21">
        <f t="shared" si="5"/>
        <v>3</v>
      </c>
      <c r="W21" s="21">
        <f t="shared" si="5"/>
        <v>3</v>
      </c>
      <c r="X21" s="21">
        <f t="shared" si="5"/>
        <v>3</v>
      </c>
      <c r="Y21" s="21">
        <f t="shared" si="5"/>
        <v>3</v>
      </c>
      <c r="Z21" s="21">
        <f t="shared" si="5"/>
        <v>3</v>
      </c>
      <c r="AA21" s="21">
        <f t="shared" si="5"/>
        <v>3</v>
      </c>
      <c r="AB21" s="21">
        <f t="shared" si="5"/>
        <v>3</v>
      </c>
      <c r="AC21" s="21">
        <f t="shared" si="5"/>
        <v>3</v>
      </c>
      <c r="AD21" s="21">
        <f t="shared" si="5"/>
        <v>3</v>
      </c>
      <c r="AE21" s="21">
        <f t="shared" si="5"/>
        <v>3</v>
      </c>
      <c r="AF21" s="21">
        <f t="shared" si="5"/>
        <v>3</v>
      </c>
      <c r="AG21" s="21">
        <f t="shared" si="5"/>
        <v>2</v>
      </c>
      <c r="AH21" s="21">
        <f t="shared" si="5"/>
        <v>3</v>
      </c>
      <c r="AI21" s="21" t="s">
        <v>45</v>
      </c>
    </row>
    <row r="22" spans="2:41" ht="18.75" x14ac:dyDescent="0.3">
      <c r="B22" s="45" t="s">
        <v>42</v>
      </c>
      <c r="C22" s="46"/>
      <c r="D22" s="20"/>
      <c r="E22" s="21">
        <f t="shared" ref="E22:AH22" si="6">COUNTIF(E$5:E$19,"A*")</f>
        <v>3</v>
      </c>
      <c r="F22" s="21">
        <f t="shared" si="6"/>
        <v>3</v>
      </c>
      <c r="G22" s="21">
        <f t="shared" si="6"/>
        <v>3</v>
      </c>
      <c r="H22" s="21">
        <f t="shared" si="6"/>
        <v>3</v>
      </c>
      <c r="I22" s="21">
        <f t="shared" si="6"/>
        <v>3</v>
      </c>
      <c r="J22" s="21">
        <f t="shared" si="6"/>
        <v>3</v>
      </c>
      <c r="K22" s="21">
        <f t="shared" si="6"/>
        <v>3</v>
      </c>
      <c r="L22" s="21">
        <f t="shared" si="6"/>
        <v>3</v>
      </c>
      <c r="M22" s="21">
        <f t="shared" si="6"/>
        <v>3</v>
      </c>
      <c r="N22" s="21">
        <f t="shared" si="6"/>
        <v>3</v>
      </c>
      <c r="O22" s="21">
        <f t="shared" si="6"/>
        <v>3</v>
      </c>
      <c r="P22" s="21">
        <f t="shared" si="6"/>
        <v>3</v>
      </c>
      <c r="Q22" s="21">
        <f t="shared" si="6"/>
        <v>3</v>
      </c>
      <c r="R22" s="21">
        <f t="shared" si="6"/>
        <v>3</v>
      </c>
      <c r="S22" s="21">
        <f t="shared" si="6"/>
        <v>3</v>
      </c>
      <c r="T22" s="21">
        <f t="shared" si="6"/>
        <v>3</v>
      </c>
      <c r="U22" s="21">
        <f t="shared" si="6"/>
        <v>3</v>
      </c>
      <c r="V22" s="21">
        <f t="shared" si="6"/>
        <v>3</v>
      </c>
      <c r="W22" s="21">
        <f t="shared" si="6"/>
        <v>3</v>
      </c>
      <c r="X22" s="21">
        <f t="shared" si="6"/>
        <v>3</v>
      </c>
      <c r="Y22" s="21">
        <f t="shared" si="6"/>
        <v>3</v>
      </c>
      <c r="Z22" s="21">
        <f t="shared" si="6"/>
        <v>3</v>
      </c>
      <c r="AA22" s="21">
        <f t="shared" si="6"/>
        <v>3</v>
      </c>
      <c r="AB22" s="21">
        <f t="shared" si="6"/>
        <v>3</v>
      </c>
      <c r="AC22" s="21">
        <f t="shared" si="6"/>
        <v>3</v>
      </c>
      <c r="AD22" s="21">
        <f t="shared" si="6"/>
        <v>3</v>
      </c>
      <c r="AE22" s="21">
        <f t="shared" si="6"/>
        <v>3</v>
      </c>
      <c r="AF22" s="21">
        <f t="shared" si="6"/>
        <v>2</v>
      </c>
      <c r="AG22" s="21">
        <f t="shared" si="6"/>
        <v>3</v>
      </c>
      <c r="AH22" s="21">
        <f t="shared" si="6"/>
        <v>2</v>
      </c>
      <c r="AI22" s="21" t="s">
        <v>45</v>
      </c>
    </row>
    <row r="23" spans="2:41" ht="18.75" x14ac:dyDescent="0.3">
      <c r="B23" s="45" t="s">
        <v>8</v>
      </c>
      <c r="C23" s="46"/>
      <c r="D23" s="20"/>
      <c r="E23" s="21">
        <f t="shared" ref="E23:AH23" si="7">COUNTIF(E$5:E$19,"N*")</f>
        <v>3</v>
      </c>
      <c r="F23" s="21">
        <f t="shared" si="7"/>
        <v>3</v>
      </c>
      <c r="G23" s="21">
        <f t="shared" si="7"/>
        <v>3</v>
      </c>
      <c r="H23" s="21">
        <f t="shared" si="7"/>
        <v>3</v>
      </c>
      <c r="I23" s="21">
        <f t="shared" si="7"/>
        <v>3</v>
      </c>
      <c r="J23" s="21">
        <f t="shared" si="7"/>
        <v>3</v>
      </c>
      <c r="K23" s="21">
        <f t="shared" si="7"/>
        <v>3</v>
      </c>
      <c r="L23" s="21">
        <f t="shared" si="7"/>
        <v>3</v>
      </c>
      <c r="M23" s="21">
        <f t="shared" si="7"/>
        <v>3</v>
      </c>
      <c r="N23" s="21">
        <f t="shared" si="7"/>
        <v>3</v>
      </c>
      <c r="O23" s="21">
        <f t="shared" si="7"/>
        <v>3</v>
      </c>
      <c r="P23" s="21">
        <f t="shared" si="7"/>
        <v>3</v>
      </c>
      <c r="Q23" s="21">
        <f t="shared" si="7"/>
        <v>3</v>
      </c>
      <c r="R23" s="21">
        <f t="shared" si="7"/>
        <v>3</v>
      </c>
      <c r="S23" s="21">
        <f t="shared" si="7"/>
        <v>3</v>
      </c>
      <c r="T23" s="21">
        <f t="shared" si="7"/>
        <v>3</v>
      </c>
      <c r="U23" s="21">
        <f t="shared" si="7"/>
        <v>3</v>
      </c>
      <c r="V23" s="21">
        <f t="shared" si="7"/>
        <v>3</v>
      </c>
      <c r="W23" s="21">
        <f t="shared" si="7"/>
        <v>3</v>
      </c>
      <c r="X23" s="21">
        <f t="shared" si="7"/>
        <v>3</v>
      </c>
      <c r="Y23" s="21">
        <f t="shared" si="7"/>
        <v>3</v>
      </c>
      <c r="Z23" s="21">
        <f t="shared" si="7"/>
        <v>3</v>
      </c>
      <c r="AA23" s="21">
        <f t="shared" si="7"/>
        <v>3</v>
      </c>
      <c r="AB23" s="21">
        <f t="shared" si="7"/>
        <v>3</v>
      </c>
      <c r="AC23" s="21">
        <f t="shared" si="7"/>
        <v>3</v>
      </c>
      <c r="AD23" s="21">
        <f t="shared" si="7"/>
        <v>3</v>
      </c>
      <c r="AE23" s="21">
        <f t="shared" si="7"/>
        <v>3</v>
      </c>
      <c r="AF23" s="21">
        <f t="shared" si="7"/>
        <v>4</v>
      </c>
      <c r="AG23" s="21">
        <f t="shared" si="7"/>
        <v>4</v>
      </c>
      <c r="AH23" s="21">
        <f t="shared" si="7"/>
        <v>4</v>
      </c>
      <c r="AI23" s="21" t="s">
        <v>45</v>
      </c>
    </row>
    <row r="24" spans="2:41" ht="18.75" x14ac:dyDescent="0.3">
      <c r="B24" s="45" t="s">
        <v>9</v>
      </c>
      <c r="C24" s="46"/>
      <c r="D24" s="20"/>
      <c r="E24" s="21">
        <f t="shared" ref="E24:AH24" si="8">COUNTIF(E$5:E$19,"O*")</f>
        <v>5</v>
      </c>
      <c r="F24" s="21">
        <f t="shared" si="8"/>
        <v>6</v>
      </c>
      <c r="G24" s="21">
        <f t="shared" si="8"/>
        <v>6</v>
      </c>
      <c r="H24" s="21">
        <f t="shared" si="8"/>
        <v>6</v>
      </c>
      <c r="I24" s="21">
        <f t="shared" si="8"/>
        <v>6</v>
      </c>
      <c r="J24" s="21">
        <f t="shared" si="8"/>
        <v>6</v>
      </c>
      <c r="K24" s="21">
        <f t="shared" si="8"/>
        <v>5</v>
      </c>
      <c r="L24" s="21">
        <f t="shared" si="8"/>
        <v>5</v>
      </c>
      <c r="M24" s="21">
        <f t="shared" si="8"/>
        <v>5</v>
      </c>
      <c r="N24" s="21">
        <f t="shared" si="8"/>
        <v>6</v>
      </c>
      <c r="O24" s="21">
        <f t="shared" si="8"/>
        <v>6</v>
      </c>
      <c r="P24" s="21">
        <f t="shared" si="8"/>
        <v>6</v>
      </c>
      <c r="Q24" s="21">
        <f t="shared" si="8"/>
        <v>6</v>
      </c>
      <c r="R24" s="21">
        <f t="shared" si="8"/>
        <v>6</v>
      </c>
      <c r="S24" s="21">
        <f t="shared" si="8"/>
        <v>5</v>
      </c>
      <c r="T24" s="21">
        <f t="shared" si="8"/>
        <v>5</v>
      </c>
      <c r="U24" s="21">
        <f t="shared" si="8"/>
        <v>5</v>
      </c>
      <c r="V24" s="21">
        <f t="shared" si="8"/>
        <v>6</v>
      </c>
      <c r="W24" s="21">
        <f t="shared" si="8"/>
        <v>6</v>
      </c>
      <c r="X24" s="21">
        <f t="shared" si="8"/>
        <v>6</v>
      </c>
      <c r="Y24" s="21">
        <f t="shared" si="8"/>
        <v>6</v>
      </c>
      <c r="Z24" s="21">
        <f t="shared" si="8"/>
        <v>6</v>
      </c>
      <c r="AA24" s="21">
        <f t="shared" si="8"/>
        <v>5</v>
      </c>
      <c r="AB24" s="21">
        <f t="shared" si="8"/>
        <v>5</v>
      </c>
      <c r="AC24" s="21">
        <f t="shared" si="8"/>
        <v>5</v>
      </c>
      <c r="AD24" s="21">
        <f t="shared" si="8"/>
        <v>6</v>
      </c>
      <c r="AE24" s="21">
        <f t="shared" si="8"/>
        <v>6</v>
      </c>
      <c r="AF24" s="21">
        <f t="shared" si="8"/>
        <v>6</v>
      </c>
      <c r="AG24" s="21">
        <f t="shared" si="8"/>
        <v>6</v>
      </c>
      <c r="AH24" s="21">
        <f t="shared" si="8"/>
        <v>6</v>
      </c>
      <c r="AI24" s="21" t="s">
        <v>45</v>
      </c>
    </row>
    <row r="25" spans="2:41" ht="18.75" x14ac:dyDescent="0.3">
      <c r="B25" s="45" t="s">
        <v>57</v>
      </c>
      <c r="C25" s="46"/>
      <c r="D25" s="20"/>
      <c r="E25" s="21">
        <f t="shared" ref="E25:AH25" si="9">COUNTIF(E$5:E$19,"ST*")</f>
        <v>1</v>
      </c>
      <c r="F25" s="21">
        <f t="shared" si="9"/>
        <v>0</v>
      </c>
      <c r="G25" s="21">
        <f t="shared" si="9"/>
        <v>0</v>
      </c>
      <c r="H25" s="21">
        <f t="shared" si="9"/>
        <v>0</v>
      </c>
      <c r="I25" s="21">
        <f t="shared" si="9"/>
        <v>0</v>
      </c>
      <c r="J25" s="21">
        <f t="shared" si="9"/>
        <v>0</v>
      </c>
      <c r="K25" s="21">
        <f t="shared" si="9"/>
        <v>1</v>
      </c>
      <c r="L25" s="21">
        <f t="shared" si="9"/>
        <v>1</v>
      </c>
      <c r="M25" s="21">
        <f t="shared" si="9"/>
        <v>1</v>
      </c>
      <c r="N25" s="21">
        <f t="shared" si="9"/>
        <v>0</v>
      </c>
      <c r="O25" s="21">
        <f t="shared" si="9"/>
        <v>0</v>
      </c>
      <c r="P25" s="21">
        <f t="shared" si="9"/>
        <v>0</v>
      </c>
      <c r="Q25" s="21">
        <f t="shared" si="9"/>
        <v>0</v>
      </c>
      <c r="R25" s="21">
        <f t="shared" si="9"/>
        <v>0</v>
      </c>
      <c r="S25" s="21">
        <f t="shared" si="9"/>
        <v>1</v>
      </c>
      <c r="T25" s="21">
        <f t="shared" si="9"/>
        <v>1</v>
      </c>
      <c r="U25" s="21">
        <f t="shared" si="9"/>
        <v>1</v>
      </c>
      <c r="V25" s="21">
        <f t="shared" si="9"/>
        <v>0</v>
      </c>
      <c r="W25" s="21">
        <f t="shared" si="9"/>
        <v>0</v>
      </c>
      <c r="X25" s="21">
        <f t="shared" si="9"/>
        <v>0</v>
      </c>
      <c r="Y25" s="21">
        <f t="shared" si="9"/>
        <v>0</v>
      </c>
      <c r="Z25" s="21">
        <f t="shared" si="9"/>
        <v>0</v>
      </c>
      <c r="AA25" s="21">
        <f t="shared" si="9"/>
        <v>1</v>
      </c>
      <c r="AB25" s="21">
        <f t="shared" si="9"/>
        <v>1</v>
      </c>
      <c r="AC25" s="21">
        <f t="shared" si="9"/>
        <v>1</v>
      </c>
      <c r="AD25" s="21">
        <f t="shared" si="9"/>
        <v>0</v>
      </c>
      <c r="AE25" s="21">
        <f t="shared" si="9"/>
        <v>0</v>
      </c>
      <c r="AF25" s="21">
        <f t="shared" si="9"/>
        <v>0</v>
      </c>
      <c r="AG25" s="21">
        <f t="shared" si="9"/>
        <v>0</v>
      </c>
      <c r="AH25" s="21">
        <f t="shared" si="9"/>
        <v>0</v>
      </c>
      <c r="AI25" s="21" t="s">
        <v>45</v>
      </c>
    </row>
    <row r="26" spans="2:41" ht="18.75" x14ac:dyDescent="0.3">
      <c r="B26" s="52" t="s">
        <v>55</v>
      </c>
      <c r="C26" s="53"/>
      <c r="D26" s="22"/>
      <c r="E26" s="23">
        <f>E28-E29</f>
        <v>0</v>
      </c>
      <c r="F26" s="23">
        <f t="shared" ref="F26:AH26" si="10">F28-F29</f>
        <v>0</v>
      </c>
      <c r="G26" s="23">
        <f t="shared" si="10"/>
        <v>0</v>
      </c>
      <c r="H26" s="23">
        <f t="shared" si="10"/>
        <v>0</v>
      </c>
      <c r="I26" s="23">
        <f t="shared" si="10"/>
        <v>0</v>
      </c>
      <c r="J26" s="23">
        <f t="shared" si="10"/>
        <v>0</v>
      </c>
      <c r="K26" s="23">
        <f t="shared" si="10"/>
        <v>0</v>
      </c>
      <c r="L26" s="23">
        <f t="shared" si="10"/>
        <v>0</v>
      </c>
      <c r="M26" s="23">
        <f t="shared" si="10"/>
        <v>0</v>
      </c>
      <c r="N26" s="23">
        <f t="shared" si="10"/>
        <v>0</v>
      </c>
      <c r="O26" s="23">
        <f t="shared" si="10"/>
        <v>0</v>
      </c>
      <c r="P26" s="23">
        <f t="shared" si="10"/>
        <v>0</v>
      </c>
      <c r="Q26" s="23">
        <f t="shared" si="10"/>
        <v>0</v>
      </c>
      <c r="R26" s="23">
        <f t="shared" si="10"/>
        <v>0</v>
      </c>
      <c r="S26" s="23">
        <f t="shared" si="10"/>
        <v>0</v>
      </c>
      <c r="T26" s="23">
        <f t="shared" si="10"/>
        <v>0</v>
      </c>
      <c r="U26" s="23">
        <f t="shared" si="10"/>
        <v>0</v>
      </c>
      <c r="V26" s="23">
        <f t="shared" si="10"/>
        <v>0</v>
      </c>
      <c r="W26" s="23">
        <f t="shared" si="10"/>
        <v>0</v>
      </c>
      <c r="X26" s="23">
        <f t="shared" si="10"/>
        <v>0</v>
      </c>
      <c r="Y26" s="23">
        <f t="shared" si="10"/>
        <v>0</v>
      </c>
      <c r="Z26" s="23">
        <f t="shared" si="10"/>
        <v>0</v>
      </c>
      <c r="AA26" s="23">
        <f t="shared" si="10"/>
        <v>0</v>
      </c>
      <c r="AB26" s="23">
        <f t="shared" si="10"/>
        <v>0</v>
      </c>
      <c r="AC26" s="23">
        <f t="shared" si="10"/>
        <v>0</v>
      </c>
      <c r="AD26" s="23">
        <f t="shared" si="10"/>
        <v>0</v>
      </c>
      <c r="AE26" s="23">
        <f t="shared" si="10"/>
        <v>0</v>
      </c>
      <c r="AF26" s="23">
        <f t="shared" si="10"/>
        <v>0</v>
      </c>
      <c r="AG26" s="23">
        <f t="shared" si="10"/>
        <v>0</v>
      </c>
      <c r="AH26" s="23">
        <f t="shared" si="10"/>
        <v>0</v>
      </c>
      <c r="AI26" s="23" t="s">
        <v>45</v>
      </c>
    </row>
    <row r="27" spans="2:41" ht="9.75" customHeight="1" x14ac:dyDescent="0.3">
      <c r="B27" s="24"/>
      <c r="C27" s="24"/>
      <c r="D27" s="20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</row>
    <row r="28" spans="2:41" ht="18.75" x14ac:dyDescent="0.3">
      <c r="B28" s="45" t="s">
        <v>53</v>
      </c>
      <c r="C28" s="46"/>
      <c r="D28" s="20"/>
      <c r="E28" s="25">
        <f>SUM(E21:E23)</f>
        <v>9</v>
      </c>
      <c r="F28" s="25">
        <f t="shared" ref="F28:AH28" si="11">SUM(F21:F23)</f>
        <v>9</v>
      </c>
      <c r="G28" s="25">
        <f t="shared" si="11"/>
        <v>9</v>
      </c>
      <c r="H28" s="25">
        <f t="shared" si="11"/>
        <v>9</v>
      </c>
      <c r="I28" s="25">
        <f t="shared" si="11"/>
        <v>9</v>
      </c>
      <c r="J28" s="25">
        <f t="shared" si="11"/>
        <v>9</v>
      </c>
      <c r="K28" s="25">
        <f t="shared" si="11"/>
        <v>9</v>
      </c>
      <c r="L28" s="25">
        <f t="shared" si="11"/>
        <v>9</v>
      </c>
      <c r="M28" s="25">
        <f t="shared" si="11"/>
        <v>9</v>
      </c>
      <c r="N28" s="25">
        <f t="shared" si="11"/>
        <v>9</v>
      </c>
      <c r="O28" s="25">
        <f t="shared" si="11"/>
        <v>9</v>
      </c>
      <c r="P28" s="25">
        <f t="shared" si="11"/>
        <v>9</v>
      </c>
      <c r="Q28" s="25">
        <f t="shared" si="11"/>
        <v>9</v>
      </c>
      <c r="R28" s="25">
        <f t="shared" si="11"/>
        <v>9</v>
      </c>
      <c r="S28" s="25">
        <f t="shared" si="11"/>
        <v>9</v>
      </c>
      <c r="T28" s="25">
        <f t="shared" si="11"/>
        <v>9</v>
      </c>
      <c r="U28" s="25">
        <f t="shared" si="11"/>
        <v>9</v>
      </c>
      <c r="V28" s="25">
        <f t="shared" si="11"/>
        <v>9</v>
      </c>
      <c r="W28" s="25">
        <f t="shared" si="11"/>
        <v>9</v>
      </c>
      <c r="X28" s="25">
        <f t="shared" si="11"/>
        <v>9</v>
      </c>
      <c r="Y28" s="25">
        <f t="shared" si="11"/>
        <v>9</v>
      </c>
      <c r="Z28" s="25">
        <f t="shared" si="11"/>
        <v>9</v>
      </c>
      <c r="AA28" s="25">
        <f t="shared" si="11"/>
        <v>9</v>
      </c>
      <c r="AB28" s="25">
        <f t="shared" si="11"/>
        <v>9</v>
      </c>
      <c r="AC28" s="25">
        <f t="shared" si="11"/>
        <v>9</v>
      </c>
      <c r="AD28" s="25">
        <f t="shared" si="11"/>
        <v>9</v>
      </c>
      <c r="AE28" s="25">
        <f t="shared" si="11"/>
        <v>9</v>
      </c>
      <c r="AF28" s="25">
        <f t="shared" si="11"/>
        <v>9</v>
      </c>
      <c r="AG28" s="25">
        <f t="shared" si="11"/>
        <v>9</v>
      </c>
      <c r="AH28" s="25">
        <f t="shared" si="11"/>
        <v>9</v>
      </c>
      <c r="AI28" s="25" t="s">
        <v>45</v>
      </c>
    </row>
    <row r="29" spans="2:41" ht="18.75" x14ac:dyDescent="0.3">
      <c r="B29" s="45" t="s">
        <v>40</v>
      </c>
      <c r="C29" s="46"/>
      <c r="D29" s="20"/>
      <c r="E29" s="21">
        <v>9</v>
      </c>
      <c r="F29" s="21">
        <v>9</v>
      </c>
      <c r="G29" s="21">
        <v>9</v>
      </c>
      <c r="H29" s="21">
        <v>9</v>
      </c>
      <c r="I29" s="21">
        <v>9</v>
      </c>
      <c r="J29" s="21">
        <v>9</v>
      </c>
      <c r="K29" s="21">
        <v>9</v>
      </c>
      <c r="L29" s="21">
        <v>9</v>
      </c>
      <c r="M29" s="21">
        <v>9</v>
      </c>
      <c r="N29" s="21">
        <v>9</v>
      </c>
      <c r="O29" s="21">
        <v>9</v>
      </c>
      <c r="P29" s="21">
        <v>9</v>
      </c>
      <c r="Q29" s="21">
        <v>9</v>
      </c>
      <c r="R29" s="21">
        <v>9</v>
      </c>
      <c r="S29" s="21">
        <v>9</v>
      </c>
      <c r="T29" s="21">
        <v>9</v>
      </c>
      <c r="U29" s="21">
        <v>9</v>
      </c>
      <c r="V29" s="21">
        <v>9</v>
      </c>
      <c r="W29" s="21">
        <v>9</v>
      </c>
      <c r="X29" s="21">
        <v>9</v>
      </c>
      <c r="Y29" s="21">
        <v>9</v>
      </c>
      <c r="Z29" s="21">
        <v>9</v>
      </c>
      <c r="AA29" s="21">
        <v>9</v>
      </c>
      <c r="AB29" s="21">
        <v>9</v>
      </c>
      <c r="AC29" s="21">
        <v>9</v>
      </c>
      <c r="AD29" s="21">
        <v>9</v>
      </c>
      <c r="AE29" s="21">
        <v>9</v>
      </c>
      <c r="AF29" s="21">
        <v>9</v>
      </c>
      <c r="AG29" s="21">
        <v>9</v>
      </c>
      <c r="AH29" s="21">
        <v>9</v>
      </c>
      <c r="AI29" s="21" t="s">
        <v>45</v>
      </c>
    </row>
    <row r="30" spans="2:41" ht="18.75" x14ac:dyDescent="0.3">
      <c r="B30" s="45" t="s">
        <v>54</v>
      </c>
      <c r="C30" s="46"/>
      <c r="D30" s="20"/>
      <c r="E30" s="21">
        <v>15</v>
      </c>
      <c r="F30" s="21">
        <v>15</v>
      </c>
      <c r="G30" s="21">
        <v>15</v>
      </c>
      <c r="H30" s="21">
        <v>15</v>
      </c>
      <c r="I30" s="21">
        <v>15</v>
      </c>
      <c r="J30" s="21">
        <v>15</v>
      </c>
      <c r="K30" s="21">
        <v>15</v>
      </c>
      <c r="L30" s="21">
        <v>15</v>
      </c>
      <c r="M30" s="21">
        <v>15</v>
      </c>
      <c r="N30" s="21">
        <v>15</v>
      </c>
      <c r="O30" s="21">
        <v>15</v>
      </c>
      <c r="P30" s="21">
        <v>15</v>
      </c>
      <c r="Q30" s="21">
        <v>15</v>
      </c>
      <c r="R30" s="21">
        <v>15</v>
      </c>
      <c r="S30" s="21">
        <v>15</v>
      </c>
      <c r="T30" s="21">
        <v>15</v>
      </c>
      <c r="U30" s="21">
        <v>15</v>
      </c>
      <c r="V30" s="21">
        <v>15</v>
      </c>
      <c r="W30" s="21">
        <v>15</v>
      </c>
      <c r="X30" s="21">
        <v>15</v>
      </c>
      <c r="Y30" s="21">
        <v>15</v>
      </c>
      <c r="Z30" s="21">
        <v>15</v>
      </c>
      <c r="AA30" s="21">
        <v>15</v>
      </c>
      <c r="AB30" s="21">
        <v>15</v>
      </c>
      <c r="AC30" s="21">
        <v>15</v>
      </c>
      <c r="AD30" s="21">
        <v>15</v>
      </c>
      <c r="AE30" s="21">
        <v>15</v>
      </c>
      <c r="AF30" s="21">
        <v>15</v>
      </c>
      <c r="AG30" s="21">
        <v>15</v>
      </c>
      <c r="AH30" s="21">
        <v>15</v>
      </c>
      <c r="AI30" s="21" t="s">
        <v>45</v>
      </c>
    </row>
  </sheetData>
  <mergeCells count="32">
    <mergeCell ref="B28:C28"/>
    <mergeCell ref="B29:C29"/>
    <mergeCell ref="B30:C30"/>
    <mergeCell ref="B22:C22"/>
    <mergeCell ref="B23:C23"/>
    <mergeCell ref="B24:C24"/>
    <mergeCell ref="B25:C25"/>
    <mergeCell ref="B26:C26"/>
    <mergeCell ref="E27:AI27"/>
    <mergeCell ref="B16:C16"/>
    <mergeCell ref="B17:C17"/>
    <mergeCell ref="B18:C18"/>
    <mergeCell ref="B19:C19"/>
    <mergeCell ref="B21:C21"/>
    <mergeCell ref="B15:C15"/>
    <mergeCell ref="B3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O2:AO4"/>
    <mergeCell ref="E2:AI2"/>
    <mergeCell ref="AK2:AK4"/>
    <mergeCell ref="AL2:AL4"/>
    <mergeCell ref="AM2:AM4"/>
    <mergeCell ref="AN2:AN4"/>
  </mergeCells>
  <conditionalFormatting sqref="F5:AH5 E6:AH19">
    <cfRule type="containsText" dxfId="1101" priority="9" operator="containsText" text="STM1">
      <formula>NOT(ISERROR(SEARCH("STM1",E5)))</formula>
    </cfRule>
    <cfRule type="containsText" dxfId="1100" priority="10" operator="containsText" text="STA">
      <formula>NOT(ISERROR(SEARCH("STA",E5)))</formula>
    </cfRule>
    <cfRule type="containsText" dxfId="1099" priority="11" operator="containsText" text="STM1">
      <formula>NOT(ISERROR(SEARCH("STM1",E5)))</formula>
    </cfRule>
    <cfRule type="containsText" dxfId="1098" priority="12" operator="containsText" text="O">
      <formula>NOT(ISERROR(SEARCH("O",E5)))</formula>
    </cfRule>
    <cfRule type="containsText" dxfId="1097" priority="13" operator="containsText" text="N">
      <formula>NOT(ISERROR(SEARCH("N",E5)))</formula>
    </cfRule>
    <cfRule type="containsText" dxfId="1096" priority="14" operator="containsText" text="A">
      <formula>NOT(ISERROR(SEARCH("A",E5)))</formula>
    </cfRule>
    <cfRule type="containsText" dxfId="1095" priority="15" operator="containsText" text="M">
      <formula>NOT(ISERROR(SEARCH("M",E5)))</formula>
    </cfRule>
  </conditionalFormatting>
  <conditionalFormatting sqref="E5:AH19">
    <cfRule type="containsText" dxfId="1094" priority="1" operator="containsText" text="STN">
      <formula>NOT(ISERROR(SEARCH("STN",E5)))</formula>
    </cfRule>
    <cfRule type="containsText" dxfId="1093" priority="2" operator="containsText" text="STN">
      <formula>NOT(ISERROR(SEARCH("STN",E5)))</formula>
    </cfRule>
    <cfRule type="containsText" dxfId="1092" priority="3" operator="containsText" text="STM">
      <formula>NOT(ISERROR(SEARCH("STM",E5)))</formula>
    </cfRule>
    <cfRule type="containsText" dxfId="1091" priority="4" operator="containsText" text="M">
      <formula>NOT(ISERROR(SEARCH("M",E5)))</formula>
    </cfRule>
    <cfRule type="containsText" dxfId="1090" priority="5" operator="containsText" text="STM1">
      <formula>NOT(ISERROR(SEARCH("STM1",E5)))</formula>
    </cfRule>
    <cfRule type="containsText" dxfId="1089" priority="6" operator="containsText" text="M">
      <formula>NOT(ISERROR(SEARCH("M",E5)))</formula>
    </cfRule>
    <cfRule type="containsText" dxfId="1088" priority="7" operator="containsText" text="STM">
      <formula>NOT(ISERROR(SEARCH("STM",E5)))</formula>
    </cfRule>
    <cfRule type="containsText" dxfId="1087" priority="8" operator="containsText" text="STM">
      <formula>NOT(ISERROR(SEARCH("STM",E5)))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AD26-0D20-4005-90E5-D9F9BE1489AD}">
  <dimension ref="B2:AO19"/>
  <sheetViews>
    <sheetView workbookViewId="0">
      <selection activeCell="G27" sqref="G27"/>
    </sheetView>
  </sheetViews>
  <sheetFormatPr defaultRowHeight="15.75" x14ac:dyDescent="0.25"/>
  <cols>
    <col min="1" max="1" width="3.42578125" style="1" customWidth="1"/>
    <col min="2" max="2" width="12.85546875" style="1" customWidth="1"/>
    <col min="3" max="3" width="27.710937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2.25" x14ac:dyDescent="0.5">
      <c r="E2" s="54" t="s">
        <v>85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6"/>
      <c r="AK2" s="36" t="s">
        <v>63</v>
      </c>
      <c r="AL2" s="36" t="s">
        <v>64</v>
      </c>
      <c r="AM2" s="36" t="s">
        <v>67</v>
      </c>
      <c r="AN2" s="36" t="s">
        <v>65</v>
      </c>
      <c r="AO2" s="36" t="s">
        <v>66</v>
      </c>
    </row>
    <row r="3" spans="2:41" ht="39" x14ac:dyDescent="0.3">
      <c r="B3" s="41" t="s">
        <v>56</v>
      </c>
      <c r="C3" s="42"/>
      <c r="E3" s="12" t="s">
        <v>46</v>
      </c>
      <c r="F3" s="13" t="s">
        <v>47</v>
      </c>
      <c r="G3" s="13" t="s">
        <v>48</v>
      </c>
      <c r="H3" s="13" t="s">
        <v>49</v>
      </c>
      <c r="I3" s="13" t="s">
        <v>50</v>
      </c>
      <c r="J3" s="13" t="s">
        <v>51</v>
      </c>
      <c r="K3" s="13" t="s">
        <v>52</v>
      </c>
      <c r="L3" s="13" t="s">
        <v>46</v>
      </c>
      <c r="M3" s="13" t="s">
        <v>47</v>
      </c>
      <c r="N3" s="13" t="s">
        <v>48</v>
      </c>
      <c r="O3" s="13" t="s">
        <v>49</v>
      </c>
      <c r="P3" s="13" t="s">
        <v>50</v>
      </c>
      <c r="Q3" s="13" t="s">
        <v>51</v>
      </c>
      <c r="R3" s="13" t="s">
        <v>52</v>
      </c>
      <c r="S3" s="13" t="s">
        <v>46</v>
      </c>
      <c r="T3" s="13" t="s">
        <v>47</v>
      </c>
      <c r="U3" s="13" t="s">
        <v>48</v>
      </c>
      <c r="V3" s="13" t="s">
        <v>49</v>
      </c>
      <c r="W3" s="13" t="s">
        <v>50</v>
      </c>
      <c r="X3" s="13" t="s">
        <v>51</v>
      </c>
      <c r="Y3" s="13" t="s">
        <v>52</v>
      </c>
      <c r="Z3" s="13" t="s">
        <v>46</v>
      </c>
      <c r="AA3" s="13" t="s">
        <v>47</v>
      </c>
      <c r="AB3" s="13" t="s">
        <v>48</v>
      </c>
      <c r="AC3" s="13" t="s">
        <v>49</v>
      </c>
      <c r="AD3" s="13" t="s">
        <v>50</v>
      </c>
      <c r="AE3" s="13" t="s">
        <v>51</v>
      </c>
      <c r="AF3" s="13" t="s">
        <v>52</v>
      </c>
      <c r="AG3" s="13" t="s">
        <v>46</v>
      </c>
      <c r="AH3" s="14" t="s">
        <v>47</v>
      </c>
      <c r="AI3" s="15"/>
      <c r="AK3" s="37"/>
      <c r="AL3" s="37"/>
      <c r="AM3" s="37"/>
      <c r="AN3" s="37"/>
      <c r="AO3" s="37"/>
    </row>
    <row r="4" spans="2:41" ht="19.5" thickBot="1" x14ac:dyDescent="0.35">
      <c r="B4" s="43"/>
      <c r="C4" s="44"/>
      <c r="E4" s="16">
        <v>1</v>
      </c>
      <c r="F4" s="17">
        <v>2</v>
      </c>
      <c r="G4" s="17">
        <v>3</v>
      </c>
      <c r="H4" s="17">
        <v>4</v>
      </c>
      <c r="I4" s="17">
        <v>5</v>
      </c>
      <c r="J4" s="17">
        <v>6</v>
      </c>
      <c r="K4" s="17">
        <v>7</v>
      </c>
      <c r="L4" s="17">
        <v>8</v>
      </c>
      <c r="M4" s="17">
        <v>9</v>
      </c>
      <c r="N4" s="17">
        <v>10</v>
      </c>
      <c r="O4" s="17">
        <v>11</v>
      </c>
      <c r="P4" s="17">
        <v>12</v>
      </c>
      <c r="Q4" s="17">
        <v>13</v>
      </c>
      <c r="R4" s="17">
        <v>14</v>
      </c>
      <c r="S4" s="17">
        <v>15</v>
      </c>
      <c r="T4" s="17">
        <v>16</v>
      </c>
      <c r="U4" s="17">
        <v>17</v>
      </c>
      <c r="V4" s="17">
        <v>18</v>
      </c>
      <c r="W4" s="17">
        <v>19</v>
      </c>
      <c r="X4" s="17">
        <v>20</v>
      </c>
      <c r="Y4" s="17">
        <v>21</v>
      </c>
      <c r="Z4" s="17">
        <v>22</v>
      </c>
      <c r="AA4" s="17">
        <v>23</v>
      </c>
      <c r="AB4" s="17">
        <v>24</v>
      </c>
      <c r="AC4" s="17">
        <v>25</v>
      </c>
      <c r="AD4" s="17">
        <v>26</v>
      </c>
      <c r="AE4" s="17">
        <v>27</v>
      </c>
      <c r="AF4" s="17">
        <v>28</v>
      </c>
      <c r="AG4" s="17">
        <v>29</v>
      </c>
      <c r="AH4" s="18">
        <v>30</v>
      </c>
      <c r="AI4" s="19"/>
      <c r="AK4" s="38"/>
      <c r="AL4" s="38"/>
      <c r="AM4" s="38"/>
      <c r="AN4" s="38"/>
      <c r="AO4" s="38"/>
    </row>
    <row r="5" spans="2:41" ht="18.75" x14ac:dyDescent="0.25">
      <c r="B5" s="47" t="s">
        <v>86</v>
      </c>
      <c r="C5" s="48"/>
      <c r="E5" s="1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 t="s">
        <v>5</v>
      </c>
      <c r="Y5" s="7" t="s">
        <v>0</v>
      </c>
      <c r="Z5" s="7" t="s">
        <v>1</v>
      </c>
      <c r="AA5" s="7" t="s">
        <v>70</v>
      </c>
      <c r="AB5" s="7" t="s">
        <v>2</v>
      </c>
      <c r="AC5" s="7" t="s">
        <v>44</v>
      </c>
      <c r="AD5" s="7" t="s">
        <v>5</v>
      </c>
      <c r="AE5" s="7" t="s">
        <v>6</v>
      </c>
      <c r="AF5" s="7" t="s">
        <v>0</v>
      </c>
      <c r="AG5" s="7" t="s">
        <v>1</v>
      </c>
      <c r="AH5" s="8" t="s">
        <v>70</v>
      </c>
      <c r="AI5" s="10"/>
      <c r="AK5" s="26">
        <f>COUNTIF($E5:$AI5,"ST*")</f>
        <v>0</v>
      </c>
      <c r="AL5" s="26">
        <f>COUNTIF($E5:$AI5,"M*")</f>
        <v>6</v>
      </c>
      <c r="AM5" s="26">
        <f>COUNTIF($E5:$AI5,"A*")</f>
        <v>2</v>
      </c>
      <c r="AN5" s="26">
        <f>COUNTIF($E5:$AI5,"N*")</f>
        <v>0</v>
      </c>
      <c r="AO5" s="26">
        <f>COUNTIF($E5:$AI5,"O*")</f>
        <v>3</v>
      </c>
    </row>
    <row r="6" spans="2:41" ht="18.75" x14ac:dyDescent="0.25">
      <c r="B6" s="47" t="s">
        <v>87</v>
      </c>
      <c r="C6" s="48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 t="s">
        <v>5</v>
      </c>
      <c r="S6" s="27" t="s">
        <v>1</v>
      </c>
      <c r="T6" s="27" t="s">
        <v>70</v>
      </c>
      <c r="U6" s="27" t="s">
        <v>2</v>
      </c>
      <c r="V6" s="27" t="s">
        <v>44</v>
      </c>
      <c r="W6" s="27" t="s">
        <v>5</v>
      </c>
      <c r="X6" s="27" t="s">
        <v>6</v>
      </c>
      <c r="Y6" s="27" t="s">
        <v>0</v>
      </c>
      <c r="Z6" s="27" t="s">
        <v>1</v>
      </c>
      <c r="AA6" s="27" t="s">
        <v>70</v>
      </c>
      <c r="AB6" s="27" t="s">
        <v>2</v>
      </c>
      <c r="AC6" s="27" t="s">
        <v>44</v>
      </c>
      <c r="AD6" s="27" t="s">
        <v>5</v>
      </c>
      <c r="AE6" s="27" t="s">
        <v>6</v>
      </c>
      <c r="AF6" s="27" t="s">
        <v>0</v>
      </c>
      <c r="AG6" s="27" t="s">
        <v>1</v>
      </c>
      <c r="AH6" s="9" t="s">
        <v>70</v>
      </c>
      <c r="AI6" s="2"/>
      <c r="AK6" s="26">
        <f t="shared" ref="AK6:AK8" si="0">COUNTIF($E6:$AI6,"ST*")</f>
        <v>0</v>
      </c>
      <c r="AL6" s="26">
        <f t="shared" ref="AL6:AL8" si="1">COUNTIF($E6:$AI6,"M*")</f>
        <v>8</v>
      </c>
      <c r="AM6" s="26">
        <f t="shared" ref="AM6:AM8" si="2">COUNTIF($E6:$AI6,"A*")</f>
        <v>4</v>
      </c>
      <c r="AN6" s="26">
        <f t="shared" ref="AN6:AN8" si="3">COUNTIF($E6:$AI6,"N*")</f>
        <v>0</v>
      </c>
      <c r="AO6" s="26">
        <f t="shared" ref="AO6:AO8" si="4">COUNTIF($E6:$AI6,"O*")</f>
        <v>5</v>
      </c>
    </row>
    <row r="7" spans="2:41" ht="18.75" x14ac:dyDescent="0.25">
      <c r="B7" s="47" t="s">
        <v>88</v>
      </c>
      <c r="C7" s="48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 t="s">
        <v>5</v>
      </c>
      <c r="S7" s="27" t="s">
        <v>44</v>
      </c>
      <c r="T7" s="27" t="s">
        <v>78</v>
      </c>
      <c r="U7" s="27" t="s">
        <v>0</v>
      </c>
      <c r="V7" s="27" t="s">
        <v>1</v>
      </c>
      <c r="W7" s="27" t="s">
        <v>5</v>
      </c>
      <c r="X7" s="27" t="s">
        <v>6</v>
      </c>
      <c r="Y7" s="27" t="s">
        <v>2</v>
      </c>
      <c r="Z7" s="27" t="s">
        <v>44</v>
      </c>
      <c r="AA7" s="27" t="s">
        <v>78</v>
      </c>
      <c r="AB7" s="27" t="s">
        <v>0</v>
      </c>
      <c r="AC7" s="27" t="s">
        <v>1</v>
      </c>
      <c r="AD7" s="27" t="s">
        <v>5</v>
      </c>
      <c r="AE7" s="27" t="s">
        <v>6</v>
      </c>
      <c r="AF7" s="27" t="s">
        <v>2</v>
      </c>
      <c r="AG7" s="27" t="s">
        <v>44</v>
      </c>
      <c r="AH7" s="9" t="s">
        <v>78</v>
      </c>
      <c r="AI7" s="2"/>
      <c r="AK7" s="26">
        <f t="shared" si="0"/>
        <v>0</v>
      </c>
      <c r="AL7" s="26">
        <f t="shared" si="1"/>
        <v>4</v>
      </c>
      <c r="AM7" s="26">
        <f t="shared" si="2"/>
        <v>8</v>
      </c>
      <c r="AN7" s="26">
        <f t="shared" si="3"/>
        <v>0</v>
      </c>
      <c r="AO7" s="26">
        <f t="shared" si="4"/>
        <v>5</v>
      </c>
    </row>
    <row r="8" spans="2:41" ht="18.75" x14ac:dyDescent="0.25">
      <c r="B8" s="47" t="s">
        <v>89</v>
      </c>
      <c r="C8" s="48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 t="s">
        <v>2</v>
      </c>
      <c r="S8" s="27" t="s">
        <v>44</v>
      </c>
      <c r="T8" s="27" t="s">
        <v>78</v>
      </c>
      <c r="U8" s="27" t="s">
        <v>0</v>
      </c>
      <c r="V8" s="27" t="s">
        <v>1</v>
      </c>
      <c r="W8" s="27" t="s">
        <v>5</v>
      </c>
      <c r="X8" s="27" t="s">
        <v>6</v>
      </c>
      <c r="Y8" s="27" t="s">
        <v>2</v>
      </c>
      <c r="Z8" s="27" t="s">
        <v>44</v>
      </c>
      <c r="AA8" s="27" t="s">
        <v>78</v>
      </c>
      <c r="AB8" s="27" t="s">
        <v>0</v>
      </c>
      <c r="AC8" s="27" t="s">
        <v>1</v>
      </c>
      <c r="AD8" s="27" t="s">
        <v>5</v>
      </c>
      <c r="AE8" s="27" t="s">
        <v>6</v>
      </c>
      <c r="AF8" s="27" t="s">
        <v>2</v>
      </c>
      <c r="AG8" s="27" t="s">
        <v>44</v>
      </c>
      <c r="AH8" s="9" t="s">
        <v>78</v>
      </c>
      <c r="AI8" s="2"/>
      <c r="AK8" s="26">
        <f t="shared" si="0"/>
        <v>0</v>
      </c>
      <c r="AL8" s="26">
        <f t="shared" si="1"/>
        <v>4</v>
      </c>
      <c r="AM8" s="26">
        <f t="shared" si="2"/>
        <v>9</v>
      </c>
      <c r="AN8" s="26">
        <f t="shared" si="3"/>
        <v>0</v>
      </c>
      <c r="AO8" s="26">
        <f t="shared" si="4"/>
        <v>4</v>
      </c>
    </row>
    <row r="9" spans="2:41" x14ac:dyDescent="0.25">
      <c r="E9" s="3" t="s">
        <v>45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2:41" ht="18.75" x14ac:dyDescent="0.3">
      <c r="B10" s="45" t="s">
        <v>41</v>
      </c>
      <c r="C10" s="46"/>
      <c r="D10" s="20"/>
      <c r="E10" s="21">
        <f t="shared" ref="E10:AH10" si="5">COUNTIF(E$5:E$8,"M*")</f>
        <v>0</v>
      </c>
      <c r="F10" s="21">
        <f t="shared" si="5"/>
        <v>0</v>
      </c>
      <c r="G10" s="21">
        <f t="shared" si="5"/>
        <v>0</v>
      </c>
      <c r="H10" s="21">
        <f t="shared" si="5"/>
        <v>0</v>
      </c>
      <c r="I10" s="21">
        <f t="shared" si="5"/>
        <v>0</v>
      </c>
      <c r="J10" s="21">
        <f t="shared" si="5"/>
        <v>0</v>
      </c>
      <c r="K10" s="21">
        <f t="shared" si="5"/>
        <v>0</v>
      </c>
      <c r="L10" s="21">
        <f t="shared" si="5"/>
        <v>0</v>
      </c>
      <c r="M10" s="21">
        <f t="shared" si="5"/>
        <v>0</v>
      </c>
      <c r="N10" s="21">
        <f t="shared" si="5"/>
        <v>0</v>
      </c>
      <c r="O10" s="21">
        <f t="shared" si="5"/>
        <v>0</v>
      </c>
      <c r="P10" s="21">
        <f t="shared" si="5"/>
        <v>0</v>
      </c>
      <c r="Q10" s="21">
        <f t="shared" si="5"/>
        <v>0</v>
      </c>
      <c r="R10" s="21">
        <f t="shared" si="5"/>
        <v>0</v>
      </c>
      <c r="S10" s="21">
        <f t="shared" si="5"/>
        <v>1</v>
      </c>
      <c r="T10" s="21">
        <f t="shared" si="5"/>
        <v>1</v>
      </c>
      <c r="U10" s="21">
        <f t="shared" si="5"/>
        <v>2</v>
      </c>
      <c r="V10" s="21">
        <f t="shared" si="5"/>
        <v>2</v>
      </c>
      <c r="W10" s="21">
        <f t="shared" si="5"/>
        <v>0</v>
      </c>
      <c r="X10" s="21">
        <f t="shared" si="5"/>
        <v>0</v>
      </c>
      <c r="Y10" s="21">
        <f t="shared" si="5"/>
        <v>2</v>
      </c>
      <c r="Z10" s="21">
        <f t="shared" si="5"/>
        <v>2</v>
      </c>
      <c r="AA10" s="21">
        <f t="shared" si="5"/>
        <v>2</v>
      </c>
      <c r="AB10" s="21">
        <f t="shared" si="5"/>
        <v>2</v>
      </c>
      <c r="AC10" s="21">
        <f t="shared" si="5"/>
        <v>2</v>
      </c>
      <c r="AD10" s="21">
        <f t="shared" si="5"/>
        <v>0</v>
      </c>
      <c r="AE10" s="21">
        <f t="shared" si="5"/>
        <v>0</v>
      </c>
      <c r="AF10" s="21">
        <f t="shared" si="5"/>
        <v>2</v>
      </c>
      <c r="AG10" s="21">
        <f t="shared" si="5"/>
        <v>2</v>
      </c>
      <c r="AH10" s="21">
        <f t="shared" si="5"/>
        <v>2</v>
      </c>
      <c r="AI10" s="21" t="s">
        <v>45</v>
      </c>
    </row>
    <row r="11" spans="2:41" ht="18.75" x14ac:dyDescent="0.3">
      <c r="B11" s="45" t="s">
        <v>42</v>
      </c>
      <c r="C11" s="46"/>
      <c r="D11" s="20"/>
      <c r="E11" s="21">
        <f t="shared" ref="E11:AH11" si="6">COUNTIF(E$5:E$8,"A*")</f>
        <v>0</v>
      </c>
      <c r="F11" s="21">
        <f t="shared" si="6"/>
        <v>0</v>
      </c>
      <c r="G11" s="21">
        <f t="shared" si="6"/>
        <v>0</v>
      </c>
      <c r="H11" s="21">
        <f t="shared" si="6"/>
        <v>0</v>
      </c>
      <c r="I11" s="21">
        <f t="shared" si="6"/>
        <v>0</v>
      </c>
      <c r="J11" s="21">
        <f t="shared" si="6"/>
        <v>0</v>
      </c>
      <c r="K11" s="21">
        <f t="shared" si="6"/>
        <v>0</v>
      </c>
      <c r="L11" s="21">
        <f t="shared" si="6"/>
        <v>0</v>
      </c>
      <c r="M11" s="21">
        <f t="shared" si="6"/>
        <v>0</v>
      </c>
      <c r="N11" s="21">
        <f t="shared" si="6"/>
        <v>0</v>
      </c>
      <c r="O11" s="21">
        <f t="shared" si="6"/>
        <v>0</v>
      </c>
      <c r="P11" s="21">
        <f t="shared" si="6"/>
        <v>0</v>
      </c>
      <c r="Q11" s="21">
        <f t="shared" si="6"/>
        <v>0</v>
      </c>
      <c r="R11" s="21">
        <f t="shared" si="6"/>
        <v>1</v>
      </c>
      <c r="S11" s="21">
        <f t="shared" si="6"/>
        <v>2</v>
      </c>
      <c r="T11" s="21">
        <f t="shared" si="6"/>
        <v>2</v>
      </c>
      <c r="U11" s="21">
        <f t="shared" si="6"/>
        <v>1</v>
      </c>
      <c r="V11" s="21">
        <f t="shared" si="6"/>
        <v>1</v>
      </c>
      <c r="W11" s="21">
        <f t="shared" si="6"/>
        <v>0</v>
      </c>
      <c r="X11" s="21">
        <f t="shared" si="6"/>
        <v>0</v>
      </c>
      <c r="Y11" s="21">
        <f t="shared" si="6"/>
        <v>2</v>
      </c>
      <c r="Z11" s="21">
        <f t="shared" si="6"/>
        <v>2</v>
      </c>
      <c r="AA11" s="21">
        <f t="shared" si="6"/>
        <v>2</v>
      </c>
      <c r="AB11" s="21">
        <f t="shared" si="6"/>
        <v>2</v>
      </c>
      <c r="AC11" s="21">
        <f t="shared" si="6"/>
        <v>2</v>
      </c>
      <c r="AD11" s="21">
        <f t="shared" si="6"/>
        <v>0</v>
      </c>
      <c r="AE11" s="21">
        <f t="shared" si="6"/>
        <v>0</v>
      </c>
      <c r="AF11" s="21">
        <f t="shared" si="6"/>
        <v>2</v>
      </c>
      <c r="AG11" s="21">
        <f t="shared" si="6"/>
        <v>2</v>
      </c>
      <c r="AH11" s="21">
        <f t="shared" si="6"/>
        <v>2</v>
      </c>
      <c r="AI11" s="21" t="s">
        <v>45</v>
      </c>
    </row>
    <row r="12" spans="2:41" ht="18.75" x14ac:dyDescent="0.3">
      <c r="B12" s="45" t="s">
        <v>8</v>
      </c>
      <c r="C12" s="46"/>
      <c r="D12" s="20"/>
      <c r="E12" s="21">
        <f t="shared" ref="E12:AH12" si="7">COUNTIF(E$5:E$8,"N*")</f>
        <v>0</v>
      </c>
      <c r="F12" s="21">
        <f t="shared" si="7"/>
        <v>0</v>
      </c>
      <c r="G12" s="21">
        <f t="shared" si="7"/>
        <v>0</v>
      </c>
      <c r="H12" s="21">
        <f t="shared" si="7"/>
        <v>0</v>
      </c>
      <c r="I12" s="21">
        <f t="shared" si="7"/>
        <v>0</v>
      </c>
      <c r="J12" s="21">
        <f t="shared" si="7"/>
        <v>0</v>
      </c>
      <c r="K12" s="21">
        <f t="shared" si="7"/>
        <v>0</v>
      </c>
      <c r="L12" s="21">
        <f t="shared" si="7"/>
        <v>0</v>
      </c>
      <c r="M12" s="21">
        <f t="shared" si="7"/>
        <v>0</v>
      </c>
      <c r="N12" s="21">
        <f t="shared" si="7"/>
        <v>0</v>
      </c>
      <c r="O12" s="21">
        <f t="shared" si="7"/>
        <v>0</v>
      </c>
      <c r="P12" s="21">
        <f t="shared" si="7"/>
        <v>0</v>
      </c>
      <c r="Q12" s="21">
        <f t="shared" si="7"/>
        <v>0</v>
      </c>
      <c r="R12" s="21">
        <f t="shared" si="7"/>
        <v>0</v>
      </c>
      <c r="S12" s="21">
        <f t="shared" si="7"/>
        <v>0</v>
      </c>
      <c r="T12" s="21">
        <f t="shared" si="7"/>
        <v>0</v>
      </c>
      <c r="U12" s="21">
        <f t="shared" si="7"/>
        <v>0</v>
      </c>
      <c r="V12" s="21">
        <f t="shared" si="7"/>
        <v>0</v>
      </c>
      <c r="W12" s="21">
        <f t="shared" si="7"/>
        <v>0</v>
      </c>
      <c r="X12" s="21">
        <f t="shared" si="7"/>
        <v>0</v>
      </c>
      <c r="Y12" s="21">
        <f t="shared" si="7"/>
        <v>0</v>
      </c>
      <c r="Z12" s="21">
        <f t="shared" si="7"/>
        <v>0</v>
      </c>
      <c r="AA12" s="21">
        <f t="shared" si="7"/>
        <v>0</v>
      </c>
      <c r="AB12" s="21">
        <f t="shared" si="7"/>
        <v>0</v>
      </c>
      <c r="AC12" s="21">
        <f t="shared" si="7"/>
        <v>0</v>
      </c>
      <c r="AD12" s="21">
        <f t="shared" si="7"/>
        <v>0</v>
      </c>
      <c r="AE12" s="21">
        <f t="shared" si="7"/>
        <v>0</v>
      </c>
      <c r="AF12" s="21">
        <f t="shared" si="7"/>
        <v>0</v>
      </c>
      <c r="AG12" s="21">
        <f t="shared" si="7"/>
        <v>0</v>
      </c>
      <c r="AH12" s="21">
        <f t="shared" si="7"/>
        <v>0</v>
      </c>
      <c r="AI12" s="21" t="s">
        <v>45</v>
      </c>
    </row>
    <row r="13" spans="2:41" ht="18.75" x14ac:dyDescent="0.3">
      <c r="B13" s="45" t="s">
        <v>9</v>
      </c>
      <c r="C13" s="46"/>
      <c r="D13" s="20"/>
      <c r="E13" s="21">
        <f t="shared" ref="E13:AH13" si="8">COUNTIF(E$5:E$8,"O*")</f>
        <v>0</v>
      </c>
      <c r="F13" s="21">
        <f t="shared" si="8"/>
        <v>0</v>
      </c>
      <c r="G13" s="21">
        <f t="shared" si="8"/>
        <v>0</v>
      </c>
      <c r="H13" s="21">
        <f t="shared" si="8"/>
        <v>0</v>
      </c>
      <c r="I13" s="21">
        <f t="shared" si="8"/>
        <v>0</v>
      </c>
      <c r="J13" s="21">
        <f t="shared" si="8"/>
        <v>0</v>
      </c>
      <c r="K13" s="21">
        <f t="shared" si="8"/>
        <v>0</v>
      </c>
      <c r="L13" s="21">
        <f t="shared" si="8"/>
        <v>0</v>
      </c>
      <c r="M13" s="21">
        <f t="shared" si="8"/>
        <v>0</v>
      </c>
      <c r="N13" s="21">
        <f t="shared" si="8"/>
        <v>0</v>
      </c>
      <c r="O13" s="21">
        <f t="shared" si="8"/>
        <v>0</v>
      </c>
      <c r="P13" s="21">
        <f t="shared" si="8"/>
        <v>0</v>
      </c>
      <c r="Q13" s="21">
        <f t="shared" si="8"/>
        <v>0</v>
      </c>
      <c r="R13" s="21">
        <f t="shared" si="8"/>
        <v>2</v>
      </c>
      <c r="S13" s="21">
        <f t="shared" si="8"/>
        <v>0</v>
      </c>
      <c r="T13" s="21">
        <f t="shared" si="8"/>
        <v>0</v>
      </c>
      <c r="U13" s="21">
        <f t="shared" si="8"/>
        <v>0</v>
      </c>
      <c r="V13" s="21">
        <f t="shared" si="8"/>
        <v>0</v>
      </c>
      <c r="W13" s="21">
        <f t="shared" si="8"/>
        <v>3</v>
      </c>
      <c r="X13" s="21">
        <f t="shared" si="8"/>
        <v>4</v>
      </c>
      <c r="Y13" s="21">
        <f t="shared" si="8"/>
        <v>0</v>
      </c>
      <c r="Z13" s="21">
        <f t="shared" si="8"/>
        <v>0</v>
      </c>
      <c r="AA13" s="21">
        <f t="shared" si="8"/>
        <v>0</v>
      </c>
      <c r="AB13" s="21">
        <f t="shared" si="8"/>
        <v>0</v>
      </c>
      <c r="AC13" s="21">
        <f t="shared" si="8"/>
        <v>0</v>
      </c>
      <c r="AD13" s="21">
        <f t="shared" si="8"/>
        <v>4</v>
      </c>
      <c r="AE13" s="21">
        <f t="shared" si="8"/>
        <v>4</v>
      </c>
      <c r="AF13" s="21">
        <f t="shared" si="8"/>
        <v>0</v>
      </c>
      <c r="AG13" s="21">
        <f t="shared" si="8"/>
        <v>0</v>
      </c>
      <c r="AH13" s="21">
        <f t="shared" si="8"/>
        <v>0</v>
      </c>
      <c r="AI13" s="21" t="s">
        <v>45</v>
      </c>
    </row>
    <row r="14" spans="2:41" ht="18.75" x14ac:dyDescent="0.3">
      <c r="B14" s="45" t="s">
        <v>57</v>
      </c>
      <c r="C14" s="46"/>
      <c r="D14" s="20"/>
      <c r="E14" s="21">
        <f t="shared" ref="E14:AH14" si="9">COUNTIF(E$5:E$8,"ST*")</f>
        <v>0</v>
      </c>
      <c r="F14" s="21">
        <f t="shared" si="9"/>
        <v>0</v>
      </c>
      <c r="G14" s="21">
        <f t="shared" si="9"/>
        <v>0</v>
      </c>
      <c r="H14" s="21">
        <f t="shared" si="9"/>
        <v>0</v>
      </c>
      <c r="I14" s="21">
        <f t="shared" si="9"/>
        <v>0</v>
      </c>
      <c r="J14" s="21">
        <f t="shared" si="9"/>
        <v>0</v>
      </c>
      <c r="K14" s="21">
        <f t="shared" si="9"/>
        <v>0</v>
      </c>
      <c r="L14" s="21">
        <f t="shared" si="9"/>
        <v>0</v>
      </c>
      <c r="M14" s="21">
        <f t="shared" si="9"/>
        <v>0</v>
      </c>
      <c r="N14" s="21">
        <f t="shared" si="9"/>
        <v>0</v>
      </c>
      <c r="O14" s="21">
        <f t="shared" si="9"/>
        <v>0</v>
      </c>
      <c r="P14" s="21">
        <f t="shared" si="9"/>
        <v>0</v>
      </c>
      <c r="Q14" s="21">
        <f t="shared" si="9"/>
        <v>0</v>
      </c>
      <c r="R14" s="21">
        <f t="shared" si="9"/>
        <v>0</v>
      </c>
      <c r="S14" s="21">
        <f t="shared" si="9"/>
        <v>0</v>
      </c>
      <c r="T14" s="21">
        <f t="shared" si="9"/>
        <v>0</v>
      </c>
      <c r="U14" s="21">
        <f t="shared" si="9"/>
        <v>0</v>
      </c>
      <c r="V14" s="21">
        <f t="shared" si="9"/>
        <v>0</v>
      </c>
      <c r="W14" s="21">
        <f t="shared" si="9"/>
        <v>0</v>
      </c>
      <c r="X14" s="21">
        <f t="shared" si="9"/>
        <v>0</v>
      </c>
      <c r="Y14" s="21">
        <f t="shared" si="9"/>
        <v>0</v>
      </c>
      <c r="Z14" s="21">
        <f t="shared" si="9"/>
        <v>0</v>
      </c>
      <c r="AA14" s="21">
        <f t="shared" si="9"/>
        <v>0</v>
      </c>
      <c r="AB14" s="21">
        <f t="shared" si="9"/>
        <v>0</v>
      </c>
      <c r="AC14" s="21">
        <f t="shared" si="9"/>
        <v>0</v>
      </c>
      <c r="AD14" s="21">
        <f t="shared" si="9"/>
        <v>0</v>
      </c>
      <c r="AE14" s="21">
        <f t="shared" si="9"/>
        <v>0</v>
      </c>
      <c r="AF14" s="21">
        <f t="shared" si="9"/>
        <v>0</v>
      </c>
      <c r="AG14" s="21">
        <f t="shared" si="9"/>
        <v>0</v>
      </c>
      <c r="AH14" s="21">
        <f t="shared" si="9"/>
        <v>0</v>
      </c>
      <c r="AI14" s="21" t="s">
        <v>45</v>
      </c>
    </row>
    <row r="15" spans="2:41" ht="18.75" x14ac:dyDescent="0.3">
      <c r="B15" s="52" t="s">
        <v>55</v>
      </c>
      <c r="C15" s="53"/>
      <c r="D15" s="22"/>
      <c r="E15" s="23">
        <f>E17-E18</f>
        <v>-4</v>
      </c>
      <c r="F15" s="23">
        <f t="shared" ref="F15:AH15" si="10">F17-F18</f>
        <v>-4</v>
      </c>
      <c r="G15" s="23">
        <f t="shared" si="10"/>
        <v>-4</v>
      </c>
      <c r="H15" s="23">
        <f t="shared" si="10"/>
        <v>-4</v>
      </c>
      <c r="I15" s="23">
        <f t="shared" si="10"/>
        <v>-4</v>
      </c>
      <c r="J15" s="23">
        <f t="shared" si="10"/>
        <v>-4</v>
      </c>
      <c r="K15" s="23">
        <f t="shared" si="10"/>
        <v>-4</v>
      </c>
      <c r="L15" s="23">
        <f t="shared" si="10"/>
        <v>-4</v>
      </c>
      <c r="M15" s="23">
        <f t="shared" si="10"/>
        <v>-4</v>
      </c>
      <c r="N15" s="23">
        <f t="shared" si="10"/>
        <v>-4</v>
      </c>
      <c r="O15" s="23">
        <f t="shared" si="10"/>
        <v>-4</v>
      </c>
      <c r="P15" s="23">
        <f t="shared" si="10"/>
        <v>-4</v>
      </c>
      <c r="Q15" s="23">
        <f t="shared" si="10"/>
        <v>-4</v>
      </c>
      <c r="R15" s="23">
        <f t="shared" si="10"/>
        <v>-3</v>
      </c>
      <c r="S15" s="23">
        <f t="shared" si="10"/>
        <v>-1</v>
      </c>
      <c r="T15" s="23">
        <f t="shared" si="10"/>
        <v>-1</v>
      </c>
      <c r="U15" s="23">
        <f t="shared" si="10"/>
        <v>-1</v>
      </c>
      <c r="V15" s="23">
        <f t="shared" si="10"/>
        <v>-1</v>
      </c>
      <c r="W15" s="23">
        <f t="shared" si="10"/>
        <v>0</v>
      </c>
      <c r="X15" s="23">
        <f t="shared" si="10"/>
        <v>0</v>
      </c>
      <c r="Y15" s="23">
        <f t="shared" si="10"/>
        <v>0</v>
      </c>
      <c r="Z15" s="23">
        <f t="shared" si="10"/>
        <v>0</v>
      </c>
      <c r="AA15" s="23">
        <f t="shared" si="10"/>
        <v>0</v>
      </c>
      <c r="AB15" s="23">
        <f t="shared" si="10"/>
        <v>0</v>
      </c>
      <c r="AC15" s="23">
        <f t="shared" si="10"/>
        <v>0</v>
      </c>
      <c r="AD15" s="23">
        <f t="shared" si="10"/>
        <v>0</v>
      </c>
      <c r="AE15" s="23">
        <f t="shared" si="10"/>
        <v>0</v>
      </c>
      <c r="AF15" s="23">
        <f t="shared" si="10"/>
        <v>0</v>
      </c>
      <c r="AG15" s="23">
        <f t="shared" si="10"/>
        <v>0</v>
      </c>
      <c r="AH15" s="23">
        <f t="shared" si="10"/>
        <v>0</v>
      </c>
      <c r="AI15" s="23" t="s">
        <v>45</v>
      </c>
    </row>
    <row r="16" spans="2:41" ht="18.75" x14ac:dyDescent="0.3">
      <c r="B16" s="24"/>
      <c r="C16" s="24"/>
      <c r="D16" s="20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</row>
    <row r="17" spans="2:35" ht="18.75" x14ac:dyDescent="0.3">
      <c r="B17" s="45" t="s">
        <v>53</v>
      </c>
      <c r="C17" s="46"/>
      <c r="D17" s="20"/>
      <c r="E17" s="25">
        <f>SUM(E10:E12)</f>
        <v>0</v>
      </c>
      <c r="F17" s="25">
        <f t="shared" ref="F17:AH17" si="11">SUM(F10:F12)</f>
        <v>0</v>
      </c>
      <c r="G17" s="25">
        <f t="shared" si="11"/>
        <v>0</v>
      </c>
      <c r="H17" s="25">
        <f t="shared" si="11"/>
        <v>0</v>
      </c>
      <c r="I17" s="25">
        <f t="shared" si="11"/>
        <v>0</v>
      </c>
      <c r="J17" s="25">
        <f t="shared" si="11"/>
        <v>0</v>
      </c>
      <c r="K17" s="25">
        <f t="shared" si="11"/>
        <v>0</v>
      </c>
      <c r="L17" s="25">
        <f t="shared" si="11"/>
        <v>0</v>
      </c>
      <c r="M17" s="25">
        <f t="shared" si="11"/>
        <v>0</v>
      </c>
      <c r="N17" s="25">
        <f t="shared" si="11"/>
        <v>0</v>
      </c>
      <c r="O17" s="25">
        <f t="shared" si="11"/>
        <v>0</v>
      </c>
      <c r="P17" s="25">
        <f t="shared" si="11"/>
        <v>0</v>
      </c>
      <c r="Q17" s="25">
        <f t="shared" si="11"/>
        <v>0</v>
      </c>
      <c r="R17" s="25">
        <f t="shared" si="11"/>
        <v>1</v>
      </c>
      <c r="S17" s="25">
        <f t="shared" si="11"/>
        <v>3</v>
      </c>
      <c r="T17" s="25">
        <f t="shared" si="11"/>
        <v>3</v>
      </c>
      <c r="U17" s="25">
        <f t="shared" si="11"/>
        <v>3</v>
      </c>
      <c r="V17" s="25">
        <f t="shared" si="11"/>
        <v>3</v>
      </c>
      <c r="W17" s="25">
        <f t="shared" si="11"/>
        <v>0</v>
      </c>
      <c r="X17" s="25">
        <f t="shared" si="11"/>
        <v>0</v>
      </c>
      <c r="Y17" s="25">
        <f t="shared" si="11"/>
        <v>4</v>
      </c>
      <c r="Z17" s="25">
        <f t="shared" si="11"/>
        <v>4</v>
      </c>
      <c r="AA17" s="25">
        <f t="shared" si="11"/>
        <v>4</v>
      </c>
      <c r="AB17" s="25">
        <f t="shared" si="11"/>
        <v>4</v>
      </c>
      <c r="AC17" s="25">
        <f t="shared" si="11"/>
        <v>4</v>
      </c>
      <c r="AD17" s="25">
        <f t="shared" si="11"/>
        <v>0</v>
      </c>
      <c r="AE17" s="25">
        <f t="shared" si="11"/>
        <v>0</v>
      </c>
      <c r="AF17" s="25">
        <f t="shared" si="11"/>
        <v>4</v>
      </c>
      <c r="AG17" s="25">
        <f t="shared" si="11"/>
        <v>4</v>
      </c>
      <c r="AH17" s="25">
        <f t="shared" si="11"/>
        <v>4</v>
      </c>
      <c r="AI17" s="25" t="s">
        <v>45</v>
      </c>
    </row>
    <row r="18" spans="2:35" ht="18.75" x14ac:dyDescent="0.3">
      <c r="B18" s="45" t="s">
        <v>40</v>
      </c>
      <c r="C18" s="46"/>
      <c r="D18" s="20"/>
      <c r="E18" s="21">
        <v>4</v>
      </c>
      <c r="F18" s="21">
        <v>4</v>
      </c>
      <c r="G18" s="21">
        <v>4</v>
      </c>
      <c r="H18" s="21">
        <v>4</v>
      </c>
      <c r="I18" s="21">
        <v>4</v>
      </c>
      <c r="J18" s="21">
        <v>4</v>
      </c>
      <c r="K18" s="21">
        <v>4</v>
      </c>
      <c r="L18" s="21">
        <v>4</v>
      </c>
      <c r="M18" s="21">
        <v>4</v>
      </c>
      <c r="N18" s="21">
        <v>4</v>
      </c>
      <c r="O18" s="21">
        <v>4</v>
      </c>
      <c r="P18" s="21">
        <v>4</v>
      </c>
      <c r="Q18" s="21">
        <v>4</v>
      </c>
      <c r="R18" s="21">
        <v>4</v>
      </c>
      <c r="S18" s="21">
        <v>4</v>
      </c>
      <c r="T18" s="21">
        <v>4</v>
      </c>
      <c r="U18" s="21">
        <v>4</v>
      </c>
      <c r="V18" s="21">
        <v>4</v>
      </c>
      <c r="W18" s="21">
        <v>0</v>
      </c>
      <c r="X18" s="21">
        <v>0</v>
      </c>
      <c r="Y18" s="21">
        <v>4</v>
      </c>
      <c r="Z18" s="21">
        <v>4</v>
      </c>
      <c r="AA18" s="21">
        <v>4</v>
      </c>
      <c r="AB18" s="21">
        <v>4</v>
      </c>
      <c r="AC18" s="21">
        <v>4</v>
      </c>
      <c r="AD18" s="21">
        <v>0</v>
      </c>
      <c r="AE18" s="21">
        <v>0</v>
      </c>
      <c r="AF18" s="21">
        <v>4</v>
      </c>
      <c r="AG18" s="21">
        <v>4</v>
      </c>
      <c r="AH18" s="21">
        <v>4</v>
      </c>
      <c r="AI18" s="21" t="s">
        <v>45</v>
      </c>
    </row>
    <row r="19" spans="2:35" ht="18.75" x14ac:dyDescent="0.3">
      <c r="B19" s="45" t="s">
        <v>54</v>
      </c>
      <c r="C19" s="46"/>
      <c r="D19" s="20"/>
      <c r="E19" s="21">
        <v>4</v>
      </c>
      <c r="F19" s="21">
        <v>4</v>
      </c>
      <c r="G19" s="21">
        <v>4</v>
      </c>
      <c r="H19" s="21">
        <v>4</v>
      </c>
      <c r="I19" s="21">
        <v>4</v>
      </c>
      <c r="J19" s="21">
        <v>4</v>
      </c>
      <c r="K19" s="21">
        <v>4</v>
      </c>
      <c r="L19" s="21">
        <v>4</v>
      </c>
      <c r="M19" s="21">
        <v>4</v>
      </c>
      <c r="N19" s="21">
        <v>4</v>
      </c>
      <c r="O19" s="21">
        <v>4</v>
      </c>
      <c r="P19" s="21">
        <v>4</v>
      </c>
      <c r="Q19" s="21">
        <v>4</v>
      </c>
      <c r="R19" s="21">
        <v>4</v>
      </c>
      <c r="S19" s="21">
        <v>4</v>
      </c>
      <c r="T19" s="21">
        <v>4</v>
      </c>
      <c r="U19" s="21">
        <v>4</v>
      </c>
      <c r="V19" s="21">
        <v>4</v>
      </c>
      <c r="W19" s="21">
        <v>4</v>
      </c>
      <c r="X19" s="21">
        <v>4</v>
      </c>
      <c r="Y19" s="21">
        <v>4</v>
      </c>
      <c r="Z19" s="21">
        <v>4</v>
      </c>
      <c r="AA19" s="21">
        <v>4</v>
      </c>
      <c r="AB19" s="21">
        <v>4</v>
      </c>
      <c r="AC19" s="21">
        <v>4</v>
      </c>
      <c r="AD19" s="21">
        <v>4</v>
      </c>
      <c r="AE19" s="21">
        <v>4</v>
      </c>
      <c r="AF19" s="21">
        <v>4</v>
      </c>
      <c r="AG19" s="21">
        <v>4</v>
      </c>
      <c r="AH19" s="21">
        <v>4</v>
      </c>
      <c r="AI19" s="21" t="s">
        <v>45</v>
      </c>
    </row>
  </sheetData>
  <mergeCells count="21">
    <mergeCell ref="B17:C17"/>
    <mergeCell ref="B18:C18"/>
    <mergeCell ref="B19:C19"/>
    <mergeCell ref="B11:C11"/>
    <mergeCell ref="B12:C12"/>
    <mergeCell ref="B13:C13"/>
    <mergeCell ref="B14:C14"/>
    <mergeCell ref="B15:C15"/>
    <mergeCell ref="E16:AI16"/>
    <mergeCell ref="B3:C4"/>
    <mergeCell ref="B5:C5"/>
    <mergeCell ref="B6:C6"/>
    <mergeCell ref="B7:C7"/>
    <mergeCell ref="B8:C8"/>
    <mergeCell ref="B10:C10"/>
    <mergeCell ref="AO2:AO4"/>
    <mergeCell ref="E2:AI2"/>
    <mergeCell ref="AK2:AK4"/>
    <mergeCell ref="AL2:AL4"/>
    <mergeCell ref="AM2:AM4"/>
    <mergeCell ref="AN2:AN4"/>
  </mergeCells>
  <conditionalFormatting sqref="F5:AH5 E6:AH8">
    <cfRule type="containsText" dxfId="1086" priority="9" operator="containsText" text="STM1">
      <formula>NOT(ISERROR(SEARCH("STM1",E5)))</formula>
    </cfRule>
    <cfRule type="containsText" dxfId="1085" priority="10" operator="containsText" text="STA">
      <formula>NOT(ISERROR(SEARCH("STA",E5)))</formula>
    </cfRule>
    <cfRule type="containsText" dxfId="1084" priority="11" operator="containsText" text="STM1">
      <formula>NOT(ISERROR(SEARCH("STM1",E5)))</formula>
    </cfRule>
    <cfRule type="containsText" dxfId="1083" priority="12" operator="containsText" text="O">
      <formula>NOT(ISERROR(SEARCH("O",E5)))</formula>
    </cfRule>
    <cfRule type="containsText" dxfId="1082" priority="13" operator="containsText" text="N">
      <formula>NOT(ISERROR(SEARCH("N",E5)))</formula>
    </cfRule>
    <cfRule type="containsText" dxfId="1081" priority="14" operator="containsText" text="A">
      <formula>NOT(ISERROR(SEARCH("A",E5)))</formula>
    </cfRule>
    <cfRule type="containsText" dxfId="1080" priority="15" operator="containsText" text="M">
      <formula>NOT(ISERROR(SEARCH("M",E5)))</formula>
    </cfRule>
  </conditionalFormatting>
  <conditionalFormatting sqref="E5:AH8">
    <cfRule type="containsText" dxfId="1079" priority="1" operator="containsText" text="STN">
      <formula>NOT(ISERROR(SEARCH("STN",E5)))</formula>
    </cfRule>
    <cfRule type="containsText" dxfId="1078" priority="2" operator="containsText" text="STN">
      <formula>NOT(ISERROR(SEARCH("STN",E5)))</formula>
    </cfRule>
    <cfRule type="containsText" dxfId="1077" priority="3" operator="containsText" text="STM">
      <formula>NOT(ISERROR(SEARCH("STM",E5)))</formula>
    </cfRule>
    <cfRule type="containsText" dxfId="1076" priority="4" operator="containsText" text="M">
      <formula>NOT(ISERROR(SEARCH("M",E5)))</formula>
    </cfRule>
    <cfRule type="containsText" dxfId="1075" priority="5" operator="containsText" text="STM1">
      <formula>NOT(ISERROR(SEARCH("STM1",E5)))</formula>
    </cfRule>
    <cfRule type="containsText" dxfId="1074" priority="6" operator="containsText" text="M">
      <formula>NOT(ISERROR(SEARCH("M",E5)))</formula>
    </cfRule>
    <cfRule type="containsText" dxfId="1073" priority="7" operator="containsText" text="STM">
      <formula>NOT(ISERROR(SEARCH("STM",E5)))</formula>
    </cfRule>
    <cfRule type="containsText" dxfId="1072" priority="8" operator="containsText" text="STM">
      <formula>NOT(ISERROR(SEARCH("STM",E5)))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G37" sqref="G37"/>
    </sheetView>
  </sheetViews>
  <sheetFormatPr defaultRowHeight="15.75" x14ac:dyDescent="0.25"/>
  <cols>
    <col min="1" max="1" width="3.42578125" style="1" customWidth="1"/>
    <col min="2" max="2" width="12.85546875" style="1" customWidth="1"/>
    <col min="3" max="3" width="15.4257812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39" t="s">
        <v>69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K2" s="36" t="s">
        <v>63</v>
      </c>
      <c r="AL2" s="36" t="s">
        <v>64</v>
      </c>
      <c r="AM2" s="36" t="s">
        <v>67</v>
      </c>
      <c r="AN2" s="36" t="s">
        <v>65</v>
      </c>
      <c r="AO2" s="36" t="s">
        <v>66</v>
      </c>
    </row>
    <row r="3" spans="2:41" ht="39" x14ac:dyDescent="0.3">
      <c r="B3" s="41" t="s">
        <v>56</v>
      </c>
      <c r="C3" s="42"/>
      <c r="E3" s="12" t="s">
        <v>46</v>
      </c>
      <c r="F3" s="13" t="s">
        <v>47</v>
      </c>
      <c r="G3" s="13" t="s">
        <v>48</v>
      </c>
      <c r="H3" s="13" t="s">
        <v>49</v>
      </c>
      <c r="I3" s="13" t="s">
        <v>50</v>
      </c>
      <c r="J3" s="13" t="s">
        <v>51</v>
      </c>
      <c r="K3" s="13" t="s">
        <v>52</v>
      </c>
      <c r="L3" s="13" t="s">
        <v>46</v>
      </c>
      <c r="M3" s="13" t="s">
        <v>47</v>
      </c>
      <c r="N3" s="13" t="s">
        <v>48</v>
      </c>
      <c r="O3" s="13" t="s">
        <v>49</v>
      </c>
      <c r="P3" s="13" t="s">
        <v>50</v>
      </c>
      <c r="Q3" s="13" t="s">
        <v>51</v>
      </c>
      <c r="R3" s="13" t="s">
        <v>52</v>
      </c>
      <c r="S3" s="13" t="s">
        <v>46</v>
      </c>
      <c r="T3" s="13" t="s">
        <v>47</v>
      </c>
      <c r="U3" s="13" t="s">
        <v>48</v>
      </c>
      <c r="V3" s="13" t="s">
        <v>49</v>
      </c>
      <c r="W3" s="13" t="s">
        <v>50</v>
      </c>
      <c r="X3" s="13" t="s">
        <v>51</v>
      </c>
      <c r="Y3" s="13" t="s">
        <v>52</v>
      </c>
      <c r="Z3" s="13" t="s">
        <v>46</v>
      </c>
      <c r="AA3" s="13" t="s">
        <v>47</v>
      </c>
      <c r="AB3" s="13" t="s">
        <v>48</v>
      </c>
      <c r="AC3" s="13" t="s">
        <v>49</v>
      </c>
      <c r="AD3" s="13" t="s">
        <v>50</v>
      </c>
      <c r="AE3" s="13" t="s">
        <v>51</v>
      </c>
      <c r="AF3" s="13" t="s">
        <v>52</v>
      </c>
      <c r="AG3" s="13" t="s">
        <v>46</v>
      </c>
      <c r="AH3" s="14" t="s">
        <v>47</v>
      </c>
      <c r="AI3" s="15"/>
      <c r="AK3" s="37"/>
      <c r="AL3" s="37"/>
      <c r="AM3" s="37"/>
      <c r="AN3" s="37"/>
      <c r="AO3" s="37"/>
    </row>
    <row r="4" spans="2:41" ht="19.5" thickBot="1" x14ac:dyDescent="0.35">
      <c r="B4" s="43"/>
      <c r="C4" s="44"/>
      <c r="E4" s="16">
        <v>1</v>
      </c>
      <c r="F4" s="17">
        <v>2</v>
      </c>
      <c r="G4" s="17">
        <v>3</v>
      </c>
      <c r="H4" s="17">
        <v>4</v>
      </c>
      <c r="I4" s="17">
        <v>5</v>
      </c>
      <c r="J4" s="17">
        <v>6</v>
      </c>
      <c r="K4" s="17">
        <v>7</v>
      </c>
      <c r="L4" s="17">
        <v>8</v>
      </c>
      <c r="M4" s="17">
        <v>9</v>
      </c>
      <c r="N4" s="17">
        <v>10</v>
      </c>
      <c r="O4" s="17">
        <v>11</v>
      </c>
      <c r="P4" s="17">
        <v>12</v>
      </c>
      <c r="Q4" s="17">
        <v>13</v>
      </c>
      <c r="R4" s="17">
        <v>14</v>
      </c>
      <c r="S4" s="17">
        <v>15</v>
      </c>
      <c r="T4" s="17">
        <v>16</v>
      </c>
      <c r="U4" s="17">
        <v>17</v>
      </c>
      <c r="V4" s="17">
        <v>18</v>
      </c>
      <c r="W4" s="17">
        <v>19</v>
      </c>
      <c r="X4" s="17">
        <v>20</v>
      </c>
      <c r="Y4" s="17">
        <v>21</v>
      </c>
      <c r="Z4" s="17">
        <v>22</v>
      </c>
      <c r="AA4" s="17">
        <v>23</v>
      </c>
      <c r="AB4" s="17">
        <v>24</v>
      </c>
      <c r="AC4" s="17">
        <v>25</v>
      </c>
      <c r="AD4" s="17">
        <v>26</v>
      </c>
      <c r="AE4" s="17">
        <v>27</v>
      </c>
      <c r="AF4" s="17">
        <v>28</v>
      </c>
      <c r="AG4" s="17">
        <v>29</v>
      </c>
      <c r="AH4" s="18">
        <v>30</v>
      </c>
      <c r="AI4" s="19"/>
      <c r="AK4" s="38"/>
      <c r="AL4" s="38"/>
      <c r="AM4" s="38"/>
      <c r="AN4" s="38"/>
      <c r="AO4" s="38"/>
    </row>
    <row r="5" spans="2:41" ht="18.75" x14ac:dyDescent="0.25">
      <c r="B5" s="40" t="s">
        <v>10</v>
      </c>
      <c r="C5" s="40"/>
      <c r="E5" s="11" t="s">
        <v>58</v>
      </c>
      <c r="F5" s="7" t="s">
        <v>0</v>
      </c>
      <c r="G5" s="7" t="s">
        <v>1</v>
      </c>
      <c r="H5" s="7" t="s">
        <v>70</v>
      </c>
      <c r="I5" s="7" t="s">
        <v>5</v>
      </c>
      <c r="J5" s="7" t="s">
        <v>6</v>
      </c>
      <c r="K5" s="7" t="s">
        <v>0</v>
      </c>
      <c r="L5" s="7" t="s">
        <v>1</v>
      </c>
      <c r="M5" s="7" t="s">
        <v>2</v>
      </c>
      <c r="N5" s="7" t="s">
        <v>61</v>
      </c>
      <c r="O5" s="7" t="s">
        <v>78</v>
      </c>
      <c r="P5" s="7" t="s">
        <v>5</v>
      </c>
      <c r="Q5" s="7" t="s">
        <v>6</v>
      </c>
      <c r="R5" s="7" t="s">
        <v>2</v>
      </c>
      <c r="S5" s="7" t="s">
        <v>44</v>
      </c>
      <c r="T5" s="7" t="s">
        <v>81</v>
      </c>
      <c r="U5" s="7" t="s">
        <v>0</v>
      </c>
      <c r="V5" s="7" t="s">
        <v>1</v>
      </c>
      <c r="W5" s="7" t="s">
        <v>5</v>
      </c>
      <c r="X5" s="7" t="s">
        <v>6</v>
      </c>
      <c r="Y5" s="7" t="s">
        <v>0</v>
      </c>
      <c r="Z5" s="7" t="s">
        <v>1</v>
      </c>
      <c r="AA5" s="7" t="s">
        <v>59</v>
      </c>
      <c r="AB5" s="7" t="s">
        <v>44</v>
      </c>
      <c r="AC5" s="7" t="s">
        <v>78</v>
      </c>
      <c r="AD5" s="7" t="s">
        <v>5</v>
      </c>
      <c r="AE5" s="7" t="s">
        <v>6</v>
      </c>
      <c r="AF5" s="7" t="s">
        <v>0</v>
      </c>
      <c r="AG5" s="7" t="s">
        <v>1</v>
      </c>
      <c r="AH5" s="8" t="s">
        <v>2</v>
      </c>
      <c r="AI5" s="10"/>
      <c r="AK5" s="6">
        <f>COUNTIF($E5:$AI5,"ST*")</f>
        <v>4</v>
      </c>
      <c r="AL5" s="6">
        <f>COUNTIF($E5:$AI5,"M*")</f>
        <v>11</v>
      </c>
      <c r="AM5" s="6">
        <f>COUNTIF($E5:$AI5,"A*")</f>
        <v>7</v>
      </c>
      <c r="AN5" s="6">
        <f>COUNTIF($E5:$AI5,"N*")</f>
        <v>0</v>
      </c>
      <c r="AO5" s="6">
        <f>COUNTIF($E5:$AI5,"O*")</f>
        <v>8</v>
      </c>
    </row>
    <row r="6" spans="2:41" ht="18.75" x14ac:dyDescent="0.25">
      <c r="B6" s="40" t="s">
        <v>11</v>
      </c>
      <c r="C6" s="40"/>
      <c r="E6" s="5" t="s">
        <v>0</v>
      </c>
      <c r="F6" s="5" t="s">
        <v>2</v>
      </c>
      <c r="G6" s="5" t="s">
        <v>61</v>
      </c>
      <c r="H6" s="5" t="s">
        <v>78</v>
      </c>
      <c r="I6" s="5" t="s">
        <v>5</v>
      </c>
      <c r="J6" s="5" t="s">
        <v>6</v>
      </c>
      <c r="K6" s="5" t="s">
        <v>2</v>
      </c>
      <c r="L6" s="5" t="s">
        <v>61</v>
      </c>
      <c r="M6" s="5" t="s">
        <v>0</v>
      </c>
      <c r="N6" s="5" t="s">
        <v>1</v>
      </c>
      <c r="O6" s="5" t="s">
        <v>70</v>
      </c>
      <c r="P6" s="5" t="s">
        <v>5</v>
      </c>
      <c r="Q6" s="5" t="s">
        <v>6</v>
      </c>
      <c r="R6" s="5" t="s">
        <v>0</v>
      </c>
      <c r="S6" s="5" t="s">
        <v>1</v>
      </c>
      <c r="T6" s="5" t="s">
        <v>82</v>
      </c>
      <c r="U6" s="5" t="s">
        <v>2</v>
      </c>
      <c r="V6" s="5" t="s">
        <v>61</v>
      </c>
      <c r="W6" s="5" t="s">
        <v>5</v>
      </c>
      <c r="X6" s="5" t="s">
        <v>6</v>
      </c>
      <c r="Y6" s="5" t="s">
        <v>2</v>
      </c>
      <c r="Z6" s="5" t="s">
        <v>44</v>
      </c>
      <c r="AA6" s="5" t="s">
        <v>0</v>
      </c>
      <c r="AB6" s="5" t="s">
        <v>1</v>
      </c>
      <c r="AC6" s="5" t="s">
        <v>70</v>
      </c>
      <c r="AD6" s="5" t="s">
        <v>5</v>
      </c>
      <c r="AE6" s="5" t="s">
        <v>6</v>
      </c>
      <c r="AF6" s="5" t="s">
        <v>2</v>
      </c>
      <c r="AG6" s="5" t="s">
        <v>44</v>
      </c>
      <c r="AH6" s="9" t="s">
        <v>0</v>
      </c>
      <c r="AI6" s="2"/>
      <c r="AK6" s="6">
        <f t="shared" ref="AK6:AK15" si="0">COUNTIF($E6:$AI6,"ST*")</f>
        <v>4</v>
      </c>
      <c r="AL6" s="6">
        <f t="shared" ref="AL6:AL15" si="1">COUNTIF($E6:$AI6,"M*")</f>
        <v>10</v>
      </c>
      <c r="AM6" s="6">
        <f t="shared" ref="AM6:AM15" si="2">COUNTIF($E6:$AI6,"A*")</f>
        <v>8</v>
      </c>
      <c r="AN6" s="6">
        <f t="shared" ref="AN6:AN15" si="3">COUNTIF($E6:$AI6,"N*")</f>
        <v>0</v>
      </c>
      <c r="AO6" s="6">
        <f t="shared" ref="AO6:AO15" si="4">COUNTIF($E6:$AI6,"O*")</f>
        <v>8</v>
      </c>
    </row>
    <row r="7" spans="2:41" ht="18.75" x14ac:dyDescent="0.25">
      <c r="B7" s="40" t="s">
        <v>12</v>
      </c>
      <c r="C7" s="40"/>
      <c r="E7" s="5" t="s">
        <v>2</v>
      </c>
      <c r="F7" s="5" t="s">
        <v>0</v>
      </c>
      <c r="G7" s="5" t="s">
        <v>1</v>
      </c>
      <c r="H7" s="5" t="s">
        <v>70</v>
      </c>
      <c r="I7" s="5" t="s">
        <v>5</v>
      </c>
      <c r="J7" s="5" t="s">
        <v>6</v>
      </c>
      <c r="K7" s="5" t="s">
        <v>0</v>
      </c>
      <c r="L7" s="5" t="s">
        <v>1</v>
      </c>
      <c r="M7" s="5" t="s">
        <v>2</v>
      </c>
      <c r="N7" s="5" t="s">
        <v>61</v>
      </c>
      <c r="O7" s="5" t="s">
        <v>78</v>
      </c>
      <c r="P7" s="5" t="s">
        <v>5</v>
      </c>
      <c r="Q7" s="5" t="s">
        <v>6</v>
      </c>
      <c r="R7" s="5" t="s">
        <v>2</v>
      </c>
      <c r="S7" s="5" t="s">
        <v>61</v>
      </c>
      <c r="T7" s="5" t="s">
        <v>0</v>
      </c>
      <c r="U7" s="5" t="s">
        <v>1</v>
      </c>
      <c r="V7" s="5" t="s">
        <v>70</v>
      </c>
      <c r="W7" s="5" t="s">
        <v>5</v>
      </c>
      <c r="X7" s="5" t="s">
        <v>6</v>
      </c>
      <c r="Y7" s="5" t="s">
        <v>0</v>
      </c>
      <c r="Z7" s="5" t="s">
        <v>1</v>
      </c>
      <c r="AA7" s="5" t="s">
        <v>2</v>
      </c>
      <c r="AB7" s="5" t="s">
        <v>44</v>
      </c>
      <c r="AC7" s="5" t="s">
        <v>78</v>
      </c>
      <c r="AD7" s="5" t="s">
        <v>5</v>
      </c>
      <c r="AE7" s="5" t="s">
        <v>6</v>
      </c>
      <c r="AF7" s="5" t="s">
        <v>2</v>
      </c>
      <c r="AG7" s="5" t="s">
        <v>61</v>
      </c>
      <c r="AH7" s="9" t="s">
        <v>0</v>
      </c>
      <c r="AI7" s="2"/>
      <c r="AK7" s="6">
        <f t="shared" si="0"/>
        <v>3</v>
      </c>
      <c r="AL7" s="6">
        <f t="shared" si="1"/>
        <v>11</v>
      </c>
      <c r="AM7" s="6">
        <f t="shared" si="2"/>
        <v>8</v>
      </c>
      <c r="AN7" s="6">
        <f t="shared" si="3"/>
        <v>0</v>
      </c>
      <c r="AO7" s="6">
        <f t="shared" si="4"/>
        <v>8</v>
      </c>
    </row>
    <row r="8" spans="2:41" ht="18.75" x14ac:dyDescent="0.25">
      <c r="B8" s="40" t="s">
        <v>13</v>
      </c>
      <c r="C8" s="40"/>
      <c r="E8" s="5" t="s">
        <v>59</v>
      </c>
      <c r="F8" s="5" t="s">
        <v>44</v>
      </c>
      <c r="G8" s="5" t="s">
        <v>81</v>
      </c>
      <c r="H8" s="5" t="s">
        <v>79</v>
      </c>
      <c r="I8" s="5" t="s">
        <v>5</v>
      </c>
      <c r="J8" s="5" t="s">
        <v>6</v>
      </c>
      <c r="K8" s="5" t="s">
        <v>2</v>
      </c>
      <c r="L8" s="5" t="s">
        <v>44</v>
      </c>
      <c r="M8" s="5" t="s">
        <v>58</v>
      </c>
      <c r="N8" s="5" t="s">
        <v>1</v>
      </c>
      <c r="O8" s="5" t="s">
        <v>70</v>
      </c>
      <c r="P8" s="5" t="s">
        <v>5</v>
      </c>
      <c r="Q8" s="5" t="s">
        <v>6</v>
      </c>
      <c r="R8" s="5" t="s">
        <v>0</v>
      </c>
      <c r="S8" s="5" t="s">
        <v>77</v>
      </c>
      <c r="T8" s="5" t="s">
        <v>2</v>
      </c>
      <c r="U8" s="5" t="s">
        <v>61</v>
      </c>
      <c r="V8" s="5" t="s">
        <v>78</v>
      </c>
      <c r="W8" s="5" t="s">
        <v>5</v>
      </c>
      <c r="X8" s="5" t="s">
        <v>6</v>
      </c>
      <c r="Y8" s="5" t="s">
        <v>2</v>
      </c>
      <c r="Z8" s="5" t="s">
        <v>44</v>
      </c>
      <c r="AA8" s="5" t="s">
        <v>0</v>
      </c>
      <c r="AB8" s="5" t="s">
        <v>62</v>
      </c>
      <c r="AC8" s="5" t="s">
        <v>70</v>
      </c>
      <c r="AD8" s="5" t="s">
        <v>5</v>
      </c>
      <c r="AE8" s="5" t="s">
        <v>6</v>
      </c>
      <c r="AF8" s="5" t="s">
        <v>0</v>
      </c>
      <c r="AG8" s="5" t="s">
        <v>1</v>
      </c>
      <c r="AH8" s="9" t="s">
        <v>59</v>
      </c>
      <c r="AI8" s="2"/>
      <c r="AK8" s="6">
        <f t="shared" si="0"/>
        <v>6</v>
      </c>
      <c r="AL8" s="6">
        <f t="shared" si="1"/>
        <v>8</v>
      </c>
      <c r="AM8" s="6">
        <f t="shared" si="2"/>
        <v>8</v>
      </c>
      <c r="AN8" s="6">
        <f t="shared" si="3"/>
        <v>0</v>
      </c>
      <c r="AO8" s="6">
        <f t="shared" si="4"/>
        <v>8</v>
      </c>
    </row>
    <row r="9" spans="2:41" ht="18.75" x14ac:dyDescent="0.25">
      <c r="B9" s="40" t="s">
        <v>14</v>
      </c>
      <c r="C9" s="40"/>
      <c r="E9" s="5" t="s">
        <v>2</v>
      </c>
      <c r="F9" s="5" t="s">
        <v>61</v>
      </c>
      <c r="G9" s="5" t="s">
        <v>78</v>
      </c>
      <c r="H9" s="5" t="s">
        <v>0</v>
      </c>
      <c r="I9" s="5" t="s">
        <v>1</v>
      </c>
      <c r="J9" s="5" t="s">
        <v>5</v>
      </c>
      <c r="K9" s="5" t="s">
        <v>6</v>
      </c>
      <c r="L9" s="5" t="s">
        <v>2</v>
      </c>
      <c r="M9" s="5" t="s">
        <v>61</v>
      </c>
      <c r="N9" s="5" t="s">
        <v>78</v>
      </c>
      <c r="O9" s="5" t="s">
        <v>0</v>
      </c>
      <c r="P9" s="5" t="s">
        <v>1</v>
      </c>
      <c r="Q9" s="5" t="s">
        <v>5</v>
      </c>
      <c r="R9" s="5" t="s">
        <v>6</v>
      </c>
      <c r="S9" s="5" t="s">
        <v>2</v>
      </c>
      <c r="T9" s="5" t="s">
        <v>44</v>
      </c>
      <c r="U9" s="5" t="s">
        <v>78</v>
      </c>
      <c r="V9" s="5" t="s">
        <v>0</v>
      </c>
      <c r="W9" s="5" t="s">
        <v>1</v>
      </c>
      <c r="X9" s="5" t="s">
        <v>5</v>
      </c>
      <c r="Y9" s="5" t="s">
        <v>6</v>
      </c>
      <c r="Z9" s="5" t="s">
        <v>2</v>
      </c>
      <c r="AA9" s="5" t="s">
        <v>61</v>
      </c>
      <c r="AB9" s="5" t="s">
        <v>78</v>
      </c>
      <c r="AC9" s="5" t="s">
        <v>58</v>
      </c>
      <c r="AD9" s="5" t="s">
        <v>1</v>
      </c>
      <c r="AE9" s="5" t="s">
        <v>5</v>
      </c>
      <c r="AF9" s="5" t="s">
        <v>6</v>
      </c>
      <c r="AG9" s="5" t="s">
        <v>2</v>
      </c>
      <c r="AH9" s="9" t="s">
        <v>44</v>
      </c>
      <c r="AI9" s="2"/>
      <c r="AK9" s="6">
        <f t="shared" si="0"/>
        <v>4</v>
      </c>
      <c r="AL9" s="6">
        <f t="shared" si="1"/>
        <v>7</v>
      </c>
      <c r="AM9" s="6">
        <f t="shared" si="2"/>
        <v>11</v>
      </c>
      <c r="AN9" s="6">
        <f t="shared" si="3"/>
        <v>0</v>
      </c>
      <c r="AO9" s="6">
        <f t="shared" si="4"/>
        <v>8</v>
      </c>
    </row>
    <row r="10" spans="2:41" ht="18.75" x14ac:dyDescent="0.25">
      <c r="B10" s="40" t="s">
        <v>15</v>
      </c>
      <c r="C10" s="40"/>
      <c r="E10" s="5" t="s">
        <v>0</v>
      </c>
      <c r="F10" s="5" t="s">
        <v>1</v>
      </c>
      <c r="G10" s="5" t="s">
        <v>70</v>
      </c>
      <c r="H10" s="5" t="s">
        <v>5</v>
      </c>
      <c r="I10" s="5" t="s">
        <v>6</v>
      </c>
      <c r="J10" s="5" t="s">
        <v>2</v>
      </c>
      <c r="K10" s="5" t="s">
        <v>61</v>
      </c>
      <c r="L10" s="5" t="s">
        <v>0</v>
      </c>
      <c r="M10" s="5" t="s">
        <v>1</v>
      </c>
      <c r="N10" s="5" t="s">
        <v>70</v>
      </c>
      <c r="O10" s="5" t="s">
        <v>5</v>
      </c>
      <c r="P10" s="5" t="s">
        <v>6</v>
      </c>
      <c r="Q10" s="5" t="s">
        <v>59</v>
      </c>
      <c r="R10" s="5" t="s">
        <v>44</v>
      </c>
      <c r="S10" s="5" t="s">
        <v>0</v>
      </c>
      <c r="T10" s="5" t="s">
        <v>1</v>
      </c>
      <c r="U10" s="5" t="s">
        <v>70</v>
      </c>
      <c r="V10" s="5" t="s">
        <v>5</v>
      </c>
      <c r="W10" s="5" t="s">
        <v>6</v>
      </c>
      <c r="X10" s="5" t="s">
        <v>2</v>
      </c>
      <c r="Y10" s="5" t="s">
        <v>61</v>
      </c>
      <c r="Z10" s="5" t="s">
        <v>0</v>
      </c>
      <c r="AA10" s="5" t="s">
        <v>1</v>
      </c>
      <c r="AB10" s="5" t="s">
        <v>70</v>
      </c>
      <c r="AC10" s="5" t="s">
        <v>5</v>
      </c>
      <c r="AD10" s="5" t="s">
        <v>6</v>
      </c>
      <c r="AE10" s="5" t="s">
        <v>59</v>
      </c>
      <c r="AF10" s="5" t="s">
        <v>44</v>
      </c>
      <c r="AG10" s="5" t="s">
        <v>0</v>
      </c>
      <c r="AH10" s="9" t="s">
        <v>1</v>
      </c>
      <c r="AI10" s="2"/>
      <c r="AK10" s="6">
        <f t="shared" si="0"/>
        <v>4</v>
      </c>
      <c r="AL10" s="6">
        <f t="shared" si="1"/>
        <v>14</v>
      </c>
      <c r="AM10" s="6">
        <f t="shared" si="2"/>
        <v>4</v>
      </c>
      <c r="AN10" s="6">
        <f t="shared" si="3"/>
        <v>0</v>
      </c>
      <c r="AO10" s="6">
        <f t="shared" si="4"/>
        <v>8</v>
      </c>
    </row>
    <row r="11" spans="2:41" ht="18.75" x14ac:dyDescent="0.25">
      <c r="B11" s="40" t="s">
        <v>16</v>
      </c>
      <c r="C11" s="40"/>
      <c r="E11" s="5" t="s">
        <v>3</v>
      </c>
      <c r="F11" s="5" t="s">
        <v>5</v>
      </c>
      <c r="G11" s="5" t="s">
        <v>6</v>
      </c>
      <c r="H11" s="5" t="s">
        <v>7</v>
      </c>
      <c r="I11" s="5" t="s">
        <v>2</v>
      </c>
      <c r="J11" s="5" t="s">
        <v>0</v>
      </c>
      <c r="K11" s="5" t="s">
        <v>1</v>
      </c>
      <c r="L11" s="5" t="s">
        <v>3</v>
      </c>
      <c r="M11" s="5" t="s">
        <v>4</v>
      </c>
      <c r="N11" s="5" t="s">
        <v>5</v>
      </c>
      <c r="O11" s="5" t="s">
        <v>6</v>
      </c>
      <c r="P11" s="5" t="s">
        <v>7</v>
      </c>
      <c r="Q11" s="5" t="s">
        <v>0</v>
      </c>
      <c r="R11" s="5" t="s">
        <v>1</v>
      </c>
      <c r="S11" s="5" t="s">
        <v>59</v>
      </c>
      <c r="T11" s="5" t="s">
        <v>3</v>
      </c>
      <c r="U11" s="5" t="s">
        <v>4</v>
      </c>
      <c r="V11" s="5" t="s">
        <v>5</v>
      </c>
      <c r="W11" s="5" t="s">
        <v>6</v>
      </c>
      <c r="X11" s="5" t="s">
        <v>7</v>
      </c>
      <c r="Y11" s="5" t="s">
        <v>0</v>
      </c>
      <c r="Z11" s="5" t="s">
        <v>61</v>
      </c>
      <c r="AA11" s="5" t="s">
        <v>78</v>
      </c>
      <c r="AB11" s="5" t="s">
        <v>3</v>
      </c>
      <c r="AC11" s="5" t="s">
        <v>4</v>
      </c>
      <c r="AD11" s="5" t="s">
        <v>5</v>
      </c>
      <c r="AE11" s="5" t="s">
        <v>6</v>
      </c>
      <c r="AF11" s="5" t="s">
        <v>7</v>
      </c>
      <c r="AG11" s="5" t="s">
        <v>59</v>
      </c>
      <c r="AH11" s="9" t="s">
        <v>44</v>
      </c>
      <c r="AI11" s="2"/>
      <c r="AK11" s="6">
        <f t="shared" si="0"/>
        <v>3</v>
      </c>
      <c r="AL11" s="6">
        <f t="shared" si="1"/>
        <v>5</v>
      </c>
      <c r="AM11" s="6">
        <f t="shared" si="2"/>
        <v>3</v>
      </c>
      <c r="AN11" s="6">
        <f t="shared" si="3"/>
        <v>7</v>
      </c>
      <c r="AO11" s="6">
        <f t="shared" si="4"/>
        <v>12</v>
      </c>
    </row>
    <row r="12" spans="2:41" ht="18.75" x14ac:dyDescent="0.25">
      <c r="B12" s="40" t="s">
        <v>17</v>
      </c>
      <c r="C12" s="40"/>
      <c r="E12" s="5" t="s">
        <v>2</v>
      </c>
      <c r="F12" s="5" t="s">
        <v>3</v>
      </c>
      <c r="G12" s="5" t="s">
        <v>4</v>
      </c>
      <c r="H12" s="5" t="s">
        <v>5</v>
      </c>
      <c r="I12" s="5" t="s">
        <v>6</v>
      </c>
      <c r="J12" s="5" t="s">
        <v>7</v>
      </c>
      <c r="K12" s="5" t="s">
        <v>2</v>
      </c>
      <c r="L12" s="5" t="s">
        <v>44</v>
      </c>
      <c r="M12" s="5" t="s">
        <v>78</v>
      </c>
      <c r="N12" s="5" t="s">
        <v>3</v>
      </c>
      <c r="O12" s="5" t="s">
        <v>4</v>
      </c>
      <c r="P12" s="5" t="s">
        <v>5</v>
      </c>
      <c r="Q12" s="5" t="s">
        <v>6</v>
      </c>
      <c r="R12" s="5" t="s">
        <v>7</v>
      </c>
      <c r="S12" s="5" t="s">
        <v>2</v>
      </c>
      <c r="T12" s="5" t="s">
        <v>44</v>
      </c>
      <c r="U12" s="5" t="s">
        <v>78</v>
      </c>
      <c r="V12" s="5" t="s">
        <v>3</v>
      </c>
      <c r="W12" s="5" t="s">
        <v>4</v>
      </c>
      <c r="X12" s="5" t="s">
        <v>5</v>
      </c>
      <c r="Y12" s="5" t="s">
        <v>6</v>
      </c>
      <c r="Z12" s="5" t="s">
        <v>7</v>
      </c>
      <c r="AA12" s="5" t="s">
        <v>2</v>
      </c>
      <c r="AB12" s="5" t="s">
        <v>61</v>
      </c>
      <c r="AC12" s="5" t="s">
        <v>2</v>
      </c>
      <c r="AD12" s="5" t="s">
        <v>80</v>
      </c>
      <c r="AE12" s="5" t="s">
        <v>4</v>
      </c>
      <c r="AF12" s="5" t="s">
        <v>5</v>
      </c>
      <c r="AG12" s="5" t="s">
        <v>6</v>
      </c>
      <c r="AH12" s="9" t="s">
        <v>7</v>
      </c>
      <c r="AI12" s="2"/>
      <c r="AK12" s="6">
        <f t="shared" si="0"/>
        <v>1</v>
      </c>
      <c r="AL12" s="6">
        <f t="shared" si="1"/>
        <v>0</v>
      </c>
      <c r="AM12" s="6">
        <f t="shared" si="2"/>
        <v>9</v>
      </c>
      <c r="AN12" s="6">
        <f t="shared" si="3"/>
        <v>8</v>
      </c>
      <c r="AO12" s="6">
        <f t="shared" si="4"/>
        <v>12</v>
      </c>
    </row>
    <row r="13" spans="2:41" ht="18.75" x14ac:dyDescent="0.25">
      <c r="B13" s="40" t="s">
        <v>18</v>
      </c>
      <c r="C13" s="40"/>
      <c r="E13" s="5" t="s">
        <v>0</v>
      </c>
      <c r="F13" s="5" t="s">
        <v>59</v>
      </c>
      <c r="G13" s="5" t="s">
        <v>44</v>
      </c>
      <c r="H13" s="5" t="s">
        <v>3</v>
      </c>
      <c r="I13" s="5" t="s">
        <v>5</v>
      </c>
      <c r="J13" s="5" t="s">
        <v>6</v>
      </c>
      <c r="K13" s="5" t="s">
        <v>7</v>
      </c>
      <c r="L13" s="5" t="s">
        <v>58</v>
      </c>
      <c r="M13" s="5" t="s">
        <v>1</v>
      </c>
      <c r="N13" s="5" t="s">
        <v>2</v>
      </c>
      <c r="O13" s="5" t="s">
        <v>61</v>
      </c>
      <c r="P13" s="5" t="s">
        <v>3</v>
      </c>
      <c r="Q13" s="5" t="s">
        <v>5</v>
      </c>
      <c r="R13" s="5" t="s">
        <v>6</v>
      </c>
      <c r="S13" s="5" t="s">
        <v>7</v>
      </c>
      <c r="T13" s="5" t="s">
        <v>0</v>
      </c>
      <c r="U13" s="5" t="s">
        <v>62</v>
      </c>
      <c r="V13" s="5" t="s">
        <v>2</v>
      </c>
      <c r="W13" s="5" t="s">
        <v>61</v>
      </c>
      <c r="X13" s="5" t="s">
        <v>3</v>
      </c>
      <c r="Y13" s="5" t="s">
        <v>5</v>
      </c>
      <c r="Z13" s="5" t="s">
        <v>6</v>
      </c>
      <c r="AA13" s="5" t="s">
        <v>7</v>
      </c>
      <c r="AB13" s="5" t="s">
        <v>0</v>
      </c>
      <c r="AC13" s="5" t="s">
        <v>1</v>
      </c>
      <c r="AD13" s="5" t="s">
        <v>59</v>
      </c>
      <c r="AE13" s="5" t="s">
        <v>44</v>
      </c>
      <c r="AF13" s="5" t="s">
        <v>3</v>
      </c>
      <c r="AG13" s="5" t="s">
        <v>5</v>
      </c>
      <c r="AH13" s="9" t="s">
        <v>6</v>
      </c>
      <c r="AI13" s="2"/>
      <c r="AK13" s="6">
        <f t="shared" si="0"/>
        <v>6</v>
      </c>
      <c r="AL13" s="6">
        <f t="shared" si="1"/>
        <v>5</v>
      </c>
      <c r="AM13" s="6">
        <f t="shared" si="2"/>
        <v>4</v>
      </c>
      <c r="AN13" s="6">
        <f t="shared" si="3"/>
        <v>4</v>
      </c>
      <c r="AO13" s="6">
        <f t="shared" si="4"/>
        <v>11</v>
      </c>
    </row>
    <row r="14" spans="2:41" ht="18.75" x14ac:dyDescent="0.25">
      <c r="B14" s="40" t="s">
        <v>19</v>
      </c>
      <c r="C14" s="40"/>
      <c r="E14" s="5" t="s">
        <v>58</v>
      </c>
      <c r="F14" s="5" t="s">
        <v>2</v>
      </c>
      <c r="G14" s="5" t="s">
        <v>44</v>
      </c>
      <c r="H14" s="5" t="s">
        <v>81</v>
      </c>
      <c r="I14" s="5" t="s">
        <v>3</v>
      </c>
      <c r="J14" s="5" t="s">
        <v>5</v>
      </c>
      <c r="K14" s="5" t="s">
        <v>6</v>
      </c>
      <c r="L14" s="5" t="s">
        <v>7</v>
      </c>
      <c r="M14" s="5" t="s">
        <v>58</v>
      </c>
      <c r="N14" s="5" t="s">
        <v>2</v>
      </c>
      <c r="O14" s="5" t="s">
        <v>44</v>
      </c>
      <c r="P14" s="5" t="s">
        <v>81</v>
      </c>
      <c r="Q14" s="5" t="s">
        <v>3</v>
      </c>
      <c r="R14" s="5" t="s">
        <v>5</v>
      </c>
      <c r="S14" s="5" t="s">
        <v>6</v>
      </c>
      <c r="T14" s="5" t="s">
        <v>7</v>
      </c>
      <c r="U14" s="5" t="s">
        <v>58</v>
      </c>
      <c r="V14" s="5" t="s">
        <v>2</v>
      </c>
      <c r="W14" s="5" t="s">
        <v>44</v>
      </c>
      <c r="X14" s="5" t="s">
        <v>81</v>
      </c>
      <c r="Y14" s="5" t="s">
        <v>3</v>
      </c>
      <c r="Z14" s="5" t="s">
        <v>5</v>
      </c>
      <c r="AA14" s="5" t="s">
        <v>6</v>
      </c>
      <c r="AB14" s="5" t="s">
        <v>7</v>
      </c>
      <c r="AC14" s="5" t="s">
        <v>58</v>
      </c>
      <c r="AD14" s="5" t="s">
        <v>2</v>
      </c>
      <c r="AE14" s="5" t="s">
        <v>61</v>
      </c>
      <c r="AF14" s="5" t="s">
        <v>81</v>
      </c>
      <c r="AG14" s="5" t="s">
        <v>3</v>
      </c>
      <c r="AH14" s="9" t="s">
        <v>5</v>
      </c>
      <c r="AI14" s="2"/>
      <c r="AK14" s="6">
        <f t="shared" si="0"/>
        <v>9</v>
      </c>
      <c r="AL14" s="6">
        <f t="shared" si="1"/>
        <v>0</v>
      </c>
      <c r="AM14" s="6">
        <f t="shared" si="2"/>
        <v>7</v>
      </c>
      <c r="AN14" s="6">
        <f t="shared" si="3"/>
        <v>4</v>
      </c>
      <c r="AO14" s="6">
        <f t="shared" si="4"/>
        <v>10</v>
      </c>
    </row>
    <row r="15" spans="2:41" ht="18.75" x14ac:dyDescent="0.25">
      <c r="B15" s="40" t="s">
        <v>20</v>
      </c>
      <c r="C15" s="40"/>
      <c r="E15" s="5" t="s">
        <v>6</v>
      </c>
      <c r="F15" s="5" t="s">
        <v>7</v>
      </c>
      <c r="G15" s="5" t="s">
        <v>59</v>
      </c>
      <c r="H15" s="5" t="s">
        <v>44</v>
      </c>
      <c r="I15" s="5" t="s">
        <v>81</v>
      </c>
      <c r="J15" s="5" t="s">
        <v>3</v>
      </c>
      <c r="K15" s="5" t="s">
        <v>4</v>
      </c>
      <c r="L15" s="5" t="s">
        <v>5</v>
      </c>
      <c r="M15" s="5" t="s">
        <v>6</v>
      </c>
      <c r="N15" s="5" t="s">
        <v>7</v>
      </c>
      <c r="O15" s="5" t="s">
        <v>59</v>
      </c>
      <c r="P15" s="5" t="s">
        <v>44</v>
      </c>
      <c r="Q15" s="5" t="s">
        <v>78</v>
      </c>
      <c r="R15" s="5" t="s">
        <v>3</v>
      </c>
      <c r="S15" s="5" t="s">
        <v>4</v>
      </c>
      <c r="T15" s="5" t="s">
        <v>5</v>
      </c>
      <c r="U15" s="5" t="s">
        <v>6</v>
      </c>
      <c r="V15" s="5" t="s">
        <v>7</v>
      </c>
      <c r="W15" s="5" t="s">
        <v>58</v>
      </c>
      <c r="X15" s="5" t="s">
        <v>1</v>
      </c>
      <c r="Y15" s="5" t="s">
        <v>2</v>
      </c>
      <c r="Z15" s="5" t="s">
        <v>3</v>
      </c>
      <c r="AA15" s="5" t="s">
        <v>4</v>
      </c>
      <c r="AB15" s="5" t="s">
        <v>5</v>
      </c>
      <c r="AC15" s="5" t="s">
        <v>6</v>
      </c>
      <c r="AD15" s="5" t="s">
        <v>7</v>
      </c>
      <c r="AE15" s="5" t="s">
        <v>0</v>
      </c>
      <c r="AF15" s="5" t="s">
        <v>44</v>
      </c>
      <c r="AG15" s="5" t="s">
        <v>78</v>
      </c>
      <c r="AH15" s="9" t="s">
        <v>3</v>
      </c>
      <c r="AI15" s="2"/>
      <c r="AK15" s="6">
        <f t="shared" si="0"/>
        <v>4</v>
      </c>
      <c r="AL15" s="6">
        <f t="shared" si="1"/>
        <v>2</v>
      </c>
      <c r="AM15" s="6">
        <f t="shared" si="2"/>
        <v>6</v>
      </c>
      <c r="AN15" s="6">
        <f t="shared" si="3"/>
        <v>7</v>
      </c>
      <c r="AO15" s="6">
        <f t="shared" si="4"/>
        <v>11</v>
      </c>
    </row>
    <row r="16" spans="2:41" x14ac:dyDescent="0.25">
      <c r="E16" s="3" t="s">
        <v>45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2:35" ht="18.75" x14ac:dyDescent="0.3">
      <c r="B17" s="49" t="s">
        <v>41</v>
      </c>
      <c r="C17" s="49"/>
      <c r="D17" s="20"/>
      <c r="E17" s="21">
        <f t="shared" ref="E17:AH17" si="5">COUNTIF(E$5:E$15,"M*")</f>
        <v>3</v>
      </c>
      <c r="F17" s="21">
        <f t="shared" si="5"/>
        <v>3</v>
      </c>
      <c r="G17" s="21">
        <f t="shared" si="5"/>
        <v>3</v>
      </c>
      <c r="H17" s="21">
        <f t="shared" si="5"/>
        <v>3</v>
      </c>
      <c r="I17" s="21">
        <f t="shared" si="5"/>
        <v>1</v>
      </c>
      <c r="J17" s="21">
        <f t="shared" si="5"/>
        <v>1</v>
      </c>
      <c r="K17" s="21">
        <f t="shared" si="5"/>
        <v>3</v>
      </c>
      <c r="L17" s="21">
        <f t="shared" si="5"/>
        <v>3</v>
      </c>
      <c r="M17" s="21">
        <f t="shared" si="5"/>
        <v>3</v>
      </c>
      <c r="N17" s="21">
        <f t="shared" si="5"/>
        <v>3</v>
      </c>
      <c r="O17" s="21">
        <f t="shared" si="5"/>
        <v>3</v>
      </c>
      <c r="P17" s="21">
        <f t="shared" si="5"/>
        <v>1</v>
      </c>
      <c r="Q17" s="21">
        <f t="shared" si="5"/>
        <v>1</v>
      </c>
      <c r="R17" s="21">
        <f t="shared" si="5"/>
        <v>3</v>
      </c>
      <c r="S17" s="21">
        <f t="shared" si="5"/>
        <v>3</v>
      </c>
      <c r="T17" s="21">
        <f t="shared" si="5"/>
        <v>3</v>
      </c>
      <c r="U17" s="21">
        <f t="shared" si="5"/>
        <v>3</v>
      </c>
      <c r="V17" s="21">
        <f t="shared" si="5"/>
        <v>3</v>
      </c>
      <c r="W17" s="21">
        <f t="shared" si="5"/>
        <v>1</v>
      </c>
      <c r="X17" s="21">
        <f t="shared" si="5"/>
        <v>1</v>
      </c>
      <c r="Y17" s="21">
        <f t="shared" si="5"/>
        <v>3</v>
      </c>
      <c r="Z17" s="21">
        <f t="shared" si="5"/>
        <v>3</v>
      </c>
      <c r="AA17" s="21">
        <f t="shared" si="5"/>
        <v>3</v>
      </c>
      <c r="AB17" s="21">
        <f t="shared" si="5"/>
        <v>3</v>
      </c>
      <c r="AC17" s="21">
        <f t="shared" si="5"/>
        <v>3</v>
      </c>
      <c r="AD17" s="21">
        <f t="shared" si="5"/>
        <v>1</v>
      </c>
      <c r="AE17" s="21">
        <f t="shared" si="5"/>
        <v>1</v>
      </c>
      <c r="AF17" s="21">
        <f t="shared" si="5"/>
        <v>2</v>
      </c>
      <c r="AG17" s="21">
        <f t="shared" si="5"/>
        <v>3</v>
      </c>
      <c r="AH17" s="21">
        <f t="shared" si="5"/>
        <v>3</v>
      </c>
      <c r="AI17" s="21" t="s">
        <v>45</v>
      </c>
    </row>
    <row r="18" spans="2:35" ht="18.75" x14ac:dyDescent="0.3">
      <c r="B18" s="49" t="s">
        <v>42</v>
      </c>
      <c r="C18" s="49"/>
      <c r="D18" s="20"/>
      <c r="E18" s="21">
        <f t="shared" ref="E18:AH18" si="6">COUNTIF(E$5:E$15,"A*")</f>
        <v>3</v>
      </c>
      <c r="F18" s="21">
        <f t="shared" si="6"/>
        <v>3</v>
      </c>
      <c r="G18" s="21">
        <f t="shared" si="6"/>
        <v>3</v>
      </c>
      <c r="H18" s="21">
        <f t="shared" si="6"/>
        <v>3</v>
      </c>
      <c r="I18" s="21">
        <f t="shared" si="6"/>
        <v>1</v>
      </c>
      <c r="J18" s="21">
        <f t="shared" si="6"/>
        <v>1</v>
      </c>
      <c r="K18" s="21">
        <f t="shared" si="6"/>
        <v>3</v>
      </c>
      <c r="L18" s="21">
        <f t="shared" si="6"/>
        <v>3</v>
      </c>
      <c r="M18" s="21">
        <f t="shared" si="6"/>
        <v>3</v>
      </c>
      <c r="N18" s="21">
        <f t="shared" si="6"/>
        <v>3</v>
      </c>
      <c r="O18" s="21">
        <f t="shared" si="6"/>
        <v>3</v>
      </c>
      <c r="P18" s="21">
        <f t="shared" si="6"/>
        <v>1</v>
      </c>
      <c r="Q18" s="21">
        <f t="shared" si="6"/>
        <v>1</v>
      </c>
      <c r="R18" s="21">
        <f t="shared" si="6"/>
        <v>3</v>
      </c>
      <c r="S18" s="21">
        <f t="shared" si="6"/>
        <v>3</v>
      </c>
      <c r="T18" s="21">
        <f t="shared" si="6"/>
        <v>3</v>
      </c>
      <c r="U18" s="21">
        <f t="shared" si="6"/>
        <v>3</v>
      </c>
      <c r="V18" s="21">
        <f t="shared" si="6"/>
        <v>3</v>
      </c>
      <c r="W18" s="21">
        <f t="shared" si="6"/>
        <v>1</v>
      </c>
      <c r="X18" s="21">
        <f t="shared" si="6"/>
        <v>1</v>
      </c>
      <c r="Y18" s="21">
        <f t="shared" si="6"/>
        <v>3</v>
      </c>
      <c r="Z18" s="21">
        <f t="shared" si="6"/>
        <v>3</v>
      </c>
      <c r="AA18" s="21">
        <f t="shared" si="6"/>
        <v>3</v>
      </c>
      <c r="AB18" s="21">
        <f t="shared" si="6"/>
        <v>3</v>
      </c>
      <c r="AC18" s="21">
        <f t="shared" si="6"/>
        <v>3</v>
      </c>
      <c r="AD18" s="21">
        <f t="shared" si="6"/>
        <v>1</v>
      </c>
      <c r="AE18" s="21">
        <f t="shared" si="6"/>
        <v>1</v>
      </c>
      <c r="AF18" s="21">
        <f t="shared" si="6"/>
        <v>4</v>
      </c>
      <c r="AG18" s="21">
        <f t="shared" si="6"/>
        <v>3</v>
      </c>
      <c r="AH18" s="21">
        <f t="shared" si="6"/>
        <v>3</v>
      </c>
      <c r="AI18" s="21" t="s">
        <v>45</v>
      </c>
    </row>
    <row r="19" spans="2:35" ht="18.75" x14ac:dyDescent="0.3">
      <c r="B19" s="49" t="s">
        <v>8</v>
      </c>
      <c r="C19" s="49"/>
      <c r="D19" s="20"/>
      <c r="E19" s="21">
        <f t="shared" ref="E19:AH19" si="7">COUNTIF(E$5:E$15,"N*")</f>
        <v>1</v>
      </c>
      <c r="F19" s="21">
        <f t="shared" si="7"/>
        <v>1</v>
      </c>
      <c r="G19" s="21">
        <f t="shared" si="7"/>
        <v>1</v>
      </c>
      <c r="H19" s="21">
        <f t="shared" si="7"/>
        <v>1</v>
      </c>
      <c r="I19" s="21">
        <f t="shared" si="7"/>
        <v>1</v>
      </c>
      <c r="J19" s="21">
        <f t="shared" si="7"/>
        <v>1</v>
      </c>
      <c r="K19" s="21">
        <f t="shared" si="7"/>
        <v>1</v>
      </c>
      <c r="L19" s="21">
        <f t="shared" si="7"/>
        <v>1</v>
      </c>
      <c r="M19" s="21">
        <f t="shared" si="7"/>
        <v>1</v>
      </c>
      <c r="N19" s="21">
        <f t="shared" si="7"/>
        <v>1</v>
      </c>
      <c r="O19" s="21">
        <f t="shared" si="7"/>
        <v>1</v>
      </c>
      <c r="P19" s="21">
        <f t="shared" si="7"/>
        <v>1</v>
      </c>
      <c r="Q19" s="21">
        <f t="shared" si="7"/>
        <v>1</v>
      </c>
      <c r="R19" s="21">
        <f t="shared" si="7"/>
        <v>1</v>
      </c>
      <c r="S19" s="21">
        <f t="shared" si="7"/>
        <v>1</v>
      </c>
      <c r="T19" s="21">
        <f t="shared" si="7"/>
        <v>1</v>
      </c>
      <c r="U19" s="21">
        <f t="shared" si="7"/>
        <v>1</v>
      </c>
      <c r="V19" s="21">
        <f t="shared" si="7"/>
        <v>1</v>
      </c>
      <c r="W19" s="21">
        <f t="shared" si="7"/>
        <v>1</v>
      </c>
      <c r="X19" s="21">
        <f t="shared" si="7"/>
        <v>1</v>
      </c>
      <c r="Y19" s="21">
        <f t="shared" si="7"/>
        <v>1</v>
      </c>
      <c r="Z19" s="21">
        <f t="shared" si="7"/>
        <v>1</v>
      </c>
      <c r="AA19" s="21">
        <f t="shared" si="7"/>
        <v>1</v>
      </c>
      <c r="AB19" s="21">
        <f t="shared" si="7"/>
        <v>1</v>
      </c>
      <c r="AC19" s="21">
        <f t="shared" si="7"/>
        <v>1</v>
      </c>
      <c r="AD19" s="21">
        <f t="shared" si="7"/>
        <v>1</v>
      </c>
      <c r="AE19" s="21">
        <f t="shared" si="7"/>
        <v>1</v>
      </c>
      <c r="AF19" s="21">
        <f t="shared" si="7"/>
        <v>1</v>
      </c>
      <c r="AG19" s="21">
        <f t="shared" si="7"/>
        <v>1</v>
      </c>
      <c r="AH19" s="21">
        <f t="shared" si="7"/>
        <v>1</v>
      </c>
      <c r="AI19" s="21" t="s">
        <v>45</v>
      </c>
    </row>
    <row r="20" spans="2:35" ht="18.75" x14ac:dyDescent="0.3">
      <c r="B20" s="49" t="s">
        <v>9</v>
      </c>
      <c r="C20" s="49"/>
      <c r="D20" s="20"/>
      <c r="E20" s="21">
        <f t="shared" ref="E20:AH20" si="8">COUNTIF(E$5:E$15,"O*")</f>
        <v>1</v>
      </c>
      <c r="F20" s="21">
        <f t="shared" si="8"/>
        <v>2</v>
      </c>
      <c r="G20" s="21">
        <f t="shared" si="8"/>
        <v>1</v>
      </c>
      <c r="H20" s="21">
        <f t="shared" si="8"/>
        <v>3</v>
      </c>
      <c r="I20" s="21">
        <f t="shared" si="8"/>
        <v>7</v>
      </c>
      <c r="J20" s="21">
        <f t="shared" si="8"/>
        <v>8</v>
      </c>
      <c r="K20" s="21">
        <f t="shared" si="8"/>
        <v>3</v>
      </c>
      <c r="L20" s="21">
        <f t="shared" si="8"/>
        <v>2</v>
      </c>
      <c r="M20" s="21">
        <f t="shared" si="8"/>
        <v>1</v>
      </c>
      <c r="N20" s="21">
        <f t="shared" si="8"/>
        <v>2</v>
      </c>
      <c r="O20" s="21">
        <f t="shared" si="8"/>
        <v>2</v>
      </c>
      <c r="P20" s="21">
        <f t="shared" si="8"/>
        <v>7</v>
      </c>
      <c r="Q20" s="21">
        <f t="shared" si="8"/>
        <v>7</v>
      </c>
      <c r="R20" s="21">
        <f t="shared" si="8"/>
        <v>4</v>
      </c>
      <c r="S20" s="21">
        <f t="shared" si="8"/>
        <v>2</v>
      </c>
      <c r="T20" s="21">
        <f t="shared" si="8"/>
        <v>2</v>
      </c>
      <c r="U20" s="21">
        <f t="shared" si="8"/>
        <v>1</v>
      </c>
      <c r="V20" s="21">
        <f t="shared" si="8"/>
        <v>3</v>
      </c>
      <c r="W20" s="21">
        <f t="shared" si="8"/>
        <v>6</v>
      </c>
      <c r="X20" s="21">
        <f t="shared" si="8"/>
        <v>7</v>
      </c>
      <c r="Y20" s="21">
        <f t="shared" si="8"/>
        <v>3</v>
      </c>
      <c r="Z20" s="21">
        <f t="shared" si="8"/>
        <v>3</v>
      </c>
      <c r="AA20" s="21">
        <f t="shared" si="8"/>
        <v>2</v>
      </c>
      <c r="AB20" s="21">
        <f t="shared" si="8"/>
        <v>2</v>
      </c>
      <c r="AC20" s="21">
        <f t="shared" si="8"/>
        <v>2</v>
      </c>
      <c r="AD20" s="21">
        <f t="shared" si="8"/>
        <v>7</v>
      </c>
      <c r="AE20" s="21">
        <f t="shared" si="8"/>
        <v>6</v>
      </c>
      <c r="AF20" s="21">
        <f t="shared" si="8"/>
        <v>3</v>
      </c>
      <c r="AG20" s="21">
        <f t="shared" si="8"/>
        <v>2</v>
      </c>
      <c r="AH20" s="21">
        <f t="shared" si="8"/>
        <v>3</v>
      </c>
      <c r="AI20" s="21" t="s">
        <v>45</v>
      </c>
    </row>
    <row r="21" spans="2:35" ht="18.75" x14ac:dyDescent="0.3">
      <c r="B21" s="45" t="s">
        <v>57</v>
      </c>
      <c r="C21" s="46"/>
      <c r="D21" s="20"/>
      <c r="E21" s="21">
        <f t="shared" ref="E21:AH21" si="9">COUNTIF(E$5:E$15,"ST*")</f>
        <v>3</v>
      </c>
      <c r="F21" s="21">
        <f t="shared" si="9"/>
        <v>2</v>
      </c>
      <c r="G21" s="21">
        <f t="shared" si="9"/>
        <v>3</v>
      </c>
      <c r="H21" s="21">
        <f t="shared" si="9"/>
        <v>1</v>
      </c>
      <c r="I21" s="21">
        <f t="shared" si="9"/>
        <v>1</v>
      </c>
      <c r="J21" s="21">
        <f t="shared" si="9"/>
        <v>0</v>
      </c>
      <c r="K21" s="21">
        <f t="shared" si="9"/>
        <v>1</v>
      </c>
      <c r="L21" s="21">
        <f t="shared" si="9"/>
        <v>2</v>
      </c>
      <c r="M21" s="21">
        <f t="shared" si="9"/>
        <v>3</v>
      </c>
      <c r="N21" s="21">
        <f t="shared" si="9"/>
        <v>2</v>
      </c>
      <c r="O21" s="21">
        <f t="shared" si="9"/>
        <v>2</v>
      </c>
      <c r="P21" s="21">
        <f t="shared" si="9"/>
        <v>1</v>
      </c>
      <c r="Q21" s="21">
        <f t="shared" si="9"/>
        <v>1</v>
      </c>
      <c r="R21" s="21">
        <f t="shared" si="9"/>
        <v>0</v>
      </c>
      <c r="S21" s="21">
        <f t="shared" si="9"/>
        <v>2</v>
      </c>
      <c r="T21" s="21">
        <f t="shared" si="9"/>
        <v>2</v>
      </c>
      <c r="U21" s="21">
        <f t="shared" si="9"/>
        <v>3</v>
      </c>
      <c r="V21" s="21">
        <f t="shared" si="9"/>
        <v>1</v>
      </c>
      <c r="W21" s="21">
        <f t="shared" si="9"/>
        <v>2</v>
      </c>
      <c r="X21" s="21">
        <f t="shared" si="9"/>
        <v>1</v>
      </c>
      <c r="Y21" s="21">
        <f t="shared" si="9"/>
        <v>1</v>
      </c>
      <c r="Z21" s="21">
        <f t="shared" si="9"/>
        <v>1</v>
      </c>
      <c r="AA21" s="21">
        <f t="shared" si="9"/>
        <v>2</v>
      </c>
      <c r="AB21" s="21">
        <f t="shared" si="9"/>
        <v>2</v>
      </c>
      <c r="AC21" s="21">
        <f t="shared" si="9"/>
        <v>2</v>
      </c>
      <c r="AD21" s="21">
        <f t="shared" si="9"/>
        <v>1</v>
      </c>
      <c r="AE21" s="21">
        <f t="shared" si="9"/>
        <v>2</v>
      </c>
      <c r="AF21" s="21">
        <f t="shared" si="9"/>
        <v>1</v>
      </c>
      <c r="AG21" s="21">
        <f t="shared" si="9"/>
        <v>2</v>
      </c>
      <c r="AH21" s="21">
        <f t="shared" si="9"/>
        <v>1</v>
      </c>
      <c r="AI21" s="21" t="s">
        <v>45</v>
      </c>
    </row>
    <row r="22" spans="2:35" ht="18.75" x14ac:dyDescent="0.3">
      <c r="B22" s="50" t="s">
        <v>55</v>
      </c>
      <c r="C22" s="50"/>
      <c r="D22" s="22"/>
      <c r="E22" s="23">
        <f>E24-E25</f>
        <v>0</v>
      </c>
      <c r="F22" s="23">
        <f t="shared" ref="F22:AH22" si="10">F24-F25</f>
        <v>0</v>
      </c>
      <c r="G22" s="23">
        <f t="shared" si="10"/>
        <v>0</v>
      </c>
      <c r="H22" s="23">
        <f t="shared" si="10"/>
        <v>0</v>
      </c>
      <c r="I22" s="23">
        <f t="shared" si="10"/>
        <v>0</v>
      </c>
      <c r="J22" s="23">
        <f t="shared" si="10"/>
        <v>0</v>
      </c>
      <c r="K22" s="23">
        <f t="shared" si="10"/>
        <v>0</v>
      </c>
      <c r="L22" s="23">
        <f t="shared" si="10"/>
        <v>0</v>
      </c>
      <c r="M22" s="23">
        <f t="shared" si="10"/>
        <v>0</v>
      </c>
      <c r="N22" s="23">
        <f t="shared" si="10"/>
        <v>0</v>
      </c>
      <c r="O22" s="23">
        <f t="shared" si="10"/>
        <v>0</v>
      </c>
      <c r="P22" s="23">
        <f t="shared" si="10"/>
        <v>0</v>
      </c>
      <c r="Q22" s="23">
        <f t="shared" si="10"/>
        <v>0</v>
      </c>
      <c r="R22" s="23">
        <f t="shared" si="10"/>
        <v>0</v>
      </c>
      <c r="S22" s="23">
        <f t="shared" si="10"/>
        <v>0</v>
      </c>
      <c r="T22" s="23">
        <f t="shared" si="10"/>
        <v>0</v>
      </c>
      <c r="U22" s="23">
        <f t="shared" si="10"/>
        <v>0</v>
      </c>
      <c r="V22" s="23">
        <f t="shared" si="10"/>
        <v>0</v>
      </c>
      <c r="W22" s="23">
        <f t="shared" si="10"/>
        <v>0</v>
      </c>
      <c r="X22" s="23">
        <f t="shared" si="10"/>
        <v>0</v>
      </c>
      <c r="Y22" s="23">
        <f t="shared" si="10"/>
        <v>0</v>
      </c>
      <c r="Z22" s="23">
        <f t="shared" si="10"/>
        <v>0</v>
      </c>
      <c r="AA22" s="23">
        <f t="shared" si="10"/>
        <v>0</v>
      </c>
      <c r="AB22" s="23">
        <f t="shared" si="10"/>
        <v>0</v>
      </c>
      <c r="AC22" s="23">
        <f t="shared" si="10"/>
        <v>0</v>
      </c>
      <c r="AD22" s="23">
        <f t="shared" si="10"/>
        <v>0</v>
      </c>
      <c r="AE22" s="23">
        <f t="shared" si="10"/>
        <v>0</v>
      </c>
      <c r="AF22" s="23">
        <f t="shared" si="10"/>
        <v>0</v>
      </c>
      <c r="AG22" s="23">
        <f t="shared" si="10"/>
        <v>0</v>
      </c>
      <c r="AH22" s="23">
        <f t="shared" si="10"/>
        <v>0</v>
      </c>
      <c r="AI22" s="23" t="s">
        <v>45</v>
      </c>
    </row>
    <row r="23" spans="2:35" ht="9.75" customHeight="1" x14ac:dyDescent="0.3">
      <c r="B23" s="24"/>
      <c r="C23" s="24"/>
      <c r="D23" s="20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</row>
    <row r="24" spans="2:35" ht="18.75" x14ac:dyDescent="0.3">
      <c r="B24" s="49" t="s">
        <v>53</v>
      </c>
      <c r="C24" s="49"/>
      <c r="D24" s="20"/>
      <c r="E24" s="25">
        <f>SUM(E17:E19)</f>
        <v>7</v>
      </c>
      <c r="F24" s="25">
        <f t="shared" ref="F24:AH24" si="11">SUM(F17:F19)</f>
        <v>7</v>
      </c>
      <c r="G24" s="25">
        <f t="shared" si="11"/>
        <v>7</v>
      </c>
      <c r="H24" s="25">
        <f t="shared" si="11"/>
        <v>7</v>
      </c>
      <c r="I24" s="25">
        <f t="shared" si="11"/>
        <v>3</v>
      </c>
      <c r="J24" s="25">
        <f t="shared" si="11"/>
        <v>3</v>
      </c>
      <c r="K24" s="25">
        <f t="shared" si="11"/>
        <v>7</v>
      </c>
      <c r="L24" s="25">
        <f t="shared" si="11"/>
        <v>7</v>
      </c>
      <c r="M24" s="25">
        <f t="shared" si="11"/>
        <v>7</v>
      </c>
      <c r="N24" s="25">
        <f t="shared" si="11"/>
        <v>7</v>
      </c>
      <c r="O24" s="25">
        <f t="shared" si="11"/>
        <v>7</v>
      </c>
      <c r="P24" s="25">
        <f t="shared" si="11"/>
        <v>3</v>
      </c>
      <c r="Q24" s="25">
        <f t="shared" si="11"/>
        <v>3</v>
      </c>
      <c r="R24" s="25">
        <f t="shared" si="11"/>
        <v>7</v>
      </c>
      <c r="S24" s="25">
        <f t="shared" si="11"/>
        <v>7</v>
      </c>
      <c r="T24" s="25">
        <f t="shared" si="11"/>
        <v>7</v>
      </c>
      <c r="U24" s="25">
        <f t="shared" si="11"/>
        <v>7</v>
      </c>
      <c r="V24" s="25">
        <f t="shared" si="11"/>
        <v>7</v>
      </c>
      <c r="W24" s="25">
        <f t="shared" si="11"/>
        <v>3</v>
      </c>
      <c r="X24" s="25">
        <f t="shared" si="11"/>
        <v>3</v>
      </c>
      <c r="Y24" s="25">
        <f t="shared" si="11"/>
        <v>7</v>
      </c>
      <c r="Z24" s="25">
        <f t="shared" si="11"/>
        <v>7</v>
      </c>
      <c r="AA24" s="25">
        <f t="shared" si="11"/>
        <v>7</v>
      </c>
      <c r="AB24" s="25">
        <f t="shared" si="11"/>
        <v>7</v>
      </c>
      <c r="AC24" s="25">
        <f t="shared" si="11"/>
        <v>7</v>
      </c>
      <c r="AD24" s="25">
        <f t="shared" si="11"/>
        <v>3</v>
      </c>
      <c r="AE24" s="25">
        <f t="shared" si="11"/>
        <v>3</v>
      </c>
      <c r="AF24" s="25">
        <f t="shared" si="11"/>
        <v>7</v>
      </c>
      <c r="AG24" s="25">
        <f t="shared" si="11"/>
        <v>7</v>
      </c>
      <c r="AH24" s="25">
        <f t="shared" si="11"/>
        <v>7</v>
      </c>
      <c r="AI24" s="25" t="s">
        <v>45</v>
      </c>
    </row>
    <row r="25" spans="2:35" ht="18.75" x14ac:dyDescent="0.3">
      <c r="B25" s="49" t="s">
        <v>40</v>
      </c>
      <c r="C25" s="49"/>
      <c r="D25" s="20"/>
      <c r="E25" s="21">
        <v>7</v>
      </c>
      <c r="F25" s="21">
        <v>7</v>
      </c>
      <c r="G25" s="21">
        <v>7</v>
      </c>
      <c r="H25" s="21">
        <v>7</v>
      </c>
      <c r="I25" s="21">
        <v>3</v>
      </c>
      <c r="J25" s="21">
        <v>3</v>
      </c>
      <c r="K25" s="21">
        <v>7</v>
      </c>
      <c r="L25" s="21">
        <v>7</v>
      </c>
      <c r="M25" s="21">
        <v>7</v>
      </c>
      <c r="N25" s="21">
        <v>7</v>
      </c>
      <c r="O25" s="21">
        <v>7</v>
      </c>
      <c r="P25" s="21">
        <v>3</v>
      </c>
      <c r="Q25" s="21">
        <v>3</v>
      </c>
      <c r="R25" s="21">
        <v>7</v>
      </c>
      <c r="S25" s="21">
        <v>7</v>
      </c>
      <c r="T25" s="21">
        <v>7</v>
      </c>
      <c r="U25" s="21">
        <v>7</v>
      </c>
      <c r="V25" s="21">
        <v>7</v>
      </c>
      <c r="W25" s="21">
        <v>3</v>
      </c>
      <c r="X25" s="21">
        <v>3</v>
      </c>
      <c r="Y25" s="21">
        <v>7</v>
      </c>
      <c r="Z25" s="21">
        <v>7</v>
      </c>
      <c r="AA25" s="21">
        <v>7</v>
      </c>
      <c r="AB25" s="21">
        <v>7</v>
      </c>
      <c r="AC25" s="21">
        <v>7</v>
      </c>
      <c r="AD25" s="21">
        <v>3</v>
      </c>
      <c r="AE25" s="21">
        <v>3</v>
      </c>
      <c r="AF25" s="21">
        <v>7</v>
      </c>
      <c r="AG25" s="21">
        <v>7</v>
      </c>
      <c r="AH25" s="21">
        <v>7</v>
      </c>
      <c r="AI25" s="21" t="s">
        <v>45</v>
      </c>
    </row>
    <row r="26" spans="2:35" ht="18.75" x14ac:dyDescent="0.3">
      <c r="B26" s="49" t="s">
        <v>54</v>
      </c>
      <c r="C26" s="49"/>
      <c r="D26" s="20"/>
      <c r="E26" s="21">
        <v>11</v>
      </c>
      <c r="F26" s="21">
        <v>11</v>
      </c>
      <c r="G26" s="21">
        <v>11</v>
      </c>
      <c r="H26" s="21">
        <v>11</v>
      </c>
      <c r="I26" s="21">
        <v>11</v>
      </c>
      <c r="J26" s="21">
        <v>11</v>
      </c>
      <c r="K26" s="21">
        <v>11</v>
      </c>
      <c r="L26" s="21">
        <v>11</v>
      </c>
      <c r="M26" s="21">
        <v>11</v>
      </c>
      <c r="N26" s="21">
        <v>11</v>
      </c>
      <c r="O26" s="21">
        <v>11</v>
      </c>
      <c r="P26" s="21">
        <v>11</v>
      </c>
      <c r="Q26" s="21">
        <v>11</v>
      </c>
      <c r="R26" s="21">
        <v>11</v>
      </c>
      <c r="S26" s="21">
        <v>11</v>
      </c>
      <c r="T26" s="21">
        <v>11</v>
      </c>
      <c r="U26" s="21">
        <v>11</v>
      </c>
      <c r="V26" s="21">
        <v>11</v>
      </c>
      <c r="W26" s="21">
        <v>11</v>
      </c>
      <c r="X26" s="21">
        <v>11</v>
      </c>
      <c r="Y26" s="21">
        <v>11</v>
      </c>
      <c r="Z26" s="21">
        <v>11</v>
      </c>
      <c r="AA26" s="21">
        <v>11</v>
      </c>
      <c r="AB26" s="21">
        <v>11</v>
      </c>
      <c r="AC26" s="21">
        <v>11</v>
      </c>
      <c r="AD26" s="21">
        <v>11</v>
      </c>
      <c r="AE26" s="21">
        <v>11</v>
      </c>
      <c r="AF26" s="21">
        <v>11</v>
      </c>
      <c r="AG26" s="21">
        <v>11</v>
      </c>
      <c r="AH26" s="21">
        <v>11</v>
      </c>
      <c r="AI26" s="21" t="s">
        <v>45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F5:AH5 E6:AH10">
    <cfRule type="containsText" dxfId="1071" priority="31" operator="containsText" text="STM1">
      <formula>NOT(ISERROR(SEARCH("STM1",E5)))</formula>
    </cfRule>
    <cfRule type="containsText" dxfId="1070" priority="32" operator="containsText" text="STA">
      <formula>NOT(ISERROR(SEARCH("STA",E5)))</formula>
    </cfRule>
    <cfRule type="containsText" dxfId="1069" priority="33" operator="containsText" text="STM1">
      <formula>NOT(ISERROR(SEARCH("STM1",E5)))</formula>
    </cfRule>
    <cfRule type="containsText" dxfId="1068" priority="34" operator="containsText" text="O">
      <formula>NOT(ISERROR(SEARCH("O",E5)))</formula>
    </cfRule>
    <cfRule type="containsText" dxfId="1067" priority="35" operator="containsText" text="N">
      <formula>NOT(ISERROR(SEARCH("N",E5)))</formula>
    </cfRule>
    <cfRule type="containsText" dxfId="1066" priority="36" operator="containsText" text="A">
      <formula>NOT(ISERROR(SEARCH("A",E5)))</formula>
    </cfRule>
    <cfRule type="containsText" dxfId="1065" priority="37" operator="containsText" text="M">
      <formula>NOT(ISERROR(SEARCH("M",E5)))</formula>
    </cfRule>
  </conditionalFormatting>
  <conditionalFormatting sqref="E5:AH10">
    <cfRule type="containsText" dxfId="1064" priority="21" operator="containsText" text="A">
      <formula>NOT(ISERROR(SEARCH("A",E5)))</formula>
    </cfRule>
    <cfRule type="containsText" dxfId="1063" priority="23" operator="containsText" text="STN">
      <formula>NOT(ISERROR(SEARCH("STN",E5)))</formula>
    </cfRule>
    <cfRule type="containsText" dxfId="1062" priority="24" operator="containsText" text="STN">
      <formula>NOT(ISERROR(SEARCH("STN",E5)))</formula>
    </cfRule>
    <cfRule type="containsText" dxfId="1061" priority="25" operator="containsText" text="STM">
      <formula>NOT(ISERROR(SEARCH("STM",E5)))</formula>
    </cfRule>
    <cfRule type="containsText" dxfId="1060" priority="26" operator="containsText" text="M">
      <formula>NOT(ISERROR(SEARCH("M",E5)))</formula>
    </cfRule>
    <cfRule type="containsText" dxfId="1059" priority="27" operator="containsText" text="STM1">
      <formula>NOT(ISERROR(SEARCH("STM1",E5)))</formula>
    </cfRule>
    <cfRule type="containsText" dxfId="1058" priority="28" operator="containsText" text="M">
      <formula>NOT(ISERROR(SEARCH("M",E5)))</formula>
    </cfRule>
    <cfRule type="containsText" dxfId="1057" priority="29" operator="containsText" text="STM">
      <formula>NOT(ISERROR(SEARCH("STM",E5)))</formula>
    </cfRule>
    <cfRule type="containsText" dxfId="1056" priority="30" operator="containsText" text="STM">
      <formula>NOT(ISERROR(SEARCH("STM",E5)))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conditionalFormatting sqref="E11:AH15">
    <cfRule type="containsText" dxfId="1055" priority="14" operator="containsText" text="STM1">
      <formula>NOT(ISERROR(SEARCH("STM1",E11)))</formula>
    </cfRule>
    <cfRule type="containsText" dxfId="1054" priority="15" operator="containsText" text="STA">
      <formula>NOT(ISERROR(SEARCH("STA",E11)))</formula>
    </cfRule>
    <cfRule type="containsText" dxfId="1053" priority="16" operator="containsText" text="STM1">
      <formula>NOT(ISERROR(SEARCH("STM1",E11)))</formula>
    </cfRule>
    <cfRule type="containsText" dxfId="1052" priority="17" operator="containsText" text="O">
      <formula>NOT(ISERROR(SEARCH("O",E11)))</formula>
    </cfRule>
    <cfRule type="containsText" dxfId="1051" priority="18" operator="containsText" text="N">
      <formula>NOT(ISERROR(SEARCH("N",E11)))</formula>
    </cfRule>
    <cfRule type="containsText" dxfId="1050" priority="19" operator="containsText" text="A">
      <formula>NOT(ISERROR(SEARCH("A",E11)))</formula>
    </cfRule>
    <cfRule type="containsText" dxfId="1049" priority="20" operator="containsText" text="M">
      <formula>NOT(ISERROR(SEARCH("M",E11)))</formula>
    </cfRule>
  </conditionalFormatting>
  <conditionalFormatting sqref="E11:AH15">
    <cfRule type="containsText" dxfId="1048" priority="6" operator="containsText" text="STN">
      <formula>NOT(ISERROR(SEARCH("STN",E11)))</formula>
    </cfRule>
    <cfRule type="containsText" dxfId="1047" priority="7" operator="containsText" text="STN">
      <formula>NOT(ISERROR(SEARCH("STN",E11)))</formula>
    </cfRule>
    <cfRule type="containsText" dxfId="1046" priority="8" operator="containsText" text="STM">
      <formula>NOT(ISERROR(SEARCH("STM",E11)))</formula>
    </cfRule>
    <cfRule type="containsText" dxfId="1045" priority="9" operator="containsText" text="M">
      <formula>NOT(ISERROR(SEARCH("M",E11)))</formula>
    </cfRule>
    <cfRule type="containsText" dxfId="1044" priority="10" operator="containsText" text="STM1">
      <formula>NOT(ISERROR(SEARCH("STM1",E11)))</formula>
    </cfRule>
    <cfRule type="containsText" dxfId="1043" priority="11" operator="containsText" text="M">
      <formula>NOT(ISERROR(SEARCH("M",E11)))</formula>
    </cfRule>
    <cfRule type="containsText" dxfId="1042" priority="12" operator="containsText" text="STM">
      <formula>NOT(ISERROR(SEARCH("STM",E11)))</formula>
    </cfRule>
    <cfRule type="containsText" dxfId="1041" priority="13" operator="containsText" text="STM">
      <formula>NOT(ISERROR(SEARCH("STM",E11)))</formula>
    </cfRule>
  </conditionalFormatting>
  <conditionalFormatting sqref="E5:AH15">
    <cfRule type="containsText" dxfId="1040" priority="5" operator="containsText" text="STM1">
      <formula>NOT(ISERROR(SEARCH("STM1",E5)))</formula>
    </cfRule>
  </conditionalFormatting>
  <conditionalFormatting sqref="E5:AI15">
    <cfRule type="containsText" dxfId="1039" priority="1" operator="containsText" text="STN">
      <formula>NOT(ISERROR(SEARCH("STN",E5)))</formula>
    </cfRule>
    <cfRule type="containsText" dxfId="1038" priority="2" operator="containsText" text="STA">
      <formula>NOT(ISERROR(SEARCH("STA",E5)))</formula>
    </cfRule>
    <cfRule type="containsText" dxfId="1037" priority="3" operator="containsText" text="STM1">
      <formula>NOT(ISERROR(SEARCH("STM1",E5)))</formula>
    </cfRule>
    <cfRule type="containsText" dxfId="1036" priority="4" operator="containsText" text="STM1">
      <formula>NOT(ISERROR(SEARCH("STM1",E5)))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AF25-F3F2-44A9-9F07-8A77D866E0A5}">
  <dimension ref="B2:AO33"/>
  <sheetViews>
    <sheetView zoomScale="90" zoomScaleNormal="90" workbookViewId="0">
      <selection activeCell="H21" sqref="H21"/>
    </sheetView>
  </sheetViews>
  <sheetFormatPr defaultRowHeight="15.75" x14ac:dyDescent="0.25"/>
  <cols>
    <col min="1" max="1" width="3.42578125" style="1" customWidth="1"/>
    <col min="2" max="2" width="12.85546875" style="1" customWidth="1"/>
    <col min="3" max="3" width="15.4257812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39" t="s">
        <v>69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K2" s="36" t="s">
        <v>63</v>
      </c>
      <c r="AL2" s="36" t="s">
        <v>64</v>
      </c>
      <c r="AM2" s="36" t="s">
        <v>67</v>
      </c>
      <c r="AN2" s="36" t="s">
        <v>65</v>
      </c>
      <c r="AO2" s="36" t="s">
        <v>66</v>
      </c>
    </row>
    <row r="3" spans="2:41" ht="39" x14ac:dyDescent="0.3">
      <c r="B3" s="41" t="s">
        <v>56</v>
      </c>
      <c r="C3" s="42"/>
      <c r="E3" s="12" t="s">
        <v>46</v>
      </c>
      <c r="F3" s="13" t="s">
        <v>47</v>
      </c>
      <c r="G3" s="13" t="s">
        <v>48</v>
      </c>
      <c r="H3" s="13" t="s">
        <v>49</v>
      </c>
      <c r="I3" s="13" t="s">
        <v>50</v>
      </c>
      <c r="J3" s="13" t="s">
        <v>51</v>
      </c>
      <c r="K3" s="13" t="s">
        <v>52</v>
      </c>
      <c r="L3" s="13" t="s">
        <v>46</v>
      </c>
      <c r="M3" s="13" t="s">
        <v>47</v>
      </c>
      <c r="N3" s="13" t="s">
        <v>48</v>
      </c>
      <c r="O3" s="13" t="s">
        <v>49</v>
      </c>
      <c r="P3" s="13" t="s">
        <v>50</v>
      </c>
      <c r="Q3" s="13" t="s">
        <v>51</v>
      </c>
      <c r="R3" s="13" t="s">
        <v>52</v>
      </c>
      <c r="S3" s="13" t="s">
        <v>46</v>
      </c>
      <c r="T3" s="13" t="s">
        <v>47</v>
      </c>
      <c r="U3" s="13" t="s">
        <v>48</v>
      </c>
      <c r="V3" s="13" t="s">
        <v>49</v>
      </c>
      <c r="W3" s="13" t="s">
        <v>50</v>
      </c>
      <c r="X3" s="13" t="s">
        <v>51</v>
      </c>
      <c r="Y3" s="13" t="s">
        <v>52</v>
      </c>
      <c r="Z3" s="13" t="s">
        <v>46</v>
      </c>
      <c r="AA3" s="13" t="s">
        <v>47</v>
      </c>
      <c r="AB3" s="13" t="s">
        <v>48</v>
      </c>
      <c r="AC3" s="13" t="s">
        <v>49</v>
      </c>
      <c r="AD3" s="13" t="s">
        <v>50</v>
      </c>
      <c r="AE3" s="13" t="s">
        <v>51</v>
      </c>
      <c r="AF3" s="13" t="s">
        <v>52</v>
      </c>
      <c r="AG3" s="13" t="s">
        <v>46</v>
      </c>
      <c r="AH3" s="14" t="s">
        <v>47</v>
      </c>
      <c r="AI3" s="15"/>
      <c r="AK3" s="37"/>
      <c r="AL3" s="37"/>
      <c r="AM3" s="37"/>
      <c r="AN3" s="37"/>
      <c r="AO3" s="37"/>
    </row>
    <row r="4" spans="2:41" ht="19.5" thickBot="1" x14ac:dyDescent="0.35">
      <c r="B4" s="43"/>
      <c r="C4" s="44"/>
      <c r="E4" s="16">
        <v>1</v>
      </c>
      <c r="F4" s="17">
        <v>2</v>
      </c>
      <c r="G4" s="17">
        <v>3</v>
      </c>
      <c r="H4" s="17">
        <v>4</v>
      </c>
      <c r="I4" s="17">
        <v>5</v>
      </c>
      <c r="J4" s="17">
        <v>6</v>
      </c>
      <c r="K4" s="17">
        <v>7</v>
      </c>
      <c r="L4" s="17">
        <v>8</v>
      </c>
      <c r="M4" s="17">
        <v>9</v>
      </c>
      <c r="N4" s="17">
        <v>10</v>
      </c>
      <c r="O4" s="17">
        <v>11</v>
      </c>
      <c r="P4" s="17">
        <v>12</v>
      </c>
      <c r="Q4" s="17">
        <v>13</v>
      </c>
      <c r="R4" s="17">
        <v>14</v>
      </c>
      <c r="S4" s="17">
        <v>15</v>
      </c>
      <c r="T4" s="17">
        <v>16</v>
      </c>
      <c r="U4" s="17">
        <v>17</v>
      </c>
      <c r="V4" s="17">
        <v>18</v>
      </c>
      <c r="W4" s="17">
        <v>19</v>
      </c>
      <c r="X4" s="17">
        <v>20</v>
      </c>
      <c r="Y4" s="17">
        <v>21</v>
      </c>
      <c r="Z4" s="17">
        <v>22</v>
      </c>
      <c r="AA4" s="17">
        <v>23</v>
      </c>
      <c r="AB4" s="17">
        <v>24</v>
      </c>
      <c r="AC4" s="17">
        <v>25</v>
      </c>
      <c r="AD4" s="17">
        <v>26</v>
      </c>
      <c r="AE4" s="17">
        <v>27</v>
      </c>
      <c r="AF4" s="17">
        <v>28</v>
      </c>
      <c r="AG4" s="17">
        <v>29</v>
      </c>
      <c r="AH4" s="18">
        <v>30</v>
      </c>
      <c r="AI4" s="19"/>
      <c r="AK4" s="38"/>
      <c r="AL4" s="38"/>
      <c r="AM4" s="38"/>
      <c r="AN4" s="38"/>
      <c r="AO4" s="38"/>
    </row>
    <row r="5" spans="2:41" ht="18.75" x14ac:dyDescent="0.25">
      <c r="B5" s="40" t="s">
        <v>10</v>
      </c>
      <c r="C5" s="40"/>
      <c r="E5" s="11" t="s">
        <v>58</v>
      </c>
      <c r="F5" s="7" t="s">
        <v>1</v>
      </c>
      <c r="G5" s="7" t="s">
        <v>2</v>
      </c>
      <c r="H5" s="7" t="s">
        <v>44</v>
      </c>
      <c r="I5" s="7" t="s">
        <v>3</v>
      </c>
      <c r="J5" s="7" t="s">
        <v>5</v>
      </c>
      <c r="K5" s="7" t="s">
        <v>6</v>
      </c>
      <c r="L5" s="7" t="s">
        <v>7</v>
      </c>
      <c r="M5" s="7" t="s">
        <v>0</v>
      </c>
      <c r="N5" s="7" t="s">
        <v>62</v>
      </c>
      <c r="O5" s="7" t="s">
        <v>2</v>
      </c>
      <c r="P5" s="7" t="s">
        <v>44</v>
      </c>
      <c r="Q5" s="7" t="s">
        <v>3</v>
      </c>
      <c r="R5" s="7" t="s">
        <v>5</v>
      </c>
      <c r="S5" s="7" t="s">
        <v>6</v>
      </c>
      <c r="T5" s="7" t="s">
        <v>7</v>
      </c>
      <c r="U5" s="7" t="s">
        <v>0</v>
      </c>
      <c r="V5" s="7" t="s">
        <v>2</v>
      </c>
      <c r="W5" s="7" t="s">
        <v>44</v>
      </c>
      <c r="X5" s="7" t="s">
        <v>60</v>
      </c>
      <c r="Y5" s="7" t="s">
        <v>4</v>
      </c>
      <c r="Z5" s="7" t="s">
        <v>5</v>
      </c>
      <c r="AA5" s="7" t="s">
        <v>6</v>
      </c>
      <c r="AB5" s="7" t="s">
        <v>7</v>
      </c>
      <c r="AC5" s="7" t="s">
        <v>0</v>
      </c>
      <c r="AD5" s="7" t="s">
        <v>1</v>
      </c>
      <c r="AE5" s="7" t="s">
        <v>59</v>
      </c>
      <c r="AF5" s="7" t="s">
        <v>3</v>
      </c>
      <c r="AG5" s="7" t="s">
        <v>4</v>
      </c>
      <c r="AH5" s="8" t="s">
        <v>5</v>
      </c>
      <c r="AI5" s="10"/>
      <c r="AK5" s="6">
        <f>COUNTIF($E5:$AI5,"ST*")</f>
        <v>4</v>
      </c>
      <c r="AL5" s="6">
        <f>COUNTIF($E5:$AI5,"M*")</f>
        <v>5</v>
      </c>
      <c r="AM5" s="6">
        <f>COUNTIF($E5:$AI5,"A*")</f>
        <v>6</v>
      </c>
      <c r="AN5" s="6">
        <f>COUNTIF($E5:$AI5,"N*")</f>
        <v>5</v>
      </c>
      <c r="AO5" s="6">
        <f>COUNTIF($E5:$AI5,"O*")</f>
        <v>10</v>
      </c>
    </row>
    <row r="6" spans="2:41" ht="18.75" x14ac:dyDescent="0.25">
      <c r="B6" s="40" t="s">
        <v>11</v>
      </c>
      <c r="C6" s="40"/>
      <c r="E6" s="5" t="s">
        <v>2</v>
      </c>
      <c r="F6" s="5" t="s">
        <v>61</v>
      </c>
      <c r="G6" s="5" t="s">
        <v>3</v>
      </c>
      <c r="H6" s="5" t="s">
        <v>4</v>
      </c>
      <c r="I6" s="5" t="s">
        <v>5</v>
      </c>
      <c r="J6" s="5" t="s">
        <v>6</v>
      </c>
      <c r="K6" s="5" t="s">
        <v>7</v>
      </c>
      <c r="L6" s="5" t="s">
        <v>0</v>
      </c>
      <c r="M6" s="5" t="s">
        <v>62</v>
      </c>
      <c r="N6" s="5" t="s">
        <v>2</v>
      </c>
      <c r="O6" s="5" t="s">
        <v>61</v>
      </c>
      <c r="P6" s="5" t="s">
        <v>3</v>
      </c>
      <c r="Q6" s="5" t="s">
        <v>5</v>
      </c>
      <c r="R6" s="5" t="s">
        <v>6</v>
      </c>
      <c r="S6" s="5" t="s">
        <v>7</v>
      </c>
      <c r="T6" s="5" t="s">
        <v>0</v>
      </c>
      <c r="U6" s="5" t="s">
        <v>1</v>
      </c>
      <c r="V6" s="5" t="s">
        <v>2</v>
      </c>
      <c r="W6" s="5" t="s">
        <v>61</v>
      </c>
      <c r="X6" s="5" t="s">
        <v>3</v>
      </c>
      <c r="Y6" s="5" t="s">
        <v>5</v>
      </c>
      <c r="Z6" s="5" t="s">
        <v>6</v>
      </c>
      <c r="AA6" s="5" t="s">
        <v>7</v>
      </c>
      <c r="AB6" s="5" t="s">
        <v>0</v>
      </c>
      <c r="AC6" s="5" t="s">
        <v>62</v>
      </c>
      <c r="AD6" s="5" t="s">
        <v>2</v>
      </c>
      <c r="AE6" s="5" t="s">
        <v>3</v>
      </c>
      <c r="AF6" s="5" t="s">
        <v>4</v>
      </c>
      <c r="AG6" s="5" t="s">
        <v>5</v>
      </c>
      <c r="AH6" s="9" t="s">
        <v>6</v>
      </c>
      <c r="AI6" s="2"/>
      <c r="AK6" s="6">
        <f t="shared" ref="AK6:AK22" si="0">COUNTIF($E6:$AI6,"ST*")</f>
        <v>5</v>
      </c>
      <c r="AL6" s="6">
        <f t="shared" ref="AL6:AL22" si="1">COUNTIF($E6:$AI6,"M*")</f>
        <v>4</v>
      </c>
      <c r="AM6" s="6">
        <f t="shared" ref="AM6:AM22" si="2">COUNTIF($E6:$AI6,"A*")</f>
        <v>4</v>
      </c>
      <c r="AN6" s="6">
        <f t="shared" ref="AN6:AN22" si="3">COUNTIF($E6:$AI6,"N*")</f>
        <v>6</v>
      </c>
      <c r="AO6" s="6">
        <f t="shared" ref="AO6:AO22" si="4">COUNTIF($E6:$AI6,"O*")</f>
        <v>11</v>
      </c>
    </row>
    <row r="7" spans="2:41" ht="18.75" x14ac:dyDescent="0.25">
      <c r="B7" s="40" t="s">
        <v>12</v>
      </c>
      <c r="C7" s="40"/>
      <c r="E7" s="5" t="s">
        <v>2</v>
      </c>
      <c r="F7" s="5" t="s">
        <v>3</v>
      </c>
      <c r="G7" s="5" t="s">
        <v>4</v>
      </c>
      <c r="H7" s="5" t="s">
        <v>5</v>
      </c>
      <c r="I7" s="5" t="s">
        <v>6</v>
      </c>
      <c r="J7" s="5" t="s">
        <v>7</v>
      </c>
      <c r="K7" s="5" t="s">
        <v>0</v>
      </c>
      <c r="L7" s="5" t="s">
        <v>62</v>
      </c>
      <c r="M7" s="5" t="s">
        <v>2</v>
      </c>
      <c r="N7" s="5" t="s">
        <v>3</v>
      </c>
      <c r="O7" s="5" t="s">
        <v>4</v>
      </c>
      <c r="P7" s="5" t="s">
        <v>5</v>
      </c>
      <c r="Q7" s="5" t="s">
        <v>6</v>
      </c>
      <c r="R7" s="5" t="s">
        <v>7</v>
      </c>
      <c r="S7" s="5" t="s">
        <v>0</v>
      </c>
      <c r="T7" s="5" t="s">
        <v>1</v>
      </c>
      <c r="U7" s="5" t="s">
        <v>2</v>
      </c>
      <c r="V7" s="5" t="s">
        <v>3</v>
      </c>
      <c r="W7" s="5" t="s">
        <v>4</v>
      </c>
      <c r="X7" s="5" t="s">
        <v>5</v>
      </c>
      <c r="Y7" s="5" t="s">
        <v>6</v>
      </c>
      <c r="Z7" s="5" t="s">
        <v>7</v>
      </c>
      <c r="AA7" s="5" t="s">
        <v>0</v>
      </c>
      <c r="AB7" s="5" t="s">
        <v>1</v>
      </c>
      <c r="AC7" s="5" t="s">
        <v>2</v>
      </c>
      <c r="AD7" s="5" t="s">
        <v>3</v>
      </c>
      <c r="AE7" s="5" t="s">
        <v>4</v>
      </c>
      <c r="AF7" s="5" t="s">
        <v>5</v>
      </c>
      <c r="AG7" s="5" t="s">
        <v>6</v>
      </c>
      <c r="AH7" s="9" t="s">
        <v>7</v>
      </c>
      <c r="AI7" s="2"/>
      <c r="AK7" s="6">
        <f t="shared" si="0"/>
        <v>1</v>
      </c>
      <c r="AL7" s="6">
        <f t="shared" si="1"/>
        <v>5</v>
      </c>
      <c r="AM7" s="6">
        <f t="shared" si="2"/>
        <v>4</v>
      </c>
      <c r="AN7" s="6">
        <f t="shared" si="3"/>
        <v>8</v>
      </c>
      <c r="AO7" s="6">
        <f t="shared" si="4"/>
        <v>12</v>
      </c>
    </row>
    <row r="8" spans="2:41" ht="18.75" x14ac:dyDescent="0.25">
      <c r="B8" s="40" t="s">
        <v>13</v>
      </c>
      <c r="C8" s="40"/>
      <c r="E8" s="5" t="s">
        <v>3</v>
      </c>
      <c r="F8" s="5" t="s">
        <v>4</v>
      </c>
      <c r="G8" s="5" t="s">
        <v>5</v>
      </c>
      <c r="H8" s="5" t="s">
        <v>6</v>
      </c>
      <c r="I8" s="5" t="s">
        <v>7</v>
      </c>
      <c r="J8" s="5" t="s">
        <v>0</v>
      </c>
      <c r="K8" s="5" t="s">
        <v>62</v>
      </c>
      <c r="L8" s="5" t="s">
        <v>44</v>
      </c>
      <c r="M8" s="5" t="s">
        <v>3</v>
      </c>
      <c r="N8" s="5" t="s">
        <v>4</v>
      </c>
      <c r="O8" s="5" t="s">
        <v>5</v>
      </c>
      <c r="P8" s="5" t="s">
        <v>6</v>
      </c>
      <c r="Q8" s="5" t="s">
        <v>7</v>
      </c>
      <c r="R8" s="5" t="s">
        <v>0</v>
      </c>
      <c r="S8" s="5" t="s">
        <v>62</v>
      </c>
      <c r="T8" s="5" t="s">
        <v>2</v>
      </c>
      <c r="U8" s="5" t="s">
        <v>60</v>
      </c>
      <c r="V8" s="5" t="s">
        <v>4</v>
      </c>
      <c r="W8" s="5" t="s">
        <v>5</v>
      </c>
      <c r="X8" s="5" t="s">
        <v>6</v>
      </c>
      <c r="Y8" s="5" t="s">
        <v>7</v>
      </c>
      <c r="Z8" s="5" t="s">
        <v>0</v>
      </c>
      <c r="AA8" s="5" t="s">
        <v>1</v>
      </c>
      <c r="AB8" s="5" t="s">
        <v>2</v>
      </c>
      <c r="AC8" s="5" t="s">
        <v>44</v>
      </c>
      <c r="AD8" s="5" t="s">
        <v>3</v>
      </c>
      <c r="AE8" s="5" t="s">
        <v>5</v>
      </c>
      <c r="AF8" s="5" t="s">
        <v>6</v>
      </c>
      <c r="AG8" s="5" t="s">
        <v>7</v>
      </c>
      <c r="AH8" s="9" t="s">
        <v>0</v>
      </c>
      <c r="AI8" s="2"/>
      <c r="AK8" s="6">
        <f t="shared" si="0"/>
        <v>3</v>
      </c>
      <c r="AL8" s="6">
        <f t="shared" si="1"/>
        <v>5</v>
      </c>
      <c r="AM8" s="6">
        <f t="shared" si="2"/>
        <v>4</v>
      </c>
      <c r="AN8" s="6">
        <f t="shared" si="3"/>
        <v>6</v>
      </c>
      <c r="AO8" s="6">
        <f t="shared" si="4"/>
        <v>12</v>
      </c>
    </row>
    <row r="9" spans="2:41" ht="18.75" x14ac:dyDescent="0.25">
      <c r="B9" s="40" t="s">
        <v>14</v>
      </c>
      <c r="C9" s="40"/>
      <c r="E9" s="5" t="s">
        <v>4</v>
      </c>
      <c r="F9" s="5" t="s">
        <v>5</v>
      </c>
      <c r="G9" s="5" t="s">
        <v>6</v>
      </c>
      <c r="H9" s="5" t="s">
        <v>7</v>
      </c>
      <c r="I9" s="5" t="s">
        <v>58</v>
      </c>
      <c r="J9" s="5" t="s">
        <v>2</v>
      </c>
      <c r="K9" s="5" t="s">
        <v>44</v>
      </c>
      <c r="L9" s="5" t="s">
        <v>3</v>
      </c>
      <c r="M9" s="5" t="s">
        <v>4</v>
      </c>
      <c r="N9" s="5" t="s">
        <v>5</v>
      </c>
      <c r="O9" s="5" t="s">
        <v>6</v>
      </c>
      <c r="P9" s="5" t="s">
        <v>7</v>
      </c>
      <c r="Q9" s="5" t="s">
        <v>0</v>
      </c>
      <c r="R9" s="5" t="s">
        <v>1</v>
      </c>
      <c r="S9" s="5" t="s">
        <v>2</v>
      </c>
      <c r="T9" s="5" t="s">
        <v>44</v>
      </c>
      <c r="U9" s="5" t="s">
        <v>3</v>
      </c>
      <c r="V9" s="5" t="s">
        <v>5</v>
      </c>
      <c r="W9" s="5" t="s">
        <v>6</v>
      </c>
      <c r="X9" s="5" t="s">
        <v>7</v>
      </c>
      <c r="Y9" s="5" t="s">
        <v>0</v>
      </c>
      <c r="Z9" s="5" t="s">
        <v>1</v>
      </c>
      <c r="AA9" s="5" t="s">
        <v>2</v>
      </c>
      <c r="AB9" s="5" t="s">
        <v>44</v>
      </c>
      <c r="AC9" s="5" t="s">
        <v>3</v>
      </c>
      <c r="AD9" s="5" t="s">
        <v>5</v>
      </c>
      <c r="AE9" s="5" t="s">
        <v>6</v>
      </c>
      <c r="AF9" s="5" t="s">
        <v>7</v>
      </c>
      <c r="AG9" s="5" t="s">
        <v>58</v>
      </c>
      <c r="AH9" s="9" t="s">
        <v>1</v>
      </c>
      <c r="AI9" s="2"/>
      <c r="AK9" s="6">
        <f t="shared" si="0"/>
        <v>2</v>
      </c>
      <c r="AL9" s="6">
        <f t="shared" si="1"/>
        <v>5</v>
      </c>
      <c r="AM9" s="6">
        <f t="shared" si="2"/>
        <v>6</v>
      </c>
      <c r="AN9" s="6">
        <f t="shared" si="3"/>
        <v>5</v>
      </c>
      <c r="AO9" s="6">
        <f t="shared" si="4"/>
        <v>12</v>
      </c>
    </row>
    <row r="10" spans="2:41" ht="18.75" x14ac:dyDescent="0.25">
      <c r="B10" s="40" t="s">
        <v>15</v>
      </c>
      <c r="C10" s="40"/>
      <c r="E10" s="5" t="s">
        <v>5</v>
      </c>
      <c r="F10" s="5" t="s">
        <v>6</v>
      </c>
      <c r="G10" s="5" t="s">
        <v>7</v>
      </c>
      <c r="H10" s="5" t="s">
        <v>0</v>
      </c>
      <c r="I10" s="5" t="s">
        <v>2</v>
      </c>
      <c r="J10" s="5" t="s">
        <v>61</v>
      </c>
      <c r="K10" s="5" t="s">
        <v>3</v>
      </c>
      <c r="L10" s="5" t="s">
        <v>4</v>
      </c>
      <c r="M10" s="5" t="s">
        <v>5</v>
      </c>
      <c r="N10" s="5" t="s">
        <v>6</v>
      </c>
      <c r="O10" s="5" t="s">
        <v>7</v>
      </c>
      <c r="P10" s="5" t="s">
        <v>0</v>
      </c>
      <c r="Q10" s="5" t="s">
        <v>62</v>
      </c>
      <c r="R10" s="5" t="s">
        <v>2</v>
      </c>
      <c r="S10" s="5" t="s">
        <v>44</v>
      </c>
      <c r="T10" s="5" t="s">
        <v>3</v>
      </c>
      <c r="U10" s="5" t="s">
        <v>5</v>
      </c>
      <c r="V10" s="5" t="s">
        <v>6</v>
      </c>
      <c r="W10" s="5" t="s">
        <v>7</v>
      </c>
      <c r="X10" s="5" t="s">
        <v>0</v>
      </c>
      <c r="Y10" s="5" t="s">
        <v>62</v>
      </c>
      <c r="Z10" s="5" t="s">
        <v>2</v>
      </c>
      <c r="AA10" s="5" t="s">
        <v>44</v>
      </c>
      <c r="AB10" s="5" t="s">
        <v>3</v>
      </c>
      <c r="AC10" s="5" t="s">
        <v>5</v>
      </c>
      <c r="AD10" s="5" t="s">
        <v>6</v>
      </c>
      <c r="AE10" s="5" t="s">
        <v>7</v>
      </c>
      <c r="AF10" s="5" t="s">
        <v>0</v>
      </c>
      <c r="AG10" s="5" t="s">
        <v>1</v>
      </c>
      <c r="AH10" s="9" t="s">
        <v>44</v>
      </c>
      <c r="AI10" s="2"/>
      <c r="AK10" s="6">
        <f t="shared" si="0"/>
        <v>3</v>
      </c>
      <c r="AL10" s="6">
        <f t="shared" si="1"/>
        <v>5</v>
      </c>
      <c r="AM10" s="6">
        <f t="shared" si="2"/>
        <v>6</v>
      </c>
      <c r="AN10" s="6">
        <f t="shared" si="3"/>
        <v>4</v>
      </c>
      <c r="AO10" s="6">
        <f t="shared" si="4"/>
        <v>12</v>
      </c>
    </row>
    <row r="11" spans="2:41" ht="18.75" x14ac:dyDescent="0.25">
      <c r="B11" s="40" t="s">
        <v>16</v>
      </c>
      <c r="C11" s="40"/>
      <c r="E11" s="5" t="s">
        <v>6</v>
      </c>
      <c r="F11" s="5" t="s">
        <v>7</v>
      </c>
      <c r="G11" s="5" t="s">
        <v>58</v>
      </c>
      <c r="H11" s="5" t="s">
        <v>2</v>
      </c>
      <c r="I11" s="5" t="s">
        <v>44</v>
      </c>
      <c r="J11" s="5" t="s">
        <v>3</v>
      </c>
      <c r="K11" s="5" t="s">
        <v>4</v>
      </c>
      <c r="L11" s="5" t="s">
        <v>5</v>
      </c>
      <c r="M11" s="5" t="s">
        <v>6</v>
      </c>
      <c r="N11" s="5" t="s">
        <v>7</v>
      </c>
      <c r="O11" s="5" t="s">
        <v>0</v>
      </c>
      <c r="P11" s="5" t="s">
        <v>1</v>
      </c>
      <c r="Q11" s="5" t="s">
        <v>2</v>
      </c>
      <c r="R11" s="5" t="s">
        <v>60</v>
      </c>
      <c r="S11" s="5" t="s">
        <v>4</v>
      </c>
      <c r="T11" s="5" t="s">
        <v>5</v>
      </c>
      <c r="U11" s="5" t="s">
        <v>6</v>
      </c>
      <c r="V11" s="5" t="s">
        <v>7</v>
      </c>
      <c r="W11" s="5" t="s">
        <v>0</v>
      </c>
      <c r="X11" s="5" t="s">
        <v>59</v>
      </c>
      <c r="Y11" s="5" t="s">
        <v>44</v>
      </c>
      <c r="Z11" s="5" t="s">
        <v>3</v>
      </c>
      <c r="AA11" s="5" t="s">
        <v>4</v>
      </c>
      <c r="AB11" s="5" t="s">
        <v>5</v>
      </c>
      <c r="AC11" s="5" t="s">
        <v>6</v>
      </c>
      <c r="AD11" s="5" t="s">
        <v>7</v>
      </c>
      <c r="AE11" s="5" t="s">
        <v>0</v>
      </c>
      <c r="AF11" s="5" t="s">
        <v>59</v>
      </c>
      <c r="AG11" s="5" t="s">
        <v>44</v>
      </c>
      <c r="AH11" s="9" t="s">
        <v>3</v>
      </c>
      <c r="AI11" s="2"/>
      <c r="AK11" s="6">
        <f t="shared" si="0"/>
        <v>4</v>
      </c>
      <c r="AL11" s="6">
        <f t="shared" si="1"/>
        <v>4</v>
      </c>
      <c r="AM11" s="6">
        <f t="shared" si="2"/>
        <v>5</v>
      </c>
      <c r="AN11" s="6">
        <f t="shared" si="3"/>
        <v>6</v>
      </c>
      <c r="AO11" s="6">
        <f t="shared" si="4"/>
        <v>11</v>
      </c>
    </row>
    <row r="12" spans="2:41" ht="18.75" x14ac:dyDescent="0.25">
      <c r="B12" s="40" t="s">
        <v>17</v>
      </c>
      <c r="C12" s="40"/>
      <c r="E12" s="5" t="s">
        <v>7</v>
      </c>
      <c r="F12" s="5" t="s">
        <v>58</v>
      </c>
      <c r="G12" s="5" t="s">
        <v>1</v>
      </c>
      <c r="H12" s="5" t="s">
        <v>44</v>
      </c>
      <c r="I12" s="5" t="s">
        <v>60</v>
      </c>
      <c r="J12" s="5" t="s">
        <v>4</v>
      </c>
      <c r="K12" s="5" t="s">
        <v>5</v>
      </c>
      <c r="L12" s="5" t="s">
        <v>6</v>
      </c>
      <c r="M12" s="5" t="s">
        <v>7</v>
      </c>
      <c r="N12" s="5" t="s">
        <v>0</v>
      </c>
      <c r="O12" s="5" t="s">
        <v>62</v>
      </c>
      <c r="P12" s="5" t="s">
        <v>2</v>
      </c>
      <c r="Q12" s="5" t="s">
        <v>3</v>
      </c>
      <c r="R12" s="5" t="s">
        <v>4</v>
      </c>
      <c r="S12" s="5" t="s">
        <v>5</v>
      </c>
      <c r="T12" s="5" t="s">
        <v>6</v>
      </c>
      <c r="U12" s="5" t="s">
        <v>7</v>
      </c>
      <c r="V12" s="5" t="s">
        <v>58</v>
      </c>
      <c r="W12" s="5" t="s">
        <v>1</v>
      </c>
      <c r="X12" s="5" t="s">
        <v>2</v>
      </c>
      <c r="Y12" s="5" t="s">
        <v>60</v>
      </c>
      <c r="Z12" s="5" t="s">
        <v>4</v>
      </c>
      <c r="AA12" s="5" t="s">
        <v>5</v>
      </c>
      <c r="AB12" s="5" t="s">
        <v>6</v>
      </c>
      <c r="AC12" s="5" t="s">
        <v>7</v>
      </c>
      <c r="AD12" s="5" t="s">
        <v>0</v>
      </c>
      <c r="AE12" s="5" t="s">
        <v>62</v>
      </c>
      <c r="AF12" s="5" t="s">
        <v>2</v>
      </c>
      <c r="AG12" s="5" t="s">
        <v>44</v>
      </c>
      <c r="AH12" s="9" t="s">
        <v>3</v>
      </c>
      <c r="AI12" s="2"/>
      <c r="AK12" s="6">
        <f t="shared" si="0"/>
        <v>6</v>
      </c>
      <c r="AL12" s="6">
        <f t="shared" si="1"/>
        <v>4</v>
      </c>
      <c r="AM12" s="6">
        <f t="shared" si="2"/>
        <v>5</v>
      </c>
      <c r="AN12" s="6">
        <f t="shared" si="3"/>
        <v>5</v>
      </c>
      <c r="AO12" s="6">
        <f t="shared" si="4"/>
        <v>10</v>
      </c>
    </row>
    <row r="13" spans="2:41" ht="18.75" x14ac:dyDescent="0.25">
      <c r="B13" s="40" t="s">
        <v>18</v>
      </c>
      <c r="C13" s="40"/>
      <c r="E13" s="5" t="s">
        <v>0</v>
      </c>
      <c r="F13" s="5" t="s">
        <v>1</v>
      </c>
      <c r="G13" s="5" t="s">
        <v>44</v>
      </c>
      <c r="H13" s="5" t="s">
        <v>3</v>
      </c>
      <c r="I13" s="5" t="s">
        <v>4</v>
      </c>
      <c r="J13" s="5" t="s">
        <v>5</v>
      </c>
      <c r="K13" s="5" t="s">
        <v>6</v>
      </c>
      <c r="L13" s="5" t="s">
        <v>7</v>
      </c>
      <c r="M13" s="5" t="s">
        <v>0</v>
      </c>
      <c r="N13" s="5" t="s">
        <v>1</v>
      </c>
      <c r="O13" s="5" t="s">
        <v>2</v>
      </c>
      <c r="P13" s="5" t="s">
        <v>60</v>
      </c>
      <c r="Q13" s="5" t="s">
        <v>4</v>
      </c>
      <c r="R13" s="5" t="s">
        <v>5</v>
      </c>
      <c r="S13" s="5" t="s">
        <v>6</v>
      </c>
      <c r="T13" s="5" t="s">
        <v>7</v>
      </c>
      <c r="U13" s="5" t="s">
        <v>58</v>
      </c>
      <c r="V13" s="5" t="s">
        <v>1</v>
      </c>
      <c r="W13" s="5" t="s">
        <v>2</v>
      </c>
      <c r="X13" s="5" t="s">
        <v>44</v>
      </c>
      <c r="Y13" s="5" t="s">
        <v>3</v>
      </c>
      <c r="Z13" s="5" t="s">
        <v>5</v>
      </c>
      <c r="AA13" s="5" t="s">
        <v>6</v>
      </c>
      <c r="AB13" s="5" t="s">
        <v>7</v>
      </c>
      <c r="AC13" s="5" t="s">
        <v>0</v>
      </c>
      <c r="AD13" s="5" t="s">
        <v>62</v>
      </c>
      <c r="AE13" s="5" t="s">
        <v>2</v>
      </c>
      <c r="AF13" s="5" t="s">
        <v>44</v>
      </c>
      <c r="AG13" s="5" t="s">
        <v>3</v>
      </c>
      <c r="AH13" s="9" t="s">
        <v>5</v>
      </c>
      <c r="AI13" s="2"/>
      <c r="AK13" s="6">
        <f t="shared" si="0"/>
        <v>3</v>
      </c>
      <c r="AL13" s="6">
        <f t="shared" si="1"/>
        <v>6</v>
      </c>
      <c r="AM13" s="6">
        <f t="shared" si="2"/>
        <v>6</v>
      </c>
      <c r="AN13" s="6">
        <f t="shared" si="3"/>
        <v>5</v>
      </c>
      <c r="AO13" s="6">
        <f t="shared" si="4"/>
        <v>10</v>
      </c>
    </row>
    <row r="14" spans="2:41" ht="18.75" x14ac:dyDescent="0.25">
      <c r="B14" s="40" t="s">
        <v>19</v>
      </c>
      <c r="C14" s="40"/>
      <c r="E14" s="5" t="s">
        <v>1</v>
      </c>
      <c r="F14" s="5" t="s">
        <v>2</v>
      </c>
      <c r="G14" s="5" t="s">
        <v>61</v>
      </c>
      <c r="H14" s="5" t="s">
        <v>4</v>
      </c>
      <c r="I14" s="5" t="s">
        <v>5</v>
      </c>
      <c r="J14" s="5" t="s">
        <v>6</v>
      </c>
      <c r="K14" s="5" t="s">
        <v>7</v>
      </c>
      <c r="L14" s="5" t="s">
        <v>0</v>
      </c>
      <c r="M14" s="5" t="s">
        <v>1</v>
      </c>
      <c r="N14" s="5" t="s">
        <v>2</v>
      </c>
      <c r="O14" s="5" t="s">
        <v>3</v>
      </c>
      <c r="P14" s="5" t="s">
        <v>4</v>
      </c>
      <c r="Q14" s="5" t="s">
        <v>5</v>
      </c>
      <c r="R14" s="5" t="s">
        <v>6</v>
      </c>
      <c r="S14" s="5" t="s">
        <v>7</v>
      </c>
      <c r="T14" s="5" t="s">
        <v>0</v>
      </c>
      <c r="U14" s="5" t="s">
        <v>2</v>
      </c>
      <c r="V14" s="5" t="s">
        <v>61</v>
      </c>
      <c r="W14" s="5" t="s">
        <v>3</v>
      </c>
      <c r="X14" s="5" t="s">
        <v>4</v>
      </c>
      <c r="Y14" s="5" t="s">
        <v>5</v>
      </c>
      <c r="Z14" s="5" t="s">
        <v>6</v>
      </c>
      <c r="AA14" s="5" t="s">
        <v>7</v>
      </c>
      <c r="AB14" s="5" t="s">
        <v>0</v>
      </c>
      <c r="AC14" s="5" t="s">
        <v>62</v>
      </c>
      <c r="AD14" s="5" t="s">
        <v>2</v>
      </c>
      <c r="AE14" s="5" t="s">
        <v>44</v>
      </c>
      <c r="AF14" s="5" t="s">
        <v>3</v>
      </c>
      <c r="AG14" s="5" t="s">
        <v>5</v>
      </c>
      <c r="AH14" s="9" t="s">
        <v>6</v>
      </c>
      <c r="AI14" s="2"/>
      <c r="AK14" s="6">
        <f t="shared" si="0"/>
        <v>3</v>
      </c>
      <c r="AL14" s="6">
        <f t="shared" si="1"/>
        <v>5</v>
      </c>
      <c r="AM14" s="6">
        <f t="shared" si="2"/>
        <v>5</v>
      </c>
      <c r="AN14" s="6">
        <f t="shared" si="3"/>
        <v>6</v>
      </c>
      <c r="AO14" s="6">
        <f t="shared" si="4"/>
        <v>11</v>
      </c>
    </row>
    <row r="15" spans="2:41" ht="18.75" x14ac:dyDescent="0.25">
      <c r="B15" s="40" t="s">
        <v>20</v>
      </c>
      <c r="C15" s="40"/>
      <c r="E15" s="5" t="s">
        <v>2</v>
      </c>
      <c r="F15" s="5" t="s">
        <v>44</v>
      </c>
      <c r="G15" s="5" t="s">
        <v>4</v>
      </c>
      <c r="H15" s="5" t="s">
        <v>5</v>
      </c>
      <c r="I15" s="5" t="s">
        <v>6</v>
      </c>
      <c r="J15" s="5" t="s">
        <v>7</v>
      </c>
      <c r="K15" s="5" t="s">
        <v>0</v>
      </c>
      <c r="L15" s="5" t="s">
        <v>1</v>
      </c>
      <c r="M15" s="5" t="s">
        <v>59</v>
      </c>
      <c r="N15" s="5" t="s">
        <v>44</v>
      </c>
      <c r="O15" s="5" t="s">
        <v>4</v>
      </c>
      <c r="P15" s="5" t="s">
        <v>5</v>
      </c>
      <c r="Q15" s="5" t="s">
        <v>6</v>
      </c>
      <c r="R15" s="5" t="s">
        <v>7</v>
      </c>
      <c r="S15" s="5" t="s">
        <v>0</v>
      </c>
      <c r="T15" s="5" t="s">
        <v>62</v>
      </c>
      <c r="U15" s="5" t="s">
        <v>2</v>
      </c>
      <c r="V15" s="5" t="s">
        <v>44</v>
      </c>
      <c r="W15" s="5" t="s">
        <v>3</v>
      </c>
      <c r="X15" s="5" t="s">
        <v>5</v>
      </c>
      <c r="Y15" s="5" t="s">
        <v>6</v>
      </c>
      <c r="Z15" s="5" t="s">
        <v>7</v>
      </c>
      <c r="AA15" s="5" t="s">
        <v>0</v>
      </c>
      <c r="AB15" s="5" t="s">
        <v>62</v>
      </c>
      <c r="AC15" s="5" t="s">
        <v>2</v>
      </c>
      <c r="AD15" s="5" t="s">
        <v>44</v>
      </c>
      <c r="AE15" s="5" t="s">
        <v>3</v>
      </c>
      <c r="AF15" s="5" t="s">
        <v>5</v>
      </c>
      <c r="AG15" s="5" t="s">
        <v>6</v>
      </c>
      <c r="AH15" s="9" t="s">
        <v>7</v>
      </c>
      <c r="AI15" s="2"/>
      <c r="AK15" s="6">
        <f t="shared" si="0"/>
        <v>3</v>
      </c>
      <c r="AL15" s="6">
        <f t="shared" si="1"/>
        <v>4</v>
      </c>
      <c r="AM15" s="6">
        <f t="shared" si="2"/>
        <v>7</v>
      </c>
      <c r="AN15" s="6">
        <f t="shared" si="3"/>
        <v>4</v>
      </c>
      <c r="AO15" s="6">
        <f t="shared" si="4"/>
        <v>12</v>
      </c>
    </row>
    <row r="16" spans="2:41" ht="18.75" x14ac:dyDescent="0.25">
      <c r="B16" s="40" t="s">
        <v>21</v>
      </c>
      <c r="C16" s="40"/>
      <c r="E16" s="5" t="s">
        <v>59</v>
      </c>
      <c r="F16" s="5" t="s">
        <v>4</v>
      </c>
      <c r="G16" s="5" t="s">
        <v>5</v>
      </c>
      <c r="H16" s="5" t="s">
        <v>6</v>
      </c>
      <c r="I16" s="5" t="s">
        <v>7</v>
      </c>
      <c r="J16" s="5" t="s">
        <v>0</v>
      </c>
      <c r="K16" s="5" t="s">
        <v>1</v>
      </c>
      <c r="L16" s="5" t="s">
        <v>2</v>
      </c>
      <c r="M16" s="5" t="s">
        <v>44</v>
      </c>
      <c r="N16" s="5" t="s">
        <v>3</v>
      </c>
      <c r="O16" s="5" t="s">
        <v>5</v>
      </c>
      <c r="P16" s="5" t="s">
        <v>6</v>
      </c>
      <c r="Q16" s="5" t="s">
        <v>7</v>
      </c>
      <c r="R16" s="5" t="s">
        <v>0</v>
      </c>
      <c r="S16" s="5" t="s">
        <v>1</v>
      </c>
      <c r="T16" s="5" t="s">
        <v>2</v>
      </c>
      <c r="U16" s="5" t="s">
        <v>3</v>
      </c>
      <c r="V16" s="5" t="s">
        <v>4</v>
      </c>
      <c r="W16" s="5" t="s">
        <v>5</v>
      </c>
      <c r="X16" s="5" t="s">
        <v>6</v>
      </c>
      <c r="Y16" s="5" t="s">
        <v>7</v>
      </c>
      <c r="Z16" s="5" t="s">
        <v>0</v>
      </c>
      <c r="AA16" s="5" t="s">
        <v>62</v>
      </c>
      <c r="AB16" s="5" t="s">
        <v>2</v>
      </c>
      <c r="AC16" s="5" t="s">
        <v>3</v>
      </c>
      <c r="AD16" s="5" t="s">
        <v>4</v>
      </c>
      <c r="AE16" s="5" t="s">
        <v>5</v>
      </c>
      <c r="AF16" s="5" t="s">
        <v>6</v>
      </c>
      <c r="AG16" s="5" t="s">
        <v>7</v>
      </c>
      <c r="AH16" s="9" t="s">
        <v>0</v>
      </c>
      <c r="AI16" s="2"/>
      <c r="AK16" s="6">
        <f t="shared" si="0"/>
        <v>2</v>
      </c>
      <c r="AL16" s="6">
        <f t="shared" si="1"/>
        <v>6</v>
      </c>
      <c r="AM16" s="6">
        <f t="shared" si="2"/>
        <v>4</v>
      </c>
      <c r="AN16" s="6">
        <f t="shared" si="3"/>
        <v>6</v>
      </c>
      <c r="AO16" s="6">
        <f t="shared" si="4"/>
        <v>12</v>
      </c>
    </row>
    <row r="17" spans="2:41" ht="18.75" x14ac:dyDescent="0.25">
      <c r="B17" s="40" t="s">
        <v>22</v>
      </c>
      <c r="C17" s="40"/>
      <c r="E17" s="5" t="s">
        <v>4</v>
      </c>
      <c r="F17" s="5" t="s">
        <v>5</v>
      </c>
      <c r="G17" s="5" t="s">
        <v>6</v>
      </c>
      <c r="H17" s="5" t="s">
        <v>7</v>
      </c>
      <c r="I17" s="5" t="s">
        <v>0</v>
      </c>
      <c r="J17" s="5" t="s">
        <v>1</v>
      </c>
      <c r="K17" s="5" t="s">
        <v>2</v>
      </c>
      <c r="L17" s="5" t="s">
        <v>44</v>
      </c>
      <c r="M17" s="5" t="s">
        <v>3</v>
      </c>
      <c r="N17" s="5" t="s">
        <v>5</v>
      </c>
      <c r="O17" s="5" t="s">
        <v>6</v>
      </c>
      <c r="P17" s="5" t="s">
        <v>7</v>
      </c>
      <c r="Q17" s="5" t="s">
        <v>0</v>
      </c>
      <c r="R17" s="5" t="s">
        <v>2</v>
      </c>
      <c r="S17" s="5" t="s">
        <v>44</v>
      </c>
      <c r="T17" s="5" t="s">
        <v>3</v>
      </c>
      <c r="U17" s="5" t="s">
        <v>4</v>
      </c>
      <c r="V17" s="5" t="s">
        <v>5</v>
      </c>
      <c r="W17" s="5" t="s">
        <v>6</v>
      </c>
      <c r="X17" s="5" t="s">
        <v>7</v>
      </c>
      <c r="Y17" s="5" t="s">
        <v>0</v>
      </c>
      <c r="Z17" s="5" t="s">
        <v>2</v>
      </c>
      <c r="AA17" s="5" t="s">
        <v>44</v>
      </c>
      <c r="AB17" s="5" t="s">
        <v>3</v>
      </c>
      <c r="AC17" s="5" t="s">
        <v>4</v>
      </c>
      <c r="AD17" s="5" t="s">
        <v>5</v>
      </c>
      <c r="AE17" s="5" t="s">
        <v>6</v>
      </c>
      <c r="AF17" s="5" t="s">
        <v>7</v>
      </c>
      <c r="AG17" s="5" t="s">
        <v>0</v>
      </c>
      <c r="AH17" s="9" t="s">
        <v>2</v>
      </c>
      <c r="AI17" s="2"/>
      <c r="AK17" s="6">
        <f t="shared" si="0"/>
        <v>0</v>
      </c>
      <c r="AL17" s="6">
        <f t="shared" si="1"/>
        <v>5</v>
      </c>
      <c r="AM17" s="6">
        <f t="shared" si="2"/>
        <v>7</v>
      </c>
      <c r="AN17" s="6">
        <f t="shared" si="3"/>
        <v>6</v>
      </c>
      <c r="AO17" s="6">
        <f t="shared" si="4"/>
        <v>12</v>
      </c>
    </row>
    <row r="18" spans="2:41" ht="18.75" x14ac:dyDescent="0.25">
      <c r="B18" s="40" t="s">
        <v>23</v>
      </c>
      <c r="C18" s="40"/>
      <c r="E18" s="5" t="s">
        <v>5</v>
      </c>
      <c r="F18" s="5" t="s">
        <v>6</v>
      </c>
      <c r="G18" s="5" t="s">
        <v>7</v>
      </c>
      <c r="H18" s="5" t="s">
        <v>0</v>
      </c>
      <c r="I18" s="5" t="s">
        <v>1</v>
      </c>
      <c r="J18" s="5" t="s">
        <v>2</v>
      </c>
      <c r="K18" s="5" t="s">
        <v>44</v>
      </c>
      <c r="L18" s="5" t="s">
        <v>3</v>
      </c>
      <c r="M18" s="5" t="s">
        <v>5</v>
      </c>
      <c r="N18" s="5" t="s">
        <v>6</v>
      </c>
      <c r="O18" s="5" t="s">
        <v>7</v>
      </c>
      <c r="P18" s="5" t="s">
        <v>0</v>
      </c>
      <c r="Q18" s="5" t="s">
        <v>2</v>
      </c>
      <c r="R18" s="5" t="s">
        <v>44</v>
      </c>
      <c r="S18" s="5" t="s">
        <v>3</v>
      </c>
      <c r="T18" s="5" t="s">
        <v>4</v>
      </c>
      <c r="U18" s="5" t="s">
        <v>5</v>
      </c>
      <c r="V18" s="5" t="s">
        <v>6</v>
      </c>
      <c r="W18" s="5" t="s">
        <v>7</v>
      </c>
      <c r="X18" s="5" t="s">
        <v>0</v>
      </c>
      <c r="Y18" s="5" t="s">
        <v>1</v>
      </c>
      <c r="Z18" s="5" t="s">
        <v>44</v>
      </c>
      <c r="AA18" s="5" t="s">
        <v>3</v>
      </c>
      <c r="AB18" s="5" t="s">
        <v>4</v>
      </c>
      <c r="AC18" s="5" t="s">
        <v>5</v>
      </c>
      <c r="AD18" s="5" t="s">
        <v>6</v>
      </c>
      <c r="AE18" s="5" t="s">
        <v>7</v>
      </c>
      <c r="AF18" s="5" t="s">
        <v>0</v>
      </c>
      <c r="AG18" s="5" t="s">
        <v>1</v>
      </c>
      <c r="AH18" s="9" t="s">
        <v>2</v>
      </c>
      <c r="AI18" s="2"/>
      <c r="AK18" s="6">
        <f t="shared" si="0"/>
        <v>0</v>
      </c>
      <c r="AL18" s="6">
        <f t="shared" si="1"/>
        <v>7</v>
      </c>
      <c r="AM18" s="6">
        <f t="shared" si="2"/>
        <v>6</v>
      </c>
      <c r="AN18" s="6">
        <f t="shared" si="3"/>
        <v>5</v>
      </c>
      <c r="AO18" s="6">
        <f t="shared" si="4"/>
        <v>12</v>
      </c>
    </row>
    <row r="19" spans="2:41" ht="18.75" x14ac:dyDescent="0.25">
      <c r="B19" s="40" t="s">
        <v>24</v>
      </c>
      <c r="C19" s="40"/>
      <c r="E19" s="5" t="s">
        <v>6</v>
      </c>
      <c r="F19" s="5" t="s">
        <v>7</v>
      </c>
      <c r="G19" s="5" t="s">
        <v>0</v>
      </c>
      <c r="H19" s="5" t="s">
        <v>1</v>
      </c>
      <c r="I19" s="5" t="s">
        <v>2</v>
      </c>
      <c r="J19" s="5" t="s">
        <v>44</v>
      </c>
      <c r="K19" s="5" t="s">
        <v>4</v>
      </c>
      <c r="L19" s="5" t="s">
        <v>5</v>
      </c>
      <c r="M19" s="5" t="s">
        <v>6</v>
      </c>
      <c r="N19" s="5" t="s">
        <v>7</v>
      </c>
      <c r="O19" s="5" t="s">
        <v>0</v>
      </c>
      <c r="P19" s="5" t="s">
        <v>59</v>
      </c>
      <c r="Q19" s="5" t="s">
        <v>44</v>
      </c>
      <c r="R19" s="5" t="s">
        <v>3</v>
      </c>
      <c r="S19" s="5" t="s">
        <v>4</v>
      </c>
      <c r="T19" s="5" t="s">
        <v>5</v>
      </c>
      <c r="U19" s="5" t="s">
        <v>6</v>
      </c>
      <c r="V19" s="5" t="s">
        <v>7</v>
      </c>
      <c r="W19" s="5" t="s">
        <v>0</v>
      </c>
      <c r="X19" s="5" t="s">
        <v>1</v>
      </c>
      <c r="Y19" s="5" t="s">
        <v>2</v>
      </c>
      <c r="Z19" s="5" t="s">
        <v>60</v>
      </c>
      <c r="AA19" s="5" t="s">
        <v>4</v>
      </c>
      <c r="AB19" s="5" t="s">
        <v>5</v>
      </c>
      <c r="AC19" s="5" t="s">
        <v>6</v>
      </c>
      <c r="AD19" s="5" t="s">
        <v>7</v>
      </c>
      <c r="AE19" s="5" t="s">
        <v>0</v>
      </c>
      <c r="AF19" s="5" t="s">
        <v>1</v>
      </c>
      <c r="AG19" s="5" t="s">
        <v>2</v>
      </c>
      <c r="AH19" s="9" t="s">
        <v>60</v>
      </c>
      <c r="AI19" s="2"/>
      <c r="AK19" s="6">
        <f t="shared" si="0"/>
        <v>3</v>
      </c>
      <c r="AL19" s="6">
        <f t="shared" si="1"/>
        <v>7</v>
      </c>
      <c r="AM19" s="6">
        <f t="shared" si="2"/>
        <v>5</v>
      </c>
      <c r="AN19" s="6">
        <f t="shared" si="3"/>
        <v>4</v>
      </c>
      <c r="AO19" s="6">
        <f t="shared" si="4"/>
        <v>11</v>
      </c>
    </row>
    <row r="20" spans="2:41" ht="18.75" x14ac:dyDescent="0.25">
      <c r="B20" s="47" t="s">
        <v>25</v>
      </c>
      <c r="C20" s="48"/>
      <c r="E20" s="5" t="s">
        <v>7</v>
      </c>
      <c r="F20" s="5" t="s">
        <v>0</v>
      </c>
      <c r="G20" s="5" t="s">
        <v>1</v>
      </c>
      <c r="H20" s="5" t="s">
        <v>59</v>
      </c>
      <c r="I20" s="5" t="s">
        <v>3</v>
      </c>
      <c r="J20" s="5" t="s">
        <v>4</v>
      </c>
      <c r="K20" s="5" t="s">
        <v>5</v>
      </c>
      <c r="L20" s="5" t="s">
        <v>6</v>
      </c>
      <c r="M20" s="5" t="s">
        <v>7</v>
      </c>
      <c r="N20" s="5" t="s">
        <v>58</v>
      </c>
      <c r="O20" s="5" t="s">
        <v>1</v>
      </c>
      <c r="P20" s="5" t="s">
        <v>2</v>
      </c>
      <c r="Q20" s="5" t="s">
        <v>60</v>
      </c>
      <c r="R20" s="5" t="s">
        <v>4</v>
      </c>
      <c r="S20" s="5" t="s">
        <v>5</v>
      </c>
      <c r="T20" s="5" t="s">
        <v>6</v>
      </c>
      <c r="U20" s="5" t="s">
        <v>7</v>
      </c>
      <c r="V20" s="5" t="s">
        <v>0</v>
      </c>
      <c r="W20" s="5" t="s">
        <v>62</v>
      </c>
      <c r="X20" s="5" t="s">
        <v>2</v>
      </c>
      <c r="Y20" s="5" t="s">
        <v>44</v>
      </c>
      <c r="Z20" s="5" t="s">
        <v>4</v>
      </c>
      <c r="AA20" s="5" t="s">
        <v>5</v>
      </c>
      <c r="AB20" s="5" t="s">
        <v>6</v>
      </c>
      <c r="AC20" s="5" t="s">
        <v>7</v>
      </c>
      <c r="AD20" s="5" t="s">
        <v>58</v>
      </c>
      <c r="AE20" s="5" t="s">
        <v>1</v>
      </c>
      <c r="AF20" s="5" t="s">
        <v>2</v>
      </c>
      <c r="AG20" s="5" t="s">
        <v>60</v>
      </c>
      <c r="AH20" s="9" t="s">
        <v>4</v>
      </c>
      <c r="AI20" s="2"/>
      <c r="AK20" s="6"/>
      <c r="AL20" s="6"/>
      <c r="AM20" s="6"/>
      <c r="AN20" s="6"/>
      <c r="AO20" s="6"/>
    </row>
    <row r="21" spans="2:41" ht="18.75" x14ac:dyDescent="0.25">
      <c r="B21" s="47" t="s">
        <v>26</v>
      </c>
      <c r="C21" s="48"/>
      <c r="E21" s="5" t="s">
        <v>0</v>
      </c>
      <c r="F21" s="5" t="s">
        <v>2</v>
      </c>
      <c r="G21" s="5" t="s">
        <v>44</v>
      </c>
      <c r="H21" s="5" t="s">
        <v>60</v>
      </c>
      <c r="I21" s="5" t="s">
        <v>4</v>
      </c>
      <c r="J21" s="5" t="s">
        <v>5</v>
      </c>
      <c r="K21" s="5" t="s">
        <v>6</v>
      </c>
      <c r="L21" s="5" t="s">
        <v>7</v>
      </c>
      <c r="M21" s="5" t="s">
        <v>0</v>
      </c>
      <c r="N21" s="5" t="s">
        <v>1</v>
      </c>
      <c r="O21" s="5" t="s">
        <v>2</v>
      </c>
      <c r="P21" s="5" t="s">
        <v>3</v>
      </c>
      <c r="Q21" s="5" t="s">
        <v>4</v>
      </c>
      <c r="R21" s="5" t="s">
        <v>5</v>
      </c>
      <c r="S21" s="5" t="s">
        <v>6</v>
      </c>
      <c r="T21" s="5" t="s">
        <v>7</v>
      </c>
      <c r="U21" s="5" t="s">
        <v>0</v>
      </c>
      <c r="V21" s="5" t="s">
        <v>1</v>
      </c>
      <c r="W21" s="5" t="s">
        <v>2</v>
      </c>
      <c r="X21" s="5" t="s">
        <v>3</v>
      </c>
      <c r="Y21" s="5" t="s">
        <v>4</v>
      </c>
      <c r="Z21" s="5" t="s">
        <v>5</v>
      </c>
      <c r="AA21" s="5" t="s">
        <v>6</v>
      </c>
      <c r="AB21" s="5" t="s">
        <v>7</v>
      </c>
      <c r="AC21" s="5" t="s">
        <v>0</v>
      </c>
      <c r="AD21" s="5" t="s">
        <v>1</v>
      </c>
      <c r="AE21" s="5" t="s">
        <v>2</v>
      </c>
      <c r="AF21" s="5" t="s">
        <v>60</v>
      </c>
      <c r="AG21" s="5" t="s">
        <v>4</v>
      </c>
      <c r="AH21" s="9" t="s">
        <v>5</v>
      </c>
      <c r="AI21" s="2"/>
      <c r="AK21" s="6"/>
      <c r="AL21" s="6"/>
      <c r="AM21" s="6"/>
      <c r="AN21" s="6"/>
      <c r="AO21" s="6"/>
    </row>
    <row r="22" spans="2:41" ht="18.75" x14ac:dyDescent="0.25">
      <c r="B22" s="40" t="s">
        <v>27</v>
      </c>
      <c r="C22" s="40"/>
      <c r="E22" s="5" t="s">
        <v>1</v>
      </c>
      <c r="F22" s="5" t="s">
        <v>70</v>
      </c>
      <c r="G22" s="5" t="s">
        <v>71</v>
      </c>
      <c r="H22" s="5" t="s">
        <v>72</v>
      </c>
      <c r="I22" s="5" t="s">
        <v>5</v>
      </c>
      <c r="J22" s="5" t="s">
        <v>6</v>
      </c>
      <c r="K22" s="5" t="s">
        <v>0</v>
      </c>
      <c r="L22" s="5" t="s">
        <v>1</v>
      </c>
      <c r="M22" s="5" t="s">
        <v>70</v>
      </c>
      <c r="N22" s="5" t="s">
        <v>71</v>
      </c>
      <c r="O22" s="5" t="s">
        <v>72</v>
      </c>
      <c r="P22" s="5" t="s">
        <v>5</v>
      </c>
      <c r="Q22" s="5" t="s">
        <v>6</v>
      </c>
      <c r="R22" s="5" t="s">
        <v>0</v>
      </c>
      <c r="S22" s="5" t="s">
        <v>1</v>
      </c>
      <c r="T22" s="5" t="s">
        <v>70</v>
      </c>
      <c r="U22" s="5" t="s">
        <v>71</v>
      </c>
      <c r="V22" s="5" t="s">
        <v>72</v>
      </c>
      <c r="W22" s="5" t="s">
        <v>5</v>
      </c>
      <c r="X22" s="5" t="s">
        <v>6</v>
      </c>
      <c r="Y22" s="5" t="s">
        <v>0</v>
      </c>
      <c r="Z22" s="5" t="s">
        <v>1</v>
      </c>
      <c r="AA22" s="5" t="s">
        <v>70</v>
      </c>
      <c r="AB22" s="5" t="s">
        <v>71</v>
      </c>
      <c r="AC22" s="5" t="s">
        <v>72</v>
      </c>
      <c r="AD22" s="5" t="s">
        <v>5</v>
      </c>
      <c r="AE22" s="5" t="s">
        <v>6</v>
      </c>
      <c r="AF22" s="5" t="s">
        <v>0</v>
      </c>
      <c r="AG22" s="5" t="s">
        <v>1</v>
      </c>
      <c r="AH22" s="9" t="s">
        <v>70</v>
      </c>
      <c r="AI22" s="2"/>
      <c r="AK22" s="6">
        <f t="shared" si="0"/>
        <v>0</v>
      </c>
      <c r="AL22" s="6">
        <f t="shared" si="1"/>
        <v>22</v>
      </c>
      <c r="AM22" s="6">
        <f t="shared" si="2"/>
        <v>0</v>
      </c>
      <c r="AN22" s="6">
        <f t="shared" si="3"/>
        <v>0</v>
      </c>
      <c r="AO22" s="6">
        <f t="shared" si="4"/>
        <v>8</v>
      </c>
    </row>
    <row r="23" spans="2:41" x14ac:dyDescent="0.25">
      <c r="E23" s="3" t="s">
        <v>45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2:41" ht="18.75" x14ac:dyDescent="0.3">
      <c r="B24" s="49" t="s">
        <v>41</v>
      </c>
      <c r="C24" s="49"/>
      <c r="D24" s="20"/>
      <c r="E24" s="21">
        <f t="shared" ref="E24:AH24" si="5">COUNTIF(E$5:E$22,"M*")</f>
        <v>4</v>
      </c>
      <c r="F24" s="21">
        <f t="shared" si="5"/>
        <v>4</v>
      </c>
      <c r="G24" s="21">
        <f t="shared" si="5"/>
        <v>4</v>
      </c>
      <c r="H24" s="21">
        <f t="shared" si="5"/>
        <v>4</v>
      </c>
      <c r="I24" s="21">
        <f t="shared" si="5"/>
        <v>2</v>
      </c>
      <c r="J24" s="21">
        <f t="shared" si="5"/>
        <v>3</v>
      </c>
      <c r="K24" s="21">
        <f t="shared" si="5"/>
        <v>4</v>
      </c>
      <c r="L24" s="21">
        <f t="shared" si="5"/>
        <v>4</v>
      </c>
      <c r="M24" s="21">
        <f t="shared" si="5"/>
        <v>5</v>
      </c>
      <c r="N24" s="21">
        <f t="shared" si="5"/>
        <v>4</v>
      </c>
      <c r="O24" s="21">
        <f t="shared" si="5"/>
        <v>4</v>
      </c>
      <c r="P24" s="21">
        <f t="shared" si="5"/>
        <v>3</v>
      </c>
      <c r="Q24" s="21">
        <f t="shared" si="5"/>
        <v>2</v>
      </c>
      <c r="R24" s="21">
        <f t="shared" si="5"/>
        <v>4</v>
      </c>
      <c r="S24" s="21">
        <f t="shared" si="5"/>
        <v>4</v>
      </c>
      <c r="T24" s="21">
        <f t="shared" si="5"/>
        <v>4</v>
      </c>
      <c r="U24" s="21">
        <f t="shared" si="5"/>
        <v>4</v>
      </c>
      <c r="V24" s="21">
        <f t="shared" si="5"/>
        <v>4</v>
      </c>
      <c r="W24" s="21">
        <f t="shared" si="5"/>
        <v>3</v>
      </c>
      <c r="X24" s="21">
        <f t="shared" si="5"/>
        <v>3</v>
      </c>
      <c r="Y24" s="21">
        <f t="shared" si="5"/>
        <v>4</v>
      </c>
      <c r="Z24" s="21">
        <f t="shared" si="5"/>
        <v>4</v>
      </c>
      <c r="AA24" s="21">
        <f t="shared" si="5"/>
        <v>4</v>
      </c>
      <c r="AB24" s="21">
        <f t="shared" si="5"/>
        <v>4</v>
      </c>
      <c r="AC24" s="21">
        <f t="shared" si="5"/>
        <v>4</v>
      </c>
      <c r="AD24" s="21">
        <f t="shared" si="5"/>
        <v>3</v>
      </c>
      <c r="AE24" s="21">
        <f t="shared" si="5"/>
        <v>3</v>
      </c>
      <c r="AF24" s="21">
        <f t="shared" si="5"/>
        <v>4</v>
      </c>
      <c r="AG24" s="21">
        <f t="shared" si="5"/>
        <v>4</v>
      </c>
      <c r="AH24" s="21">
        <f t="shared" si="5"/>
        <v>4</v>
      </c>
      <c r="AI24" s="21" t="s">
        <v>45</v>
      </c>
    </row>
    <row r="25" spans="2:41" ht="18.75" x14ac:dyDescent="0.3">
      <c r="B25" s="49" t="s">
        <v>42</v>
      </c>
      <c r="C25" s="49"/>
      <c r="D25" s="20"/>
      <c r="E25" s="21">
        <f t="shared" ref="E25:AH25" si="6">COUNTIF(E$5:E$22,"A*")</f>
        <v>3</v>
      </c>
      <c r="F25" s="21">
        <f t="shared" si="6"/>
        <v>3</v>
      </c>
      <c r="G25" s="21">
        <f t="shared" si="6"/>
        <v>3</v>
      </c>
      <c r="H25" s="21">
        <f t="shared" si="6"/>
        <v>3</v>
      </c>
      <c r="I25" s="21">
        <f t="shared" si="6"/>
        <v>3</v>
      </c>
      <c r="J25" s="21">
        <f t="shared" si="6"/>
        <v>3</v>
      </c>
      <c r="K25" s="21">
        <f t="shared" si="6"/>
        <v>3</v>
      </c>
      <c r="L25" s="21">
        <f t="shared" si="6"/>
        <v>3</v>
      </c>
      <c r="M25" s="21">
        <f t="shared" si="6"/>
        <v>2</v>
      </c>
      <c r="N25" s="21">
        <f t="shared" si="6"/>
        <v>3</v>
      </c>
      <c r="O25" s="21">
        <f t="shared" si="6"/>
        <v>3</v>
      </c>
      <c r="P25" s="21">
        <f t="shared" si="6"/>
        <v>3</v>
      </c>
      <c r="Q25" s="21">
        <f t="shared" si="6"/>
        <v>3</v>
      </c>
      <c r="R25" s="21">
        <f t="shared" si="6"/>
        <v>3</v>
      </c>
      <c r="S25" s="21">
        <f t="shared" si="6"/>
        <v>3</v>
      </c>
      <c r="T25" s="21">
        <f t="shared" si="6"/>
        <v>3</v>
      </c>
      <c r="U25" s="21">
        <f t="shared" si="6"/>
        <v>3</v>
      </c>
      <c r="V25" s="21">
        <f t="shared" si="6"/>
        <v>3</v>
      </c>
      <c r="W25" s="21">
        <f t="shared" si="6"/>
        <v>3</v>
      </c>
      <c r="X25" s="21">
        <f t="shared" si="6"/>
        <v>3</v>
      </c>
      <c r="Y25" s="21">
        <f t="shared" si="6"/>
        <v>3</v>
      </c>
      <c r="Z25" s="21">
        <f t="shared" si="6"/>
        <v>3</v>
      </c>
      <c r="AA25" s="21">
        <f t="shared" si="6"/>
        <v>3</v>
      </c>
      <c r="AB25" s="21">
        <f t="shared" si="6"/>
        <v>3</v>
      </c>
      <c r="AC25" s="21">
        <f t="shared" si="6"/>
        <v>3</v>
      </c>
      <c r="AD25" s="21">
        <f t="shared" si="6"/>
        <v>3</v>
      </c>
      <c r="AE25" s="21">
        <f t="shared" si="6"/>
        <v>3</v>
      </c>
      <c r="AF25" s="21">
        <f t="shared" si="6"/>
        <v>3</v>
      </c>
      <c r="AG25" s="21">
        <f t="shared" si="6"/>
        <v>3</v>
      </c>
      <c r="AH25" s="21">
        <f t="shared" si="6"/>
        <v>3</v>
      </c>
      <c r="AI25" s="21" t="s">
        <v>45</v>
      </c>
    </row>
    <row r="26" spans="2:41" ht="18.75" x14ac:dyDescent="0.3">
      <c r="B26" s="49" t="s">
        <v>8</v>
      </c>
      <c r="C26" s="49"/>
      <c r="D26" s="20"/>
      <c r="E26" s="21">
        <f t="shared" ref="E26:AH26" si="7">COUNTIF(E$5:E$22,"N*")</f>
        <v>3</v>
      </c>
      <c r="F26" s="21">
        <f t="shared" si="7"/>
        <v>3</v>
      </c>
      <c r="G26" s="21">
        <f t="shared" si="7"/>
        <v>3</v>
      </c>
      <c r="H26" s="21">
        <f t="shared" si="7"/>
        <v>3</v>
      </c>
      <c r="I26" s="21">
        <f t="shared" si="7"/>
        <v>4</v>
      </c>
      <c r="J26" s="21">
        <f t="shared" si="7"/>
        <v>3</v>
      </c>
      <c r="K26" s="21">
        <f t="shared" si="7"/>
        <v>3</v>
      </c>
      <c r="L26" s="21">
        <f t="shared" si="7"/>
        <v>3</v>
      </c>
      <c r="M26" s="21">
        <f t="shared" si="7"/>
        <v>3</v>
      </c>
      <c r="N26" s="21">
        <f t="shared" si="7"/>
        <v>3</v>
      </c>
      <c r="O26" s="21">
        <f t="shared" si="7"/>
        <v>3</v>
      </c>
      <c r="P26" s="21">
        <f t="shared" si="7"/>
        <v>3</v>
      </c>
      <c r="Q26" s="21">
        <f t="shared" si="7"/>
        <v>4</v>
      </c>
      <c r="R26" s="21">
        <f t="shared" si="7"/>
        <v>3</v>
      </c>
      <c r="S26" s="21">
        <f t="shared" si="7"/>
        <v>3</v>
      </c>
      <c r="T26" s="21">
        <f t="shared" si="7"/>
        <v>3</v>
      </c>
      <c r="U26" s="21">
        <f t="shared" si="7"/>
        <v>3</v>
      </c>
      <c r="V26" s="21">
        <f t="shared" si="7"/>
        <v>3</v>
      </c>
      <c r="W26" s="21">
        <f t="shared" si="7"/>
        <v>3</v>
      </c>
      <c r="X26" s="21">
        <f t="shared" si="7"/>
        <v>3</v>
      </c>
      <c r="Y26" s="21">
        <f t="shared" si="7"/>
        <v>3</v>
      </c>
      <c r="Z26" s="21">
        <f t="shared" si="7"/>
        <v>3</v>
      </c>
      <c r="AA26" s="21">
        <f t="shared" si="7"/>
        <v>3</v>
      </c>
      <c r="AB26" s="21">
        <f t="shared" si="7"/>
        <v>3</v>
      </c>
      <c r="AC26" s="21">
        <f t="shared" si="7"/>
        <v>3</v>
      </c>
      <c r="AD26" s="21">
        <f t="shared" si="7"/>
        <v>3</v>
      </c>
      <c r="AE26" s="21">
        <f t="shared" si="7"/>
        <v>3</v>
      </c>
      <c r="AF26" s="21">
        <f t="shared" si="7"/>
        <v>3</v>
      </c>
      <c r="AG26" s="21">
        <f t="shared" si="7"/>
        <v>3</v>
      </c>
      <c r="AH26" s="21">
        <f t="shared" si="7"/>
        <v>3</v>
      </c>
      <c r="AI26" s="21" t="s">
        <v>45</v>
      </c>
    </row>
    <row r="27" spans="2:41" ht="18.75" x14ac:dyDescent="0.3">
      <c r="B27" s="49" t="s">
        <v>9</v>
      </c>
      <c r="C27" s="49"/>
      <c r="D27" s="20"/>
      <c r="E27" s="21">
        <f t="shared" ref="E27:AH27" si="8">COUNTIF(E$5:E$22,"O*")</f>
        <v>6</v>
      </c>
      <c r="F27" s="21">
        <f t="shared" si="8"/>
        <v>6</v>
      </c>
      <c r="G27" s="21">
        <f t="shared" si="8"/>
        <v>6</v>
      </c>
      <c r="H27" s="21">
        <f t="shared" si="8"/>
        <v>6</v>
      </c>
      <c r="I27" s="21">
        <f t="shared" si="8"/>
        <v>7</v>
      </c>
      <c r="J27" s="21">
        <f t="shared" si="8"/>
        <v>8</v>
      </c>
      <c r="K27" s="21">
        <f t="shared" si="8"/>
        <v>7</v>
      </c>
      <c r="L27" s="21">
        <f t="shared" si="8"/>
        <v>7</v>
      </c>
      <c r="M27" s="21">
        <f t="shared" si="8"/>
        <v>6</v>
      </c>
      <c r="N27" s="21">
        <f t="shared" si="8"/>
        <v>6</v>
      </c>
      <c r="O27" s="21">
        <f t="shared" si="8"/>
        <v>6</v>
      </c>
      <c r="P27" s="21">
        <f t="shared" si="8"/>
        <v>7</v>
      </c>
      <c r="Q27" s="21">
        <f t="shared" si="8"/>
        <v>7</v>
      </c>
      <c r="R27" s="21">
        <f t="shared" si="8"/>
        <v>7</v>
      </c>
      <c r="S27" s="21">
        <f t="shared" si="8"/>
        <v>7</v>
      </c>
      <c r="T27" s="21">
        <f t="shared" si="8"/>
        <v>7</v>
      </c>
      <c r="U27" s="21">
        <f t="shared" si="8"/>
        <v>6</v>
      </c>
      <c r="V27" s="21">
        <f t="shared" si="8"/>
        <v>6</v>
      </c>
      <c r="W27" s="21">
        <f t="shared" si="8"/>
        <v>7</v>
      </c>
      <c r="X27" s="21">
        <f t="shared" si="8"/>
        <v>7</v>
      </c>
      <c r="Y27" s="21">
        <f t="shared" si="8"/>
        <v>6</v>
      </c>
      <c r="Z27" s="21">
        <f t="shared" si="8"/>
        <v>7</v>
      </c>
      <c r="AA27" s="21">
        <f t="shared" si="8"/>
        <v>7</v>
      </c>
      <c r="AB27" s="21">
        <f t="shared" si="8"/>
        <v>7</v>
      </c>
      <c r="AC27" s="21">
        <f t="shared" si="8"/>
        <v>6</v>
      </c>
      <c r="AD27" s="21">
        <f t="shared" si="8"/>
        <v>7</v>
      </c>
      <c r="AE27" s="21">
        <f t="shared" si="8"/>
        <v>7</v>
      </c>
      <c r="AF27" s="21">
        <f t="shared" si="8"/>
        <v>6</v>
      </c>
      <c r="AG27" s="21">
        <f t="shared" si="8"/>
        <v>6</v>
      </c>
      <c r="AH27" s="21">
        <f t="shared" si="8"/>
        <v>7</v>
      </c>
      <c r="AI27" s="21" t="s">
        <v>45</v>
      </c>
    </row>
    <row r="28" spans="2:41" ht="18.75" x14ac:dyDescent="0.3">
      <c r="B28" s="45" t="s">
        <v>57</v>
      </c>
      <c r="C28" s="46"/>
      <c r="D28" s="20"/>
      <c r="E28" s="21">
        <f t="shared" ref="E28:AH28" si="9">COUNTIF(E$5:E$22,"ST*")</f>
        <v>2</v>
      </c>
      <c r="F28" s="21">
        <f t="shared" si="9"/>
        <v>2</v>
      </c>
      <c r="G28" s="21">
        <f t="shared" si="9"/>
        <v>2</v>
      </c>
      <c r="H28" s="21">
        <f t="shared" si="9"/>
        <v>2</v>
      </c>
      <c r="I28" s="21">
        <f t="shared" si="9"/>
        <v>2</v>
      </c>
      <c r="J28" s="21">
        <f t="shared" si="9"/>
        <v>1</v>
      </c>
      <c r="K28" s="21">
        <f t="shared" si="9"/>
        <v>1</v>
      </c>
      <c r="L28" s="21">
        <f t="shared" si="9"/>
        <v>1</v>
      </c>
      <c r="M28" s="21">
        <f t="shared" si="9"/>
        <v>2</v>
      </c>
      <c r="N28" s="21">
        <f t="shared" si="9"/>
        <v>2</v>
      </c>
      <c r="O28" s="21">
        <f t="shared" si="9"/>
        <v>2</v>
      </c>
      <c r="P28" s="21">
        <f t="shared" si="9"/>
        <v>2</v>
      </c>
      <c r="Q28" s="21">
        <f t="shared" si="9"/>
        <v>2</v>
      </c>
      <c r="R28" s="21">
        <f t="shared" si="9"/>
        <v>1</v>
      </c>
      <c r="S28" s="21">
        <f t="shared" si="9"/>
        <v>1</v>
      </c>
      <c r="T28" s="21">
        <f t="shared" si="9"/>
        <v>1</v>
      </c>
      <c r="U28" s="21">
        <f t="shared" si="9"/>
        <v>2</v>
      </c>
      <c r="V28" s="21">
        <f t="shared" si="9"/>
        <v>2</v>
      </c>
      <c r="W28" s="21">
        <f t="shared" si="9"/>
        <v>2</v>
      </c>
      <c r="X28" s="21">
        <f t="shared" si="9"/>
        <v>2</v>
      </c>
      <c r="Y28" s="21">
        <f t="shared" si="9"/>
        <v>2</v>
      </c>
      <c r="Z28" s="21">
        <f t="shared" si="9"/>
        <v>1</v>
      </c>
      <c r="AA28" s="21">
        <f t="shared" si="9"/>
        <v>1</v>
      </c>
      <c r="AB28" s="21">
        <f t="shared" si="9"/>
        <v>1</v>
      </c>
      <c r="AC28" s="21">
        <f t="shared" si="9"/>
        <v>2</v>
      </c>
      <c r="AD28" s="21">
        <f t="shared" si="9"/>
        <v>2</v>
      </c>
      <c r="AE28" s="21">
        <f t="shared" si="9"/>
        <v>2</v>
      </c>
      <c r="AF28" s="21">
        <f t="shared" si="9"/>
        <v>2</v>
      </c>
      <c r="AG28" s="21">
        <f t="shared" si="9"/>
        <v>2</v>
      </c>
      <c r="AH28" s="21">
        <f t="shared" si="9"/>
        <v>1</v>
      </c>
      <c r="AI28" s="21" t="s">
        <v>45</v>
      </c>
    </row>
    <row r="29" spans="2:41" ht="18.75" x14ac:dyDescent="0.3">
      <c r="B29" s="50" t="s">
        <v>55</v>
      </c>
      <c r="C29" s="50"/>
      <c r="D29" s="22"/>
      <c r="E29" s="23">
        <f>E31-E32</f>
        <v>0</v>
      </c>
      <c r="F29" s="23">
        <f t="shared" ref="F29:AH29" si="10">F31-F32</f>
        <v>0</v>
      </c>
      <c r="G29" s="23">
        <f t="shared" si="10"/>
        <v>0</v>
      </c>
      <c r="H29" s="23">
        <f t="shared" si="10"/>
        <v>0</v>
      </c>
      <c r="I29" s="23">
        <f t="shared" si="10"/>
        <v>0</v>
      </c>
      <c r="J29" s="23">
        <f t="shared" si="10"/>
        <v>0</v>
      </c>
      <c r="K29" s="23">
        <f t="shared" si="10"/>
        <v>0</v>
      </c>
      <c r="L29" s="23">
        <f t="shared" si="10"/>
        <v>0</v>
      </c>
      <c r="M29" s="23">
        <f t="shared" si="10"/>
        <v>0</v>
      </c>
      <c r="N29" s="23">
        <f t="shared" si="10"/>
        <v>0</v>
      </c>
      <c r="O29" s="23">
        <f t="shared" si="10"/>
        <v>0</v>
      </c>
      <c r="P29" s="23">
        <f t="shared" si="10"/>
        <v>0</v>
      </c>
      <c r="Q29" s="23">
        <f t="shared" si="10"/>
        <v>0</v>
      </c>
      <c r="R29" s="23">
        <f t="shared" si="10"/>
        <v>0</v>
      </c>
      <c r="S29" s="23">
        <f t="shared" si="10"/>
        <v>0</v>
      </c>
      <c r="T29" s="23">
        <f t="shared" si="10"/>
        <v>0</v>
      </c>
      <c r="U29" s="23">
        <f t="shared" si="10"/>
        <v>0</v>
      </c>
      <c r="V29" s="23">
        <f t="shared" si="10"/>
        <v>0</v>
      </c>
      <c r="W29" s="23">
        <f t="shared" si="10"/>
        <v>0</v>
      </c>
      <c r="X29" s="23">
        <f t="shared" si="10"/>
        <v>0</v>
      </c>
      <c r="Y29" s="23">
        <f t="shared" si="10"/>
        <v>0</v>
      </c>
      <c r="Z29" s="23">
        <f t="shared" si="10"/>
        <v>0</v>
      </c>
      <c r="AA29" s="23">
        <f t="shared" si="10"/>
        <v>0</v>
      </c>
      <c r="AB29" s="23">
        <f t="shared" si="10"/>
        <v>0</v>
      </c>
      <c r="AC29" s="23">
        <f t="shared" si="10"/>
        <v>0</v>
      </c>
      <c r="AD29" s="23">
        <f t="shared" si="10"/>
        <v>0</v>
      </c>
      <c r="AE29" s="23">
        <f t="shared" si="10"/>
        <v>0</v>
      </c>
      <c r="AF29" s="23">
        <f t="shared" si="10"/>
        <v>0</v>
      </c>
      <c r="AG29" s="23">
        <f t="shared" si="10"/>
        <v>0</v>
      </c>
      <c r="AH29" s="23">
        <f t="shared" si="10"/>
        <v>0</v>
      </c>
      <c r="AI29" s="23" t="s">
        <v>45</v>
      </c>
    </row>
    <row r="30" spans="2:41" ht="9.75" customHeight="1" x14ac:dyDescent="0.3">
      <c r="B30" s="24"/>
      <c r="C30" s="24"/>
      <c r="D30" s="20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</row>
    <row r="31" spans="2:41" ht="18.75" x14ac:dyDescent="0.3">
      <c r="B31" s="49" t="s">
        <v>53</v>
      </c>
      <c r="C31" s="49"/>
      <c r="D31" s="20"/>
      <c r="E31" s="25">
        <f>SUM(E24:E26)</f>
        <v>10</v>
      </c>
      <c r="F31" s="25">
        <f t="shared" ref="F31:AH31" si="11">SUM(F24:F26)</f>
        <v>10</v>
      </c>
      <c r="G31" s="25">
        <f t="shared" si="11"/>
        <v>10</v>
      </c>
      <c r="H31" s="25">
        <f t="shared" si="11"/>
        <v>10</v>
      </c>
      <c r="I31" s="25">
        <f t="shared" si="11"/>
        <v>9</v>
      </c>
      <c r="J31" s="25">
        <f t="shared" si="11"/>
        <v>9</v>
      </c>
      <c r="K31" s="25">
        <f t="shared" si="11"/>
        <v>10</v>
      </c>
      <c r="L31" s="25">
        <f t="shared" si="11"/>
        <v>10</v>
      </c>
      <c r="M31" s="25">
        <f t="shared" si="11"/>
        <v>10</v>
      </c>
      <c r="N31" s="25">
        <f t="shared" si="11"/>
        <v>10</v>
      </c>
      <c r="O31" s="25">
        <f t="shared" si="11"/>
        <v>10</v>
      </c>
      <c r="P31" s="25">
        <f t="shared" si="11"/>
        <v>9</v>
      </c>
      <c r="Q31" s="25">
        <f t="shared" si="11"/>
        <v>9</v>
      </c>
      <c r="R31" s="25">
        <f t="shared" si="11"/>
        <v>10</v>
      </c>
      <c r="S31" s="25">
        <f t="shared" si="11"/>
        <v>10</v>
      </c>
      <c r="T31" s="25">
        <f t="shared" si="11"/>
        <v>10</v>
      </c>
      <c r="U31" s="25">
        <f t="shared" si="11"/>
        <v>10</v>
      </c>
      <c r="V31" s="25">
        <f t="shared" si="11"/>
        <v>10</v>
      </c>
      <c r="W31" s="25">
        <f t="shared" si="11"/>
        <v>9</v>
      </c>
      <c r="X31" s="25">
        <f t="shared" si="11"/>
        <v>9</v>
      </c>
      <c r="Y31" s="25">
        <f t="shared" si="11"/>
        <v>10</v>
      </c>
      <c r="Z31" s="25">
        <f t="shared" si="11"/>
        <v>10</v>
      </c>
      <c r="AA31" s="25">
        <f t="shared" si="11"/>
        <v>10</v>
      </c>
      <c r="AB31" s="25">
        <f t="shared" si="11"/>
        <v>10</v>
      </c>
      <c r="AC31" s="25">
        <f t="shared" si="11"/>
        <v>10</v>
      </c>
      <c r="AD31" s="25">
        <f t="shared" si="11"/>
        <v>9</v>
      </c>
      <c r="AE31" s="25">
        <f t="shared" si="11"/>
        <v>9</v>
      </c>
      <c r="AF31" s="25">
        <f t="shared" si="11"/>
        <v>10</v>
      </c>
      <c r="AG31" s="25">
        <f t="shared" si="11"/>
        <v>10</v>
      </c>
      <c r="AH31" s="25">
        <f t="shared" si="11"/>
        <v>10</v>
      </c>
      <c r="AI31" s="25" t="s">
        <v>45</v>
      </c>
    </row>
    <row r="32" spans="2:41" ht="18.75" x14ac:dyDescent="0.3">
      <c r="B32" s="49" t="s">
        <v>40</v>
      </c>
      <c r="C32" s="49"/>
      <c r="D32" s="20"/>
      <c r="E32" s="21">
        <v>10</v>
      </c>
      <c r="F32" s="21">
        <v>10</v>
      </c>
      <c r="G32" s="21">
        <v>10</v>
      </c>
      <c r="H32" s="21">
        <v>10</v>
      </c>
      <c r="I32" s="21">
        <v>9</v>
      </c>
      <c r="J32" s="21">
        <v>9</v>
      </c>
      <c r="K32" s="21">
        <v>10</v>
      </c>
      <c r="L32" s="21">
        <v>10</v>
      </c>
      <c r="M32" s="21">
        <v>10</v>
      </c>
      <c r="N32" s="21">
        <v>10</v>
      </c>
      <c r="O32" s="21">
        <v>10</v>
      </c>
      <c r="P32" s="21">
        <v>9</v>
      </c>
      <c r="Q32" s="21">
        <v>9</v>
      </c>
      <c r="R32" s="21">
        <v>10</v>
      </c>
      <c r="S32" s="21">
        <v>10</v>
      </c>
      <c r="T32" s="21">
        <v>10</v>
      </c>
      <c r="U32" s="21">
        <v>10</v>
      </c>
      <c r="V32" s="21">
        <v>10</v>
      </c>
      <c r="W32" s="21">
        <v>9</v>
      </c>
      <c r="X32" s="21">
        <v>9</v>
      </c>
      <c r="Y32" s="21">
        <v>10</v>
      </c>
      <c r="Z32" s="21">
        <v>10</v>
      </c>
      <c r="AA32" s="21">
        <v>10</v>
      </c>
      <c r="AB32" s="21">
        <v>10</v>
      </c>
      <c r="AC32" s="21">
        <v>10</v>
      </c>
      <c r="AD32" s="21">
        <v>9</v>
      </c>
      <c r="AE32" s="21">
        <v>9</v>
      </c>
      <c r="AF32" s="21">
        <v>10</v>
      </c>
      <c r="AG32" s="21">
        <v>10</v>
      </c>
      <c r="AH32" s="21">
        <v>10</v>
      </c>
      <c r="AI32" s="21" t="s">
        <v>45</v>
      </c>
    </row>
    <row r="33" spans="2:35" ht="18.75" x14ac:dyDescent="0.3">
      <c r="B33" s="49" t="s">
        <v>54</v>
      </c>
      <c r="C33" s="49"/>
      <c r="D33" s="20"/>
      <c r="E33" s="21">
        <f>SUM(E24,E25,E26,E27,E28)</f>
        <v>18</v>
      </c>
      <c r="F33" s="21">
        <f t="shared" ref="F33:AH33" si="12">SUM(F24,F25,F26,F27,F28)</f>
        <v>18</v>
      </c>
      <c r="G33" s="21">
        <f t="shared" si="12"/>
        <v>18</v>
      </c>
      <c r="H33" s="21">
        <f t="shared" si="12"/>
        <v>18</v>
      </c>
      <c r="I33" s="21">
        <f t="shared" si="12"/>
        <v>18</v>
      </c>
      <c r="J33" s="21">
        <f t="shared" si="12"/>
        <v>18</v>
      </c>
      <c r="K33" s="21">
        <f t="shared" si="12"/>
        <v>18</v>
      </c>
      <c r="L33" s="21">
        <f t="shared" si="12"/>
        <v>18</v>
      </c>
      <c r="M33" s="21">
        <f t="shared" si="12"/>
        <v>18</v>
      </c>
      <c r="N33" s="21">
        <f t="shared" si="12"/>
        <v>18</v>
      </c>
      <c r="O33" s="21">
        <f t="shared" si="12"/>
        <v>18</v>
      </c>
      <c r="P33" s="21">
        <f t="shared" si="12"/>
        <v>18</v>
      </c>
      <c r="Q33" s="21">
        <f t="shared" si="12"/>
        <v>18</v>
      </c>
      <c r="R33" s="21">
        <f t="shared" si="12"/>
        <v>18</v>
      </c>
      <c r="S33" s="21">
        <f t="shared" si="12"/>
        <v>18</v>
      </c>
      <c r="T33" s="21">
        <f t="shared" si="12"/>
        <v>18</v>
      </c>
      <c r="U33" s="21">
        <f t="shared" si="12"/>
        <v>18</v>
      </c>
      <c r="V33" s="21">
        <f t="shared" si="12"/>
        <v>18</v>
      </c>
      <c r="W33" s="21">
        <f t="shared" si="12"/>
        <v>18</v>
      </c>
      <c r="X33" s="21">
        <f t="shared" si="12"/>
        <v>18</v>
      </c>
      <c r="Y33" s="21">
        <f t="shared" si="12"/>
        <v>18</v>
      </c>
      <c r="Z33" s="21">
        <f t="shared" si="12"/>
        <v>18</v>
      </c>
      <c r="AA33" s="21">
        <f t="shared" si="12"/>
        <v>18</v>
      </c>
      <c r="AB33" s="21">
        <f t="shared" si="12"/>
        <v>18</v>
      </c>
      <c r="AC33" s="21">
        <f t="shared" si="12"/>
        <v>18</v>
      </c>
      <c r="AD33" s="21">
        <f t="shared" si="12"/>
        <v>18</v>
      </c>
      <c r="AE33" s="21">
        <f t="shared" si="12"/>
        <v>18</v>
      </c>
      <c r="AF33" s="21">
        <f t="shared" si="12"/>
        <v>18</v>
      </c>
      <c r="AG33" s="21">
        <f t="shared" si="12"/>
        <v>18</v>
      </c>
      <c r="AH33" s="21">
        <f t="shared" si="12"/>
        <v>18</v>
      </c>
      <c r="AI33" s="21" t="s">
        <v>45</v>
      </c>
    </row>
  </sheetData>
  <mergeCells count="35">
    <mergeCell ref="AO2:AO4"/>
    <mergeCell ref="E2:AI2"/>
    <mergeCell ref="AK2:AK4"/>
    <mergeCell ref="AL2:AL4"/>
    <mergeCell ref="AM2:AM4"/>
    <mergeCell ref="AN2:AN4"/>
    <mergeCell ref="B15:C15"/>
    <mergeCell ref="B3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E30:AI30"/>
    <mergeCell ref="B31:C31"/>
    <mergeCell ref="B16:C16"/>
    <mergeCell ref="B17:C17"/>
    <mergeCell ref="B18:C18"/>
    <mergeCell ref="B22:C22"/>
    <mergeCell ref="B24:C24"/>
    <mergeCell ref="B25:C25"/>
    <mergeCell ref="B32:C32"/>
    <mergeCell ref="B33:C33"/>
    <mergeCell ref="B19:C19"/>
    <mergeCell ref="B20:C20"/>
    <mergeCell ref="B21:C21"/>
    <mergeCell ref="B26:C26"/>
    <mergeCell ref="B27:C27"/>
    <mergeCell ref="B28:C28"/>
    <mergeCell ref="B29:C29"/>
  </mergeCells>
  <conditionalFormatting sqref="E6:AH18 F5:AH5 E22:AH22">
    <cfRule type="containsText" dxfId="1035" priority="39" operator="containsText" text="STM1">
      <formula>NOT(ISERROR(SEARCH("STM1",E5)))</formula>
    </cfRule>
    <cfRule type="containsText" dxfId="1034" priority="40" operator="containsText" text="STA">
      <formula>NOT(ISERROR(SEARCH("STA",E5)))</formula>
    </cfRule>
    <cfRule type="containsText" dxfId="1033" priority="41" operator="containsText" text="STM1">
      <formula>NOT(ISERROR(SEARCH("STM1",E5)))</formula>
    </cfRule>
    <cfRule type="containsText" dxfId="1032" priority="42" operator="containsText" text="O">
      <formula>NOT(ISERROR(SEARCH("O",E5)))</formula>
    </cfRule>
    <cfRule type="containsText" dxfId="1031" priority="43" operator="containsText" text="N">
      <formula>NOT(ISERROR(SEARCH("N",E5)))</formula>
    </cfRule>
    <cfRule type="containsText" dxfId="1030" priority="44" operator="containsText" text="A">
      <formula>NOT(ISERROR(SEARCH("A",E5)))</formula>
    </cfRule>
    <cfRule type="containsText" dxfId="1029" priority="45" operator="containsText" text="M">
      <formula>NOT(ISERROR(SEARCH("M",E5)))</formula>
    </cfRule>
  </conditionalFormatting>
  <conditionalFormatting sqref="E5:AH18 E22:AH22">
    <cfRule type="containsText" dxfId="1028" priority="31" operator="containsText" text="STN">
      <formula>NOT(ISERROR(SEARCH("STN",E5)))</formula>
    </cfRule>
    <cfRule type="containsText" dxfId="1027" priority="32" operator="containsText" text="STN">
      <formula>NOT(ISERROR(SEARCH("STN",E5)))</formula>
    </cfRule>
    <cfRule type="containsText" dxfId="1026" priority="33" operator="containsText" text="STM">
      <formula>NOT(ISERROR(SEARCH("STM",E5)))</formula>
    </cfRule>
    <cfRule type="containsText" dxfId="1025" priority="34" operator="containsText" text="M">
      <formula>NOT(ISERROR(SEARCH("M",E5)))</formula>
    </cfRule>
    <cfRule type="containsText" dxfId="1024" priority="35" operator="containsText" text="STM1">
      <formula>NOT(ISERROR(SEARCH("STM1",E5)))</formula>
    </cfRule>
    <cfRule type="containsText" dxfId="1023" priority="36" operator="containsText" text="M">
      <formula>NOT(ISERROR(SEARCH("M",E5)))</formula>
    </cfRule>
    <cfRule type="containsText" dxfId="1022" priority="37" operator="containsText" text="STM">
      <formula>NOT(ISERROR(SEARCH("STM",E5)))</formula>
    </cfRule>
    <cfRule type="containsText" dxfId="1021" priority="38" operator="containsText" text="STM">
      <formula>NOT(ISERROR(SEARCH("STM",E5)))</formula>
    </cfRule>
  </conditionalFormatting>
  <conditionalFormatting sqref="E19:AH19">
    <cfRule type="containsText" dxfId="1020" priority="24" operator="containsText" text="STM1">
      <formula>NOT(ISERROR(SEARCH("STM1",E19)))</formula>
    </cfRule>
    <cfRule type="containsText" dxfId="1019" priority="25" operator="containsText" text="STA">
      <formula>NOT(ISERROR(SEARCH("STA",E19)))</formula>
    </cfRule>
    <cfRule type="containsText" dxfId="1018" priority="26" operator="containsText" text="STM1">
      <formula>NOT(ISERROR(SEARCH("STM1",E19)))</formula>
    </cfRule>
    <cfRule type="containsText" dxfId="1017" priority="27" operator="containsText" text="O">
      <formula>NOT(ISERROR(SEARCH("O",E19)))</formula>
    </cfRule>
    <cfRule type="containsText" dxfId="1016" priority="28" operator="containsText" text="N">
      <formula>NOT(ISERROR(SEARCH("N",E19)))</formula>
    </cfRule>
    <cfRule type="containsText" dxfId="1015" priority="29" operator="containsText" text="A">
      <formula>NOT(ISERROR(SEARCH("A",E19)))</formula>
    </cfRule>
    <cfRule type="containsText" dxfId="1014" priority="30" operator="containsText" text="M">
      <formula>NOT(ISERROR(SEARCH("M",E19)))</formula>
    </cfRule>
  </conditionalFormatting>
  <conditionalFormatting sqref="E19:AH19">
    <cfRule type="containsText" dxfId="1013" priority="16" operator="containsText" text="STN">
      <formula>NOT(ISERROR(SEARCH("STN",E19)))</formula>
    </cfRule>
    <cfRule type="containsText" dxfId="1012" priority="17" operator="containsText" text="STN">
      <formula>NOT(ISERROR(SEARCH("STN",E19)))</formula>
    </cfRule>
    <cfRule type="containsText" dxfId="1011" priority="18" operator="containsText" text="STM">
      <formula>NOT(ISERROR(SEARCH("STM",E19)))</formula>
    </cfRule>
    <cfRule type="containsText" dxfId="1010" priority="19" operator="containsText" text="M">
      <formula>NOT(ISERROR(SEARCH("M",E19)))</formula>
    </cfRule>
    <cfRule type="containsText" dxfId="1009" priority="20" operator="containsText" text="STM1">
      <formula>NOT(ISERROR(SEARCH("STM1",E19)))</formula>
    </cfRule>
    <cfRule type="containsText" dxfId="1008" priority="21" operator="containsText" text="M">
      <formula>NOT(ISERROR(SEARCH("M",E19)))</formula>
    </cfRule>
    <cfRule type="containsText" dxfId="1007" priority="22" operator="containsText" text="STM">
      <formula>NOT(ISERROR(SEARCH("STM",E19)))</formula>
    </cfRule>
    <cfRule type="containsText" dxfId="1006" priority="23" operator="containsText" text="STM">
      <formula>NOT(ISERROR(SEARCH("STM",E19)))</formula>
    </cfRule>
  </conditionalFormatting>
  <conditionalFormatting sqref="E20:AH21">
    <cfRule type="containsText" dxfId="1005" priority="9" operator="containsText" text="STM1">
      <formula>NOT(ISERROR(SEARCH("STM1",E20)))</formula>
    </cfRule>
    <cfRule type="containsText" dxfId="1004" priority="10" operator="containsText" text="STA">
      <formula>NOT(ISERROR(SEARCH("STA",E20)))</formula>
    </cfRule>
    <cfRule type="containsText" dxfId="1003" priority="11" operator="containsText" text="STM1">
      <formula>NOT(ISERROR(SEARCH("STM1",E20)))</formula>
    </cfRule>
    <cfRule type="containsText" dxfId="1002" priority="12" operator="containsText" text="O">
      <formula>NOT(ISERROR(SEARCH("O",E20)))</formula>
    </cfRule>
    <cfRule type="containsText" dxfId="1001" priority="13" operator="containsText" text="N">
      <formula>NOT(ISERROR(SEARCH("N",E20)))</formula>
    </cfRule>
    <cfRule type="containsText" dxfId="1000" priority="14" operator="containsText" text="A">
      <formula>NOT(ISERROR(SEARCH("A",E20)))</formula>
    </cfRule>
    <cfRule type="containsText" dxfId="999" priority="15" operator="containsText" text="M">
      <formula>NOT(ISERROR(SEARCH("M",E20)))</formula>
    </cfRule>
  </conditionalFormatting>
  <conditionalFormatting sqref="E20:AH21">
    <cfRule type="containsText" dxfId="998" priority="1" operator="containsText" text="STN">
      <formula>NOT(ISERROR(SEARCH("STN",E20)))</formula>
    </cfRule>
    <cfRule type="containsText" dxfId="997" priority="2" operator="containsText" text="STN">
      <formula>NOT(ISERROR(SEARCH("STN",E20)))</formula>
    </cfRule>
    <cfRule type="containsText" dxfId="996" priority="3" operator="containsText" text="STM">
      <formula>NOT(ISERROR(SEARCH("STM",E20)))</formula>
    </cfRule>
    <cfRule type="containsText" dxfId="995" priority="4" operator="containsText" text="M">
      <formula>NOT(ISERROR(SEARCH("M",E20)))</formula>
    </cfRule>
    <cfRule type="containsText" dxfId="994" priority="5" operator="containsText" text="STM1">
      <formula>NOT(ISERROR(SEARCH("STM1",E20)))</formula>
    </cfRule>
    <cfRule type="containsText" dxfId="993" priority="6" operator="containsText" text="M">
      <formula>NOT(ISERROR(SEARCH("M",E20)))</formula>
    </cfRule>
    <cfRule type="containsText" dxfId="992" priority="7" operator="containsText" text="STM">
      <formula>NOT(ISERROR(SEARCH("STM",E20)))</formula>
    </cfRule>
    <cfRule type="containsText" dxfId="991" priority="8" operator="containsText" text="STM">
      <formula>NOT(ISERROR(SEARCH("STM",E20)))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E7C2-285C-43DA-B59B-07A778125F49}">
  <dimension ref="B2:AO33"/>
  <sheetViews>
    <sheetView topLeftCell="A2" zoomScale="90" zoomScaleNormal="90" workbookViewId="0">
      <selection activeCell="G26" sqref="G26"/>
    </sheetView>
  </sheetViews>
  <sheetFormatPr defaultRowHeight="15.75" x14ac:dyDescent="0.25"/>
  <cols>
    <col min="1" max="1" width="3.42578125" style="1" customWidth="1"/>
    <col min="2" max="2" width="12.85546875" style="1" customWidth="1"/>
    <col min="3" max="3" width="15.4257812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39" t="s">
        <v>74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K2" s="36" t="s">
        <v>63</v>
      </c>
      <c r="AL2" s="36" t="s">
        <v>64</v>
      </c>
      <c r="AM2" s="36" t="s">
        <v>67</v>
      </c>
      <c r="AN2" s="36" t="s">
        <v>65</v>
      </c>
      <c r="AO2" s="36" t="s">
        <v>66</v>
      </c>
    </row>
    <row r="3" spans="2:41" ht="39" x14ac:dyDescent="0.3">
      <c r="B3" s="41" t="s">
        <v>56</v>
      </c>
      <c r="C3" s="42"/>
      <c r="E3" s="12" t="s">
        <v>46</v>
      </c>
      <c r="F3" s="13" t="s">
        <v>47</v>
      </c>
      <c r="G3" s="13" t="s">
        <v>48</v>
      </c>
      <c r="H3" s="13" t="s">
        <v>49</v>
      </c>
      <c r="I3" s="13" t="s">
        <v>50</v>
      </c>
      <c r="J3" s="13" t="s">
        <v>51</v>
      </c>
      <c r="K3" s="13" t="s">
        <v>52</v>
      </c>
      <c r="L3" s="13" t="s">
        <v>46</v>
      </c>
      <c r="M3" s="13" t="s">
        <v>47</v>
      </c>
      <c r="N3" s="13" t="s">
        <v>48</v>
      </c>
      <c r="O3" s="13" t="s">
        <v>49</v>
      </c>
      <c r="P3" s="13" t="s">
        <v>50</v>
      </c>
      <c r="Q3" s="13" t="s">
        <v>51</v>
      </c>
      <c r="R3" s="13" t="s">
        <v>52</v>
      </c>
      <c r="S3" s="13" t="s">
        <v>46</v>
      </c>
      <c r="T3" s="13" t="s">
        <v>47</v>
      </c>
      <c r="U3" s="13" t="s">
        <v>48</v>
      </c>
      <c r="V3" s="13" t="s">
        <v>49</v>
      </c>
      <c r="W3" s="13" t="s">
        <v>50</v>
      </c>
      <c r="X3" s="13" t="s">
        <v>51</v>
      </c>
      <c r="Y3" s="13" t="s">
        <v>52</v>
      </c>
      <c r="Z3" s="13" t="s">
        <v>46</v>
      </c>
      <c r="AA3" s="13" t="s">
        <v>47</v>
      </c>
      <c r="AB3" s="13" t="s">
        <v>48</v>
      </c>
      <c r="AC3" s="13" t="s">
        <v>49</v>
      </c>
      <c r="AD3" s="13" t="s">
        <v>50</v>
      </c>
      <c r="AE3" s="13" t="s">
        <v>51</v>
      </c>
      <c r="AF3" s="13" t="s">
        <v>52</v>
      </c>
      <c r="AG3" s="13" t="s">
        <v>46</v>
      </c>
      <c r="AH3" s="14" t="s">
        <v>47</v>
      </c>
      <c r="AI3" s="15"/>
      <c r="AK3" s="37"/>
      <c r="AL3" s="37"/>
      <c r="AM3" s="37"/>
      <c r="AN3" s="37"/>
      <c r="AO3" s="37"/>
    </row>
    <row r="4" spans="2:41" ht="19.5" thickBot="1" x14ac:dyDescent="0.35">
      <c r="B4" s="43"/>
      <c r="C4" s="44"/>
      <c r="E4" s="16">
        <v>1</v>
      </c>
      <c r="F4" s="17">
        <v>2</v>
      </c>
      <c r="G4" s="17">
        <v>3</v>
      </c>
      <c r="H4" s="17">
        <v>4</v>
      </c>
      <c r="I4" s="17">
        <v>5</v>
      </c>
      <c r="J4" s="17">
        <v>6</v>
      </c>
      <c r="K4" s="17">
        <v>7</v>
      </c>
      <c r="L4" s="17">
        <v>8</v>
      </c>
      <c r="M4" s="17">
        <v>9</v>
      </c>
      <c r="N4" s="17">
        <v>10</v>
      </c>
      <c r="O4" s="17">
        <v>11</v>
      </c>
      <c r="P4" s="17">
        <v>12</v>
      </c>
      <c r="Q4" s="17">
        <v>13</v>
      </c>
      <c r="R4" s="17">
        <v>14</v>
      </c>
      <c r="S4" s="17">
        <v>15</v>
      </c>
      <c r="T4" s="17">
        <v>16</v>
      </c>
      <c r="U4" s="17">
        <v>17</v>
      </c>
      <c r="V4" s="17">
        <v>18</v>
      </c>
      <c r="W4" s="17">
        <v>19</v>
      </c>
      <c r="X4" s="17">
        <v>20</v>
      </c>
      <c r="Y4" s="17">
        <v>21</v>
      </c>
      <c r="Z4" s="17">
        <v>22</v>
      </c>
      <c r="AA4" s="17">
        <v>23</v>
      </c>
      <c r="AB4" s="17">
        <v>24</v>
      </c>
      <c r="AC4" s="17">
        <v>25</v>
      </c>
      <c r="AD4" s="17">
        <v>26</v>
      </c>
      <c r="AE4" s="17">
        <v>27</v>
      </c>
      <c r="AF4" s="17">
        <v>28</v>
      </c>
      <c r="AG4" s="17">
        <v>29</v>
      </c>
      <c r="AH4" s="18">
        <v>30</v>
      </c>
      <c r="AI4" s="19"/>
      <c r="AK4" s="38"/>
      <c r="AL4" s="38"/>
      <c r="AM4" s="38"/>
      <c r="AN4" s="38"/>
      <c r="AO4" s="38"/>
    </row>
    <row r="5" spans="2:41" ht="18.75" x14ac:dyDescent="0.25">
      <c r="B5" s="40" t="s">
        <v>10</v>
      </c>
      <c r="C5" s="40"/>
      <c r="E5" s="11" t="s">
        <v>58</v>
      </c>
      <c r="F5" s="7" t="s">
        <v>62</v>
      </c>
      <c r="G5" s="7" t="s">
        <v>59</v>
      </c>
      <c r="H5" s="7" t="s">
        <v>75</v>
      </c>
      <c r="I5" s="7" t="s">
        <v>60</v>
      </c>
      <c r="J5" s="7" t="s">
        <v>5</v>
      </c>
      <c r="K5" s="7" t="s">
        <v>6</v>
      </c>
      <c r="L5" s="7" t="s">
        <v>7</v>
      </c>
      <c r="M5" s="7" t="s">
        <v>0</v>
      </c>
      <c r="N5" s="7" t="s">
        <v>62</v>
      </c>
      <c r="O5" s="7" t="s">
        <v>59</v>
      </c>
      <c r="P5" s="7" t="s">
        <v>61</v>
      </c>
      <c r="Q5" s="7" t="s">
        <v>60</v>
      </c>
      <c r="R5" s="7" t="s">
        <v>5</v>
      </c>
      <c r="S5" s="7" t="s">
        <v>6</v>
      </c>
      <c r="T5" s="7" t="s">
        <v>7</v>
      </c>
      <c r="U5" s="7" t="s">
        <v>0</v>
      </c>
      <c r="V5" s="7" t="s">
        <v>2</v>
      </c>
      <c r="W5" s="7" t="s">
        <v>44</v>
      </c>
      <c r="X5" s="7" t="s">
        <v>78</v>
      </c>
      <c r="Y5" s="7" t="s">
        <v>4</v>
      </c>
      <c r="Z5" s="7" t="s">
        <v>5</v>
      </c>
      <c r="AA5" s="7" t="s">
        <v>6</v>
      </c>
      <c r="AB5" s="7" t="s">
        <v>7</v>
      </c>
      <c r="AC5" s="7" t="s">
        <v>0</v>
      </c>
      <c r="AD5" s="7" t="s">
        <v>1</v>
      </c>
      <c r="AE5" s="7" t="s">
        <v>59</v>
      </c>
      <c r="AF5" s="7" t="s">
        <v>3</v>
      </c>
      <c r="AG5" s="7" t="s">
        <v>4</v>
      </c>
      <c r="AH5" s="8" t="s">
        <v>5</v>
      </c>
      <c r="AI5" s="10"/>
      <c r="AK5" s="6">
        <f>COUNTIF($E5:$AI5,"ST*")</f>
        <v>10</v>
      </c>
      <c r="AL5" s="6">
        <f>COUNTIF($E5:$AI5,"M*")</f>
        <v>4</v>
      </c>
      <c r="AM5" s="6">
        <f>COUNTIF($E5:$AI5,"A*")</f>
        <v>3</v>
      </c>
      <c r="AN5" s="6">
        <f>COUNTIF($E5:$AI5,"N*")</f>
        <v>3</v>
      </c>
      <c r="AO5" s="6">
        <f>COUNTIF($E5:$AI5,"O*")</f>
        <v>10</v>
      </c>
    </row>
    <row r="6" spans="2:41" ht="18.75" x14ac:dyDescent="0.25">
      <c r="B6" s="40" t="s">
        <v>11</v>
      </c>
      <c r="C6" s="40"/>
      <c r="E6" s="5" t="s">
        <v>59</v>
      </c>
      <c r="F6" s="5" t="s">
        <v>61</v>
      </c>
      <c r="G6" s="5" t="s">
        <v>3</v>
      </c>
      <c r="H6" s="5" t="s">
        <v>4</v>
      </c>
      <c r="I6" s="5" t="s">
        <v>5</v>
      </c>
      <c r="J6" s="5" t="s">
        <v>6</v>
      </c>
      <c r="K6" s="5" t="s">
        <v>7</v>
      </c>
      <c r="L6" s="5" t="s">
        <v>62</v>
      </c>
      <c r="M6" s="5" t="s">
        <v>62</v>
      </c>
      <c r="N6" s="5" t="s">
        <v>59</v>
      </c>
      <c r="O6" s="5" t="s">
        <v>61</v>
      </c>
      <c r="P6" s="5" t="s">
        <v>3</v>
      </c>
      <c r="Q6" s="5" t="s">
        <v>5</v>
      </c>
      <c r="R6" s="5" t="s">
        <v>6</v>
      </c>
      <c r="S6" s="5" t="s">
        <v>7</v>
      </c>
      <c r="T6" s="5" t="s">
        <v>0</v>
      </c>
      <c r="U6" s="5" t="s">
        <v>1</v>
      </c>
      <c r="V6" s="5" t="s">
        <v>2</v>
      </c>
      <c r="W6" s="5" t="s">
        <v>61</v>
      </c>
      <c r="X6" s="5" t="s">
        <v>3</v>
      </c>
      <c r="Y6" s="5" t="s">
        <v>5</v>
      </c>
      <c r="Z6" s="5" t="s">
        <v>6</v>
      </c>
      <c r="AA6" s="5" t="s">
        <v>7</v>
      </c>
      <c r="AB6" s="5" t="s">
        <v>0</v>
      </c>
      <c r="AC6" s="5" t="s">
        <v>62</v>
      </c>
      <c r="AD6" s="5" t="s">
        <v>2</v>
      </c>
      <c r="AE6" s="5" t="s">
        <v>3</v>
      </c>
      <c r="AF6" s="5" t="s">
        <v>4</v>
      </c>
      <c r="AG6" s="5" t="s">
        <v>5</v>
      </c>
      <c r="AH6" s="9" t="s">
        <v>6</v>
      </c>
      <c r="AI6" s="2"/>
      <c r="AK6" s="6">
        <f t="shared" ref="AK6:AK22" si="0">COUNTIF($E6:$AI6,"ST*")</f>
        <v>8</v>
      </c>
      <c r="AL6" s="6">
        <f t="shared" ref="AL6:AL22" si="1">COUNTIF($E6:$AI6,"M*")</f>
        <v>3</v>
      </c>
      <c r="AM6" s="6">
        <f t="shared" ref="AM6:AM22" si="2">COUNTIF($E6:$AI6,"A*")</f>
        <v>2</v>
      </c>
      <c r="AN6" s="6">
        <f t="shared" ref="AN6:AN22" si="3">COUNTIF($E6:$AI6,"N*")</f>
        <v>6</v>
      </c>
      <c r="AO6" s="6">
        <f t="shared" ref="AO6:AO22" si="4">COUNTIF($E6:$AI6,"O*")</f>
        <v>11</v>
      </c>
    </row>
    <row r="7" spans="2:41" ht="18.75" x14ac:dyDescent="0.25">
      <c r="B7" s="40" t="s">
        <v>12</v>
      </c>
      <c r="C7" s="40"/>
      <c r="E7" s="5" t="s">
        <v>2</v>
      </c>
      <c r="F7" s="5" t="s">
        <v>3</v>
      </c>
      <c r="G7" s="5" t="s">
        <v>4</v>
      </c>
      <c r="H7" s="5" t="s">
        <v>5</v>
      </c>
      <c r="I7" s="5" t="s">
        <v>6</v>
      </c>
      <c r="J7" s="5" t="s">
        <v>7</v>
      </c>
      <c r="K7" s="5" t="s">
        <v>58</v>
      </c>
      <c r="L7" s="5" t="s">
        <v>62</v>
      </c>
      <c r="M7" s="5" t="s">
        <v>59</v>
      </c>
      <c r="N7" s="5" t="s">
        <v>3</v>
      </c>
      <c r="O7" s="5" t="s">
        <v>4</v>
      </c>
      <c r="P7" s="5" t="s">
        <v>5</v>
      </c>
      <c r="Q7" s="5" t="s">
        <v>6</v>
      </c>
      <c r="R7" s="5" t="s">
        <v>7</v>
      </c>
      <c r="S7" s="5" t="s">
        <v>58</v>
      </c>
      <c r="T7" s="5" t="s">
        <v>62</v>
      </c>
      <c r="U7" s="5" t="s">
        <v>59</v>
      </c>
      <c r="V7" s="5" t="s">
        <v>60</v>
      </c>
      <c r="W7" s="5" t="s">
        <v>76</v>
      </c>
      <c r="X7" s="5" t="s">
        <v>5</v>
      </c>
      <c r="Y7" s="5" t="s">
        <v>6</v>
      </c>
      <c r="Z7" s="5" t="s">
        <v>7</v>
      </c>
      <c r="AA7" s="5" t="s">
        <v>0</v>
      </c>
      <c r="AB7" s="5" t="s">
        <v>1</v>
      </c>
      <c r="AC7" s="5" t="s">
        <v>2</v>
      </c>
      <c r="AD7" s="5" t="s">
        <v>3</v>
      </c>
      <c r="AE7" s="5" t="s">
        <v>4</v>
      </c>
      <c r="AF7" s="5" t="s">
        <v>5</v>
      </c>
      <c r="AG7" s="5" t="s">
        <v>6</v>
      </c>
      <c r="AH7" s="9" t="s">
        <v>7</v>
      </c>
      <c r="AI7" s="2"/>
      <c r="AK7" s="6">
        <f t="shared" si="0"/>
        <v>8</v>
      </c>
      <c r="AL7" s="6">
        <f t="shared" si="1"/>
        <v>2</v>
      </c>
      <c r="AM7" s="6">
        <f t="shared" si="2"/>
        <v>2</v>
      </c>
      <c r="AN7" s="6">
        <f t="shared" si="3"/>
        <v>6</v>
      </c>
      <c r="AO7" s="6">
        <f t="shared" si="4"/>
        <v>12</v>
      </c>
    </row>
    <row r="8" spans="2:41" ht="18.75" x14ac:dyDescent="0.25">
      <c r="B8" s="40" t="s">
        <v>13</v>
      </c>
      <c r="C8" s="40"/>
      <c r="E8" s="5" t="s">
        <v>3</v>
      </c>
      <c r="F8" s="5" t="s">
        <v>4</v>
      </c>
      <c r="G8" s="5" t="s">
        <v>5</v>
      </c>
      <c r="H8" s="5" t="s">
        <v>6</v>
      </c>
      <c r="I8" s="5" t="s">
        <v>7</v>
      </c>
      <c r="J8" s="5" t="s">
        <v>58</v>
      </c>
      <c r="K8" s="5" t="s">
        <v>62</v>
      </c>
      <c r="L8" s="5" t="s">
        <v>44</v>
      </c>
      <c r="M8" s="5" t="s">
        <v>3</v>
      </c>
      <c r="N8" s="5" t="s">
        <v>4</v>
      </c>
      <c r="O8" s="5" t="s">
        <v>5</v>
      </c>
      <c r="P8" s="5" t="s">
        <v>6</v>
      </c>
      <c r="Q8" s="5" t="s">
        <v>7</v>
      </c>
      <c r="R8" s="5" t="s">
        <v>58</v>
      </c>
      <c r="S8" s="5" t="s">
        <v>62</v>
      </c>
      <c r="T8" s="5" t="s">
        <v>2</v>
      </c>
      <c r="U8" s="5" t="s">
        <v>60</v>
      </c>
      <c r="V8" s="5" t="s">
        <v>4</v>
      </c>
      <c r="W8" s="5" t="s">
        <v>5</v>
      </c>
      <c r="X8" s="5" t="s">
        <v>6</v>
      </c>
      <c r="Y8" s="5" t="s">
        <v>7</v>
      </c>
      <c r="Z8" s="5" t="s">
        <v>0</v>
      </c>
      <c r="AA8" s="5" t="s">
        <v>2</v>
      </c>
      <c r="AB8" s="5" t="s">
        <v>44</v>
      </c>
      <c r="AC8" s="5" t="s">
        <v>78</v>
      </c>
      <c r="AD8" s="5" t="s">
        <v>3</v>
      </c>
      <c r="AE8" s="5" t="s">
        <v>5</v>
      </c>
      <c r="AF8" s="5" t="s">
        <v>6</v>
      </c>
      <c r="AG8" s="5" t="s">
        <v>7</v>
      </c>
      <c r="AH8" s="9" t="s">
        <v>0</v>
      </c>
      <c r="AI8" s="2"/>
      <c r="AK8" s="6">
        <f t="shared" si="0"/>
        <v>5</v>
      </c>
      <c r="AL8" s="6">
        <f t="shared" si="1"/>
        <v>2</v>
      </c>
      <c r="AM8" s="6">
        <f t="shared" si="2"/>
        <v>5</v>
      </c>
      <c r="AN8" s="6">
        <f t="shared" si="3"/>
        <v>6</v>
      </c>
      <c r="AO8" s="6">
        <f t="shared" si="4"/>
        <v>12</v>
      </c>
    </row>
    <row r="9" spans="2:41" ht="18.75" x14ac:dyDescent="0.25">
      <c r="B9" s="40" t="s">
        <v>14</v>
      </c>
      <c r="C9" s="40"/>
      <c r="E9" s="5" t="s">
        <v>4</v>
      </c>
      <c r="F9" s="5" t="s">
        <v>5</v>
      </c>
      <c r="G9" s="5" t="s">
        <v>6</v>
      </c>
      <c r="H9" s="5" t="s">
        <v>7</v>
      </c>
      <c r="I9" s="5" t="s">
        <v>0</v>
      </c>
      <c r="J9" s="5" t="s">
        <v>1</v>
      </c>
      <c r="K9" s="5" t="s">
        <v>2</v>
      </c>
      <c r="L9" s="5" t="s">
        <v>3</v>
      </c>
      <c r="M9" s="5" t="s">
        <v>4</v>
      </c>
      <c r="N9" s="5" t="s">
        <v>5</v>
      </c>
      <c r="O9" s="5" t="s">
        <v>6</v>
      </c>
      <c r="P9" s="5" t="s">
        <v>7</v>
      </c>
      <c r="Q9" s="5" t="s">
        <v>0</v>
      </c>
      <c r="R9" s="5" t="s">
        <v>1</v>
      </c>
      <c r="S9" s="5" t="s">
        <v>2</v>
      </c>
      <c r="T9" s="5" t="s">
        <v>44</v>
      </c>
      <c r="U9" s="5" t="s">
        <v>3</v>
      </c>
      <c r="V9" s="5" t="s">
        <v>5</v>
      </c>
      <c r="W9" s="5" t="s">
        <v>6</v>
      </c>
      <c r="X9" s="5" t="s">
        <v>7</v>
      </c>
      <c r="Y9" s="5" t="s">
        <v>58</v>
      </c>
      <c r="Z9" s="5" t="s">
        <v>62</v>
      </c>
      <c r="AA9" s="5" t="s">
        <v>59</v>
      </c>
      <c r="AB9" s="5" t="s">
        <v>61</v>
      </c>
      <c r="AC9" s="5" t="s">
        <v>60</v>
      </c>
      <c r="AD9" s="5" t="s">
        <v>5</v>
      </c>
      <c r="AE9" s="5" t="s">
        <v>6</v>
      </c>
      <c r="AF9" s="5" t="s">
        <v>7</v>
      </c>
      <c r="AG9" s="5" t="s">
        <v>58</v>
      </c>
      <c r="AH9" s="9" t="s">
        <v>2</v>
      </c>
      <c r="AI9" s="2"/>
      <c r="AK9" s="6">
        <f t="shared" si="0"/>
        <v>6</v>
      </c>
      <c r="AL9" s="6">
        <f t="shared" si="1"/>
        <v>4</v>
      </c>
      <c r="AM9" s="6">
        <f t="shared" si="2"/>
        <v>4</v>
      </c>
      <c r="AN9" s="6">
        <f t="shared" si="3"/>
        <v>4</v>
      </c>
      <c r="AO9" s="6">
        <f t="shared" si="4"/>
        <v>12</v>
      </c>
    </row>
    <row r="10" spans="2:41" ht="18.75" x14ac:dyDescent="0.25">
      <c r="B10" s="40" t="s">
        <v>15</v>
      </c>
      <c r="C10" s="40"/>
      <c r="E10" s="5" t="s">
        <v>5</v>
      </c>
      <c r="F10" s="5" t="s">
        <v>6</v>
      </c>
      <c r="G10" s="5" t="s">
        <v>7</v>
      </c>
      <c r="H10" s="5" t="s">
        <v>0</v>
      </c>
      <c r="I10" s="5" t="s">
        <v>2</v>
      </c>
      <c r="J10" s="5" t="s">
        <v>44</v>
      </c>
      <c r="K10" s="5" t="s">
        <v>3</v>
      </c>
      <c r="L10" s="5" t="s">
        <v>4</v>
      </c>
      <c r="M10" s="5" t="s">
        <v>5</v>
      </c>
      <c r="N10" s="5" t="s">
        <v>6</v>
      </c>
      <c r="O10" s="5" t="s">
        <v>7</v>
      </c>
      <c r="P10" s="5" t="s">
        <v>0</v>
      </c>
      <c r="Q10" s="5" t="s">
        <v>1</v>
      </c>
      <c r="R10" s="5" t="s">
        <v>2</v>
      </c>
      <c r="S10" s="5" t="s">
        <v>44</v>
      </c>
      <c r="T10" s="5" t="s">
        <v>3</v>
      </c>
      <c r="U10" s="5" t="s">
        <v>5</v>
      </c>
      <c r="V10" s="5" t="s">
        <v>6</v>
      </c>
      <c r="W10" s="5" t="s">
        <v>7</v>
      </c>
      <c r="X10" s="5" t="s">
        <v>58</v>
      </c>
      <c r="Y10" s="5" t="s">
        <v>62</v>
      </c>
      <c r="Z10" s="5" t="s">
        <v>2</v>
      </c>
      <c r="AA10" s="5" t="s">
        <v>44</v>
      </c>
      <c r="AB10" s="5" t="s">
        <v>3</v>
      </c>
      <c r="AC10" s="5" t="s">
        <v>5</v>
      </c>
      <c r="AD10" s="5" t="s">
        <v>6</v>
      </c>
      <c r="AE10" s="5" t="s">
        <v>7</v>
      </c>
      <c r="AF10" s="5" t="s">
        <v>0</v>
      </c>
      <c r="AG10" s="5" t="s">
        <v>1</v>
      </c>
      <c r="AH10" s="9" t="s">
        <v>2</v>
      </c>
      <c r="AI10" s="2"/>
      <c r="AK10" s="6">
        <f t="shared" si="0"/>
        <v>2</v>
      </c>
      <c r="AL10" s="6">
        <f t="shared" si="1"/>
        <v>5</v>
      </c>
      <c r="AM10" s="6">
        <f t="shared" si="2"/>
        <v>7</v>
      </c>
      <c r="AN10" s="6">
        <f t="shared" si="3"/>
        <v>4</v>
      </c>
      <c r="AO10" s="6">
        <f t="shared" si="4"/>
        <v>12</v>
      </c>
    </row>
    <row r="11" spans="2:41" ht="18.75" x14ac:dyDescent="0.25">
      <c r="B11" s="40" t="s">
        <v>16</v>
      </c>
      <c r="C11" s="40"/>
      <c r="E11" s="5" t="s">
        <v>6</v>
      </c>
      <c r="F11" s="5" t="s">
        <v>7</v>
      </c>
      <c r="G11" s="5" t="s">
        <v>58</v>
      </c>
      <c r="H11" s="5" t="s">
        <v>2</v>
      </c>
      <c r="I11" s="5" t="s">
        <v>44</v>
      </c>
      <c r="J11" s="5" t="s">
        <v>3</v>
      </c>
      <c r="K11" s="5" t="s">
        <v>4</v>
      </c>
      <c r="L11" s="5" t="s">
        <v>5</v>
      </c>
      <c r="M11" s="5" t="s">
        <v>6</v>
      </c>
      <c r="N11" s="5" t="s">
        <v>7</v>
      </c>
      <c r="O11" s="5" t="s">
        <v>0</v>
      </c>
      <c r="P11" s="5" t="s">
        <v>1</v>
      </c>
      <c r="Q11" s="5" t="s">
        <v>2</v>
      </c>
      <c r="R11" s="5" t="s">
        <v>60</v>
      </c>
      <c r="S11" s="5" t="s">
        <v>4</v>
      </c>
      <c r="T11" s="5" t="s">
        <v>5</v>
      </c>
      <c r="U11" s="5" t="s">
        <v>6</v>
      </c>
      <c r="V11" s="5" t="s">
        <v>7</v>
      </c>
      <c r="W11" s="5" t="s">
        <v>0</v>
      </c>
      <c r="X11" s="5" t="s">
        <v>59</v>
      </c>
      <c r="Y11" s="5" t="s">
        <v>44</v>
      </c>
      <c r="Z11" s="5" t="s">
        <v>3</v>
      </c>
      <c r="AA11" s="5" t="s">
        <v>4</v>
      </c>
      <c r="AB11" s="5" t="s">
        <v>5</v>
      </c>
      <c r="AC11" s="5" t="s">
        <v>6</v>
      </c>
      <c r="AD11" s="5" t="s">
        <v>7</v>
      </c>
      <c r="AE11" s="5" t="s">
        <v>0</v>
      </c>
      <c r="AF11" s="5" t="s">
        <v>59</v>
      </c>
      <c r="AG11" s="5" t="s">
        <v>44</v>
      </c>
      <c r="AH11" s="9" t="s">
        <v>3</v>
      </c>
      <c r="AI11" s="2"/>
      <c r="AK11" s="6">
        <f t="shared" si="0"/>
        <v>4</v>
      </c>
      <c r="AL11" s="6">
        <f t="shared" si="1"/>
        <v>4</v>
      </c>
      <c r="AM11" s="6">
        <f t="shared" si="2"/>
        <v>5</v>
      </c>
      <c r="AN11" s="6">
        <f t="shared" si="3"/>
        <v>6</v>
      </c>
      <c r="AO11" s="6">
        <f t="shared" si="4"/>
        <v>11</v>
      </c>
    </row>
    <row r="12" spans="2:41" ht="18.75" x14ac:dyDescent="0.25">
      <c r="B12" s="40" t="s">
        <v>17</v>
      </c>
      <c r="C12" s="40"/>
      <c r="E12" s="5" t="s">
        <v>7</v>
      </c>
      <c r="F12" s="5" t="s">
        <v>58</v>
      </c>
      <c r="G12" s="5" t="s">
        <v>1</v>
      </c>
      <c r="H12" s="5" t="s">
        <v>44</v>
      </c>
      <c r="I12" s="5" t="s">
        <v>60</v>
      </c>
      <c r="J12" s="5" t="s">
        <v>4</v>
      </c>
      <c r="K12" s="5" t="s">
        <v>5</v>
      </c>
      <c r="L12" s="5" t="s">
        <v>6</v>
      </c>
      <c r="M12" s="5" t="s">
        <v>7</v>
      </c>
      <c r="N12" s="5" t="s">
        <v>0</v>
      </c>
      <c r="O12" s="5" t="s">
        <v>62</v>
      </c>
      <c r="P12" s="5" t="s">
        <v>2</v>
      </c>
      <c r="Q12" s="5" t="s">
        <v>3</v>
      </c>
      <c r="R12" s="5" t="s">
        <v>4</v>
      </c>
      <c r="S12" s="5" t="s">
        <v>5</v>
      </c>
      <c r="T12" s="5" t="s">
        <v>6</v>
      </c>
      <c r="U12" s="5" t="s">
        <v>7</v>
      </c>
      <c r="V12" s="5" t="s">
        <v>58</v>
      </c>
      <c r="W12" s="5" t="s">
        <v>1</v>
      </c>
      <c r="X12" s="5" t="s">
        <v>2</v>
      </c>
      <c r="Y12" s="5" t="s">
        <v>60</v>
      </c>
      <c r="Z12" s="5" t="s">
        <v>4</v>
      </c>
      <c r="AA12" s="5" t="s">
        <v>5</v>
      </c>
      <c r="AB12" s="5" t="s">
        <v>6</v>
      </c>
      <c r="AC12" s="5" t="s">
        <v>7</v>
      </c>
      <c r="AD12" s="5" t="s">
        <v>58</v>
      </c>
      <c r="AE12" s="5" t="s">
        <v>62</v>
      </c>
      <c r="AF12" s="5" t="s">
        <v>59</v>
      </c>
      <c r="AG12" s="5" t="s">
        <v>61</v>
      </c>
      <c r="AH12" s="9" t="s">
        <v>60</v>
      </c>
      <c r="AI12" s="2"/>
      <c r="AK12" s="6">
        <f t="shared" si="0"/>
        <v>10</v>
      </c>
      <c r="AL12" s="6">
        <f t="shared" si="1"/>
        <v>3</v>
      </c>
      <c r="AM12" s="6">
        <f t="shared" si="2"/>
        <v>3</v>
      </c>
      <c r="AN12" s="6">
        <f t="shared" si="3"/>
        <v>4</v>
      </c>
      <c r="AO12" s="6">
        <f t="shared" si="4"/>
        <v>10</v>
      </c>
    </row>
    <row r="13" spans="2:41" ht="18.75" x14ac:dyDescent="0.25">
      <c r="B13" s="40" t="s">
        <v>18</v>
      </c>
      <c r="C13" s="40"/>
      <c r="E13" s="5" t="s">
        <v>0</v>
      </c>
      <c r="F13" s="5" t="s">
        <v>1</v>
      </c>
      <c r="G13" s="5" t="s">
        <v>44</v>
      </c>
      <c r="H13" s="5" t="s">
        <v>3</v>
      </c>
      <c r="I13" s="5" t="s">
        <v>4</v>
      </c>
      <c r="J13" s="5" t="s">
        <v>5</v>
      </c>
      <c r="K13" s="5" t="s">
        <v>6</v>
      </c>
      <c r="L13" s="5" t="s">
        <v>7</v>
      </c>
      <c r="M13" s="5" t="s">
        <v>0</v>
      </c>
      <c r="N13" s="5" t="s">
        <v>1</v>
      </c>
      <c r="O13" s="5" t="s">
        <v>2</v>
      </c>
      <c r="P13" s="5" t="s">
        <v>60</v>
      </c>
      <c r="Q13" s="5" t="s">
        <v>4</v>
      </c>
      <c r="R13" s="5" t="s">
        <v>5</v>
      </c>
      <c r="S13" s="5" t="s">
        <v>6</v>
      </c>
      <c r="T13" s="5" t="s">
        <v>7</v>
      </c>
      <c r="U13" s="5" t="s">
        <v>58</v>
      </c>
      <c r="V13" s="5" t="s">
        <v>1</v>
      </c>
      <c r="W13" s="5" t="s">
        <v>2</v>
      </c>
      <c r="X13" s="5" t="s">
        <v>44</v>
      </c>
      <c r="Y13" s="5" t="s">
        <v>3</v>
      </c>
      <c r="Z13" s="5" t="s">
        <v>5</v>
      </c>
      <c r="AA13" s="5" t="s">
        <v>6</v>
      </c>
      <c r="AB13" s="5" t="s">
        <v>7</v>
      </c>
      <c r="AC13" s="5" t="s">
        <v>0</v>
      </c>
      <c r="AD13" s="5" t="s">
        <v>62</v>
      </c>
      <c r="AE13" s="5" t="s">
        <v>2</v>
      </c>
      <c r="AF13" s="5" t="s">
        <v>44</v>
      </c>
      <c r="AG13" s="5" t="s">
        <v>3</v>
      </c>
      <c r="AH13" s="9" t="s">
        <v>5</v>
      </c>
      <c r="AI13" s="2"/>
      <c r="AK13" s="6">
        <f t="shared" si="0"/>
        <v>3</v>
      </c>
      <c r="AL13" s="6">
        <f t="shared" si="1"/>
        <v>6</v>
      </c>
      <c r="AM13" s="6">
        <f t="shared" si="2"/>
        <v>6</v>
      </c>
      <c r="AN13" s="6">
        <f t="shared" si="3"/>
        <v>5</v>
      </c>
      <c r="AO13" s="6">
        <f t="shared" si="4"/>
        <v>10</v>
      </c>
    </row>
    <row r="14" spans="2:41" ht="18.75" x14ac:dyDescent="0.25">
      <c r="B14" s="40" t="s">
        <v>19</v>
      </c>
      <c r="C14" s="40"/>
      <c r="E14" s="5" t="s">
        <v>2</v>
      </c>
      <c r="F14" s="5" t="s">
        <v>44</v>
      </c>
      <c r="G14" s="5" t="s">
        <v>81</v>
      </c>
      <c r="H14" s="5" t="s">
        <v>4</v>
      </c>
      <c r="I14" s="5" t="s">
        <v>5</v>
      </c>
      <c r="J14" s="5" t="s">
        <v>6</v>
      </c>
      <c r="K14" s="5" t="s">
        <v>7</v>
      </c>
      <c r="L14" s="5" t="s">
        <v>0</v>
      </c>
      <c r="M14" s="5" t="s">
        <v>2</v>
      </c>
      <c r="N14" s="5" t="s">
        <v>44</v>
      </c>
      <c r="O14" s="5" t="s">
        <v>3</v>
      </c>
      <c r="P14" s="5" t="s">
        <v>4</v>
      </c>
      <c r="Q14" s="5" t="s">
        <v>5</v>
      </c>
      <c r="R14" s="5" t="s">
        <v>6</v>
      </c>
      <c r="S14" s="5" t="s">
        <v>7</v>
      </c>
      <c r="T14" s="5" t="s">
        <v>0</v>
      </c>
      <c r="U14" s="5" t="s">
        <v>2</v>
      </c>
      <c r="V14" s="5" t="s">
        <v>61</v>
      </c>
      <c r="W14" s="5" t="s">
        <v>3</v>
      </c>
      <c r="X14" s="5" t="s">
        <v>4</v>
      </c>
      <c r="Y14" s="5" t="s">
        <v>5</v>
      </c>
      <c r="Z14" s="5" t="s">
        <v>6</v>
      </c>
      <c r="AA14" s="5" t="s">
        <v>7</v>
      </c>
      <c r="AB14" s="5" t="s">
        <v>0</v>
      </c>
      <c r="AC14" s="5" t="s">
        <v>62</v>
      </c>
      <c r="AD14" s="5" t="s">
        <v>2</v>
      </c>
      <c r="AE14" s="5" t="s">
        <v>44</v>
      </c>
      <c r="AF14" s="5" t="s">
        <v>3</v>
      </c>
      <c r="AG14" s="5" t="s">
        <v>5</v>
      </c>
      <c r="AH14" s="9" t="s">
        <v>6</v>
      </c>
      <c r="AI14" s="2"/>
      <c r="AK14" s="6">
        <f t="shared" si="0"/>
        <v>3</v>
      </c>
      <c r="AL14" s="6">
        <f t="shared" si="1"/>
        <v>3</v>
      </c>
      <c r="AM14" s="6">
        <f t="shared" si="2"/>
        <v>7</v>
      </c>
      <c r="AN14" s="6">
        <f t="shared" si="3"/>
        <v>6</v>
      </c>
      <c r="AO14" s="6">
        <f t="shared" si="4"/>
        <v>11</v>
      </c>
    </row>
    <row r="15" spans="2:41" ht="18.75" x14ac:dyDescent="0.25">
      <c r="B15" s="40" t="s">
        <v>20</v>
      </c>
      <c r="C15" s="40"/>
      <c r="E15" s="5" t="s">
        <v>2</v>
      </c>
      <c r="F15" s="5" t="s">
        <v>44</v>
      </c>
      <c r="G15" s="5" t="s">
        <v>4</v>
      </c>
      <c r="H15" s="5" t="s">
        <v>5</v>
      </c>
      <c r="I15" s="5" t="s">
        <v>6</v>
      </c>
      <c r="J15" s="5" t="s">
        <v>7</v>
      </c>
      <c r="K15" s="5" t="s">
        <v>0</v>
      </c>
      <c r="L15" s="5" t="s">
        <v>1</v>
      </c>
      <c r="M15" s="5" t="s">
        <v>59</v>
      </c>
      <c r="N15" s="5" t="s">
        <v>44</v>
      </c>
      <c r="O15" s="5" t="s">
        <v>4</v>
      </c>
      <c r="P15" s="5" t="s">
        <v>5</v>
      </c>
      <c r="Q15" s="5" t="s">
        <v>6</v>
      </c>
      <c r="R15" s="5" t="s">
        <v>7</v>
      </c>
      <c r="S15" s="5" t="s">
        <v>0</v>
      </c>
      <c r="T15" s="5" t="s">
        <v>62</v>
      </c>
      <c r="U15" s="5" t="s">
        <v>2</v>
      </c>
      <c r="V15" s="5" t="s">
        <v>44</v>
      </c>
      <c r="W15" s="5" t="s">
        <v>3</v>
      </c>
      <c r="X15" s="5" t="s">
        <v>5</v>
      </c>
      <c r="Y15" s="5" t="s">
        <v>6</v>
      </c>
      <c r="Z15" s="5" t="s">
        <v>7</v>
      </c>
      <c r="AA15" s="5" t="s">
        <v>0</v>
      </c>
      <c r="AB15" s="5" t="s">
        <v>62</v>
      </c>
      <c r="AC15" s="5" t="s">
        <v>2</v>
      </c>
      <c r="AD15" s="5" t="s">
        <v>44</v>
      </c>
      <c r="AE15" s="5" t="s">
        <v>3</v>
      </c>
      <c r="AF15" s="5" t="s">
        <v>5</v>
      </c>
      <c r="AG15" s="5" t="s">
        <v>6</v>
      </c>
      <c r="AH15" s="9" t="s">
        <v>7</v>
      </c>
      <c r="AI15" s="2"/>
      <c r="AK15" s="6">
        <f t="shared" si="0"/>
        <v>3</v>
      </c>
      <c r="AL15" s="6">
        <f t="shared" si="1"/>
        <v>4</v>
      </c>
      <c r="AM15" s="6">
        <f t="shared" si="2"/>
        <v>7</v>
      </c>
      <c r="AN15" s="6">
        <f t="shared" si="3"/>
        <v>4</v>
      </c>
      <c r="AO15" s="6">
        <f t="shared" si="4"/>
        <v>12</v>
      </c>
    </row>
    <row r="16" spans="2:41" ht="18.75" x14ac:dyDescent="0.25">
      <c r="B16" s="40" t="s">
        <v>21</v>
      </c>
      <c r="C16" s="40"/>
      <c r="E16" s="5" t="s">
        <v>59</v>
      </c>
      <c r="F16" s="5" t="s">
        <v>4</v>
      </c>
      <c r="G16" s="5" t="s">
        <v>5</v>
      </c>
      <c r="H16" s="5" t="s">
        <v>6</v>
      </c>
      <c r="I16" s="5" t="s">
        <v>7</v>
      </c>
      <c r="J16" s="5" t="s">
        <v>0</v>
      </c>
      <c r="K16" s="5" t="s">
        <v>1</v>
      </c>
      <c r="L16" s="5" t="s">
        <v>2</v>
      </c>
      <c r="M16" s="5" t="s">
        <v>44</v>
      </c>
      <c r="N16" s="5" t="s">
        <v>3</v>
      </c>
      <c r="O16" s="5" t="s">
        <v>5</v>
      </c>
      <c r="P16" s="5" t="s">
        <v>6</v>
      </c>
      <c r="Q16" s="5" t="s">
        <v>7</v>
      </c>
      <c r="R16" s="5" t="s">
        <v>0</v>
      </c>
      <c r="S16" s="5" t="s">
        <v>1</v>
      </c>
      <c r="T16" s="5" t="s">
        <v>2</v>
      </c>
      <c r="U16" s="5" t="s">
        <v>3</v>
      </c>
      <c r="V16" s="5" t="s">
        <v>4</v>
      </c>
      <c r="W16" s="5" t="s">
        <v>5</v>
      </c>
      <c r="X16" s="5" t="s">
        <v>6</v>
      </c>
      <c r="Y16" s="5" t="s">
        <v>7</v>
      </c>
      <c r="Z16" s="5" t="s">
        <v>0</v>
      </c>
      <c r="AA16" s="5" t="s">
        <v>62</v>
      </c>
      <c r="AB16" s="5" t="s">
        <v>2</v>
      </c>
      <c r="AC16" s="5" t="s">
        <v>3</v>
      </c>
      <c r="AD16" s="5" t="s">
        <v>4</v>
      </c>
      <c r="AE16" s="5" t="s">
        <v>5</v>
      </c>
      <c r="AF16" s="5" t="s">
        <v>6</v>
      </c>
      <c r="AG16" s="5" t="s">
        <v>7</v>
      </c>
      <c r="AH16" s="9" t="s">
        <v>0</v>
      </c>
      <c r="AI16" s="2"/>
      <c r="AK16" s="6">
        <f t="shared" si="0"/>
        <v>2</v>
      </c>
      <c r="AL16" s="6">
        <f t="shared" si="1"/>
        <v>6</v>
      </c>
      <c r="AM16" s="6">
        <f t="shared" si="2"/>
        <v>4</v>
      </c>
      <c r="AN16" s="6">
        <f t="shared" si="3"/>
        <v>6</v>
      </c>
      <c r="AO16" s="6">
        <f t="shared" si="4"/>
        <v>12</v>
      </c>
    </row>
    <row r="17" spans="2:41" ht="18.75" x14ac:dyDescent="0.25">
      <c r="B17" s="40" t="s">
        <v>22</v>
      </c>
      <c r="C17" s="40"/>
      <c r="E17" s="5" t="s">
        <v>4</v>
      </c>
      <c r="F17" s="5" t="s">
        <v>5</v>
      </c>
      <c r="G17" s="5" t="s">
        <v>6</v>
      </c>
      <c r="H17" s="5" t="s">
        <v>7</v>
      </c>
      <c r="I17" s="5" t="s">
        <v>0</v>
      </c>
      <c r="J17" s="5" t="s">
        <v>1</v>
      </c>
      <c r="K17" s="5" t="s">
        <v>2</v>
      </c>
      <c r="L17" s="5" t="s">
        <v>44</v>
      </c>
      <c r="M17" s="5" t="s">
        <v>3</v>
      </c>
      <c r="N17" s="5" t="s">
        <v>5</v>
      </c>
      <c r="O17" s="5" t="s">
        <v>6</v>
      </c>
      <c r="P17" s="5" t="s">
        <v>7</v>
      </c>
      <c r="Q17" s="5" t="s">
        <v>0</v>
      </c>
      <c r="R17" s="5" t="s">
        <v>2</v>
      </c>
      <c r="S17" s="5" t="s">
        <v>44</v>
      </c>
      <c r="T17" s="5" t="s">
        <v>3</v>
      </c>
      <c r="U17" s="5" t="s">
        <v>4</v>
      </c>
      <c r="V17" s="5" t="s">
        <v>5</v>
      </c>
      <c r="W17" s="5" t="s">
        <v>6</v>
      </c>
      <c r="X17" s="5" t="s">
        <v>7</v>
      </c>
      <c r="Y17" s="5" t="s">
        <v>0</v>
      </c>
      <c r="Z17" s="5" t="s">
        <v>2</v>
      </c>
      <c r="AA17" s="5" t="s">
        <v>44</v>
      </c>
      <c r="AB17" s="5" t="s">
        <v>3</v>
      </c>
      <c r="AC17" s="5" t="s">
        <v>4</v>
      </c>
      <c r="AD17" s="5" t="s">
        <v>5</v>
      </c>
      <c r="AE17" s="5" t="s">
        <v>6</v>
      </c>
      <c r="AF17" s="5" t="s">
        <v>7</v>
      </c>
      <c r="AG17" s="5" t="s">
        <v>0</v>
      </c>
      <c r="AH17" s="9" t="s">
        <v>2</v>
      </c>
      <c r="AI17" s="2"/>
      <c r="AK17" s="6">
        <f t="shared" si="0"/>
        <v>0</v>
      </c>
      <c r="AL17" s="6">
        <f t="shared" si="1"/>
        <v>5</v>
      </c>
      <c r="AM17" s="6">
        <f t="shared" si="2"/>
        <v>7</v>
      </c>
      <c r="AN17" s="6">
        <f t="shared" si="3"/>
        <v>6</v>
      </c>
      <c r="AO17" s="6">
        <f t="shared" si="4"/>
        <v>12</v>
      </c>
    </row>
    <row r="18" spans="2:41" ht="18.75" x14ac:dyDescent="0.25">
      <c r="B18" s="40" t="s">
        <v>23</v>
      </c>
      <c r="C18" s="40"/>
      <c r="E18" s="5" t="s">
        <v>5</v>
      </c>
      <c r="F18" s="5" t="s">
        <v>6</v>
      </c>
      <c r="G18" s="5" t="s">
        <v>7</v>
      </c>
      <c r="H18" s="5" t="s">
        <v>0</v>
      </c>
      <c r="I18" s="5" t="s">
        <v>1</v>
      </c>
      <c r="J18" s="5" t="s">
        <v>2</v>
      </c>
      <c r="K18" s="5" t="s">
        <v>44</v>
      </c>
      <c r="L18" s="5" t="s">
        <v>3</v>
      </c>
      <c r="M18" s="5" t="s">
        <v>5</v>
      </c>
      <c r="N18" s="5" t="s">
        <v>6</v>
      </c>
      <c r="O18" s="5" t="s">
        <v>7</v>
      </c>
      <c r="P18" s="5" t="s">
        <v>0</v>
      </c>
      <c r="Q18" s="5" t="s">
        <v>2</v>
      </c>
      <c r="R18" s="5" t="s">
        <v>44</v>
      </c>
      <c r="S18" s="5" t="s">
        <v>3</v>
      </c>
      <c r="T18" s="5" t="s">
        <v>4</v>
      </c>
      <c r="U18" s="5" t="s">
        <v>5</v>
      </c>
      <c r="V18" s="5" t="s">
        <v>6</v>
      </c>
      <c r="W18" s="5" t="s">
        <v>7</v>
      </c>
      <c r="X18" s="5" t="s">
        <v>0</v>
      </c>
      <c r="Y18" s="5" t="s">
        <v>1</v>
      </c>
      <c r="Z18" s="5" t="s">
        <v>44</v>
      </c>
      <c r="AA18" s="5" t="s">
        <v>3</v>
      </c>
      <c r="AB18" s="5" t="s">
        <v>4</v>
      </c>
      <c r="AC18" s="5" t="s">
        <v>5</v>
      </c>
      <c r="AD18" s="5" t="s">
        <v>6</v>
      </c>
      <c r="AE18" s="5" t="s">
        <v>7</v>
      </c>
      <c r="AF18" s="5" t="s">
        <v>0</v>
      </c>
      <c r="AG18" s="5" t="s">
        <v>2</v>
      </c>
      <c r="AH18" s="9" t="s">
        <v>3</v>
      </c>
      <c r="AI18" s="2"/>
      <c r="AK18" s="6">
        <f t="shared" si="0"/>
        <v>0</v>
      </c>
      <c r="AL18" s="6">
        <f t="shared" si="1"/>
        <v>6</v>
      </c>
      <c r="AM18" s="6">
        <f t="shared" si="2"/>
        <v>6</v>
      </c>
      <c r="AN18" s="6">
        <f t="shared" si="3"/>
        <v>6</v>
      </c>
      <c r="AO18" s="6">
        <f t="shared" si="4"/>
        <v>12</v>
      </c>
    </row>
    <row r="19" spans="2:41" ht="18.75" x14ac:dyDescent="0.25">
      <c r="B19" s="40" t="s">
        <v>24</v>
      </c>
      <c r="C19" s="40"/>
      <c r="E19" s="5" t="s">
        <v>6</v>
      </c>
      <c r="F19" s="5" t="s">
        <v>7</v>
      </c>
      <c r="G19" s="5" t="s">
        <v>0</v>
      </c>
      <c r="H19" s="5" t="s">
        <v>1</v>
      </c>
      <c r="I19" s="5" t="s">
        <v>2</v>
      </c>
      <c r="J19" s="5" t="s">
        <v>44</v>
      </c>
      <c r="K19" s="5" t="s">
        <v>4</v>
      </c>
      <c r="L19" s="5" t="s">
        <v>5</v>
      </c>
      <c r="M19" s="5" t="s">
        <v>6</v>
      </c>
      <c r="N19" s="5" t="s">
        <v>7</v>
      </c>
      <c r="O19" s="5" t="s">
        <v>0</v>
      </c>
      <c r="P19" s="5" t="s">
        <v>2</v>
      </c>
      <c r="Q19" s="5" t="s">
        <v>44</v>
      </c>
      <c r="R19" s="5" t="s">
        <v>3</v>
      </c>
      <c r="S19" s="5" t="s">
        <v>4</v>
      </c>
      <c r="T19" s="5" t="s">
        <v>5</v>
      </c>
      <c r="U19" s="5" t="s">
        <v>6</v>
      </c>
      <c r="V19" s="5" t="s">
        <v>7</v>
      </c>
      <c r="W19" s="5" t="s">
        <v>0</v>
      </c>
      <c r="X19" s="5" t="s">
        <v>1</v>
      </c>
      <c r="Y19" s="5" t="s">
        <v>2</v>
      </c>
      <c r="Z19" s="5" t="s">
        <v>60</v>
      </c>
      <c r="AA19" s="5" t="s">
        <v>4</v>
      </c>
      <c r="AB19" s="5" t="s">
        <v>5</v>
      </c>
      <c r="AC19" s="5" t="s">
        <v>6</v>
      </c>
      <c r="AD19" s="5" t="s">
        <v>7</v>
      </c>
      <c r="AE19" s="5" t="s">
        <v>0</v>
      </c>
      <c r="AF19" s="5" t="s">
        <v>2</v>
      </c>
      <c r="AG19" s="5" t="s">
        <v>44</v>
      </c>
      <c r="AH19" s="9" t="s">
        <v>60</v>
      </c>
      <c r="AI19" s="2"/>
      <c r="AK19" s="6">
        <f t="shared" si="0"/>
        <v>2</v>
      </c>
      <c r="AL19" s="6">
        <f t="shared" si="1"/>
        <v>6</v>
      </c>
      <c r="AM19" s="6">
        <f t="shared" si="2"/>
        <v>7</v>
      </c>
      <c r="AN19" s="6">
        <f t="shared" si="3"/>
        <v>4</v>
      </c>
      <c r="AO19" s="6">
        <f t="shared" si="4"/>
        <v>11</v>
      </c>
    </row>
    <row r="20" spans="2:41" ht="18.75" x14ac:dyDescent="0.25">
      <c r="B20" s="47" t="s">
        <v>25</v>
      </c>
      <c r="C20" s="48"/>
      <c r="E20" s="5" t="s">
        <v>7</v>
      </c>
      <c r="F20" s="5" t="s">
        <v>0</v>
      </c>
      <c r="G20" s="5" t="s">
        <v>1</v>
      </c>
      <c r="H20" s="5" t="s">
        <v>59</v>
      </c>
      <c r="I20" s="5" t="s">
        <v>3</v>
      </c>
      <c r="J20" s="5" t="s">
        <v>4</v>
      </c>
      <c r="K20" s="5" t="s">
        <v>5</v>
      </c>
      <c r="L20" s="5" t="s">
        <v>6</v>
      </c>
      <c r="M20" s="5" t="s">
        <v>7</v>
      </c>
      <c r="N20" s="5" t="s">
        <v>58</v>
      </c>
      <c r="O20" s="5" t="s">
        <v>2</v>
      </c>
      <c r="P20" s="5" t="s">
        <v>44</v>
      </c>
      <c r="Q20" s="5" t="s">
        <v>60</v>
      </c>
      <c r="R20" s="5" t="s">
        <v>4</v>
      </c>
      <c r="S20" s="5" t="s">
        <v>5</v>
      </c>
      <c r="T20" s="5" t="s">
        <v>6</v>
      </c>
      <c r="U20" s="5" t="s">
        <v>7</v>
      </c>
      <c r="V20" s="5" t="s">
        <v>0</v>
      </c>
      <c r="W20" s="5" t="s">
        <v>1</v>
      </c>
      <c r="X20" s="5" t="s">
        <v>70</v>
      </c>
      <c r="Y20" s="5" t="s">
        <v>44</v>
      </c>
      <c r="Z20" s="5" t="s">
        <v>4</v>
      </c>
      <c r="AA20" s="5" t="s">
        <v>5</v>
      </c>
      <c r="AB20" s="5" t="s">
        <v>6</v>
      </c>
      <c r="AC20" s="5" t="s">
        <v>7</v>
      </c>
      <c r="AD20" s="5" t="s">
        <v>0</v>
      </c>
      <c r="AE20" s="5" t="s">
        <v>1</v>
      </c>
      <c r="AF20" s="5" t="s">
        <v>2</v>
      </c>
      <c r="AG20" s="5" t="s">
        <v>60</v>
      </c>
      <c r="AH20" s="9" t="s">
        <v>4</v>
      </c>
      <c r="AI20" s="2"/>
      <c r="AK20" s="6"/>
      <c r="AL20" s="6"/>
      <c r="AM20" s="6"/>
      <c r="AN20" s="6"/>
      <c r="AO20" s="6"/>
    </row>
    <row r="21" spans="2:41" ht="18.75" x14ac:dyDescent="0.25">
      <c r="B21" s="47" t="s">
        <v>26</v>
      </c>
      <c r="C21" s="48"/>
      <c r="E21" s="5" t="s">
        <v>0</v>
      </c>
      <c r="F21" s="5" t="s">
        <v>2</v>
      </c>
      <c r="G21" s="5" t="s">
        <v>44</v>
      </c>
      <c r="H21" s="5" t="s">
        <v>60</v>
      </c>
      <c r="I21" s="5" t="s">
        <v>4</v>
      </c>
      <c r="J21" s="5" t="s">
        <v>5</v>
      </c>
      <c r="K21" s="5" t="s">
        <v>6</v>
      </c>
      <c r="L21" s="5" t="s">
        <v>7</v>
      </c>
      <c r="M21" s="5" t="s">
        <v>0</v>
      </c>
      <c r="N21" s="5" t="s">
        <v>1</v>
      </c>
      <c r="O21" s="5" t="s">
        <v>2</v>
      </c>
      <c r="P21" s="5" t="s">
        <v>3</v>
      </c>
      <c r="Q21" s="5" t="s">
        <v>4</v>
      </c>
      <c r="R21" s="5" t="s">
        <v>5</v>
      </c>
      <c r="S21" s="5" t="s">
        <v>6</v>
      </c>
      <c r="T21" s="5" t="s">
        <v>7</v>
      </c>
      <c r="U21" s="5" t="s">
        <v>0</v>
      </c>
      <c r="V21" s="5" t="s">
        <v>1</v>
      </c>
      <c r="W21" s="5" t="s">
        <v>2</v>
      </c>
      <c r="X21" s="5" t="s">
        <v>3</v>
      </c>
      <c r="Y21" s="5" t="s">
        <v>4</v>
      </c>
      <c r="Z21" s="5" t="s">
        <v>5</v>
      </c>
      <c r="AA21" s="5" t="s">
        <v>6</v>
      </c>
      <c r="AB21" s="5" t="s">
        <v>7</v>
      </c>
      <c r="AC21" s="5" t="s">
        <v>0</v>
      </c>
      <c r="AD21" s="5" t="s">
        <v>1</v>
      </c>
      <c r="AE21" s="5" t="s">
        <v>2</v>
      </c>
      <c r="AF21" s="5" t="s">
        <v>60</v>
      </c>
      <c r="AG21" s="5" t="s">
        <v>4</v>
      </c>
      <c r="AH21" s="9" t="s">
        <v>5</v>
      </c>
      <c r="AI21" s="2"/>
      <c r="AK21" s="6"/>
      <c r="AL21" s="6"/>
      <c r="AM21" s="6"/>
      <c r="AN21" s="6"/>
      <c r="AO21" s="6"/>
    </row>
    <row r="22" spans="2:41" ht="18.75" x14ac:dyDescent="0.25">
      <c r="B22" s="40" t="s">
        <v>27</v>
      </c>
      <c r="C22" s="40"/>
      <c r="E22" s="5" t="s">
        <v>1</v>
      </c>
      <c r="F22" s="5" t="s">
        <v>70</v>
      </c>
      <c r="G22" s="5" t="s">
        <v>71</v>
      </c>
      <c r="H22" s="5" t="s">
        <v>72</v>
      </c>
      <c r="I22" s="5" t="s">
        <v>5</v>
      </c>
      <c r="J22" s="5" t="s">
        <v>6</v>
      </c>
      <c r="K22" s="5" t="s">
        <v>0</v>
      </c>
      <c r="L22" s="5" t="s">
        <v>1</v>
      </c>
      <c r="M22" s="5" t="s">
        <v>70</v>
      </c>
      <c r="N22" s="5" t="s">
        <v>71</v>
      </c>
      <c r="O22" s="5" t="s">
        <v>72</v>
      </c>
      <c r="P22" s="5" t="s">
        <v>5</v>
      </c>
      <c r="Q22" s="5" t="s">
        <v>6</v>
      </c>
      <c r="R22" s="5" t="s">
        <v>0</v>
      </c>
      <c r="S22" s="5" t="s">
        <v>1</v>
      </c>
      <c r="T22" s="5" t="s">
        <v>70</v>
      </c>
      <c r="U22" s="5" t="s">
        <v>71</v>
      </c>
      <c r="V22" s="5" t="s">
        <v>72</v>
      </c>
      <c r="W22" s="5" t="s">
        <v>5</v>
      </c>
      <c r="X22" s="5" t="s">
        <v>6</v>
      </c>
      <c r="Y22" s="5" t="s">
        <v>0</v>
      </c>
      <c r="Z22" s="5" t="s">
        <v>1</v>
      </c>
      <c r="AA22" s="5" t="s">
        <v>70</v>
      </c>
      <c r="AB22" s="5" t="s">
        <v>71</v>
      </c>
      <c r="AC22" s="5" t="s">
        <v>72</v>
      </c>
      <c r="AD22" s="5" t="s">
        <v>5</v>
      </c>
      <c r="AE22" s="5" t="s">
        <v>6</v>
      </c>
      <c r="AF22" s="5" t="s">
        <v>0</v>
      </c>
      <c r="AG22" s="5" t="s">
        <v>1</v>
      </c>
      <c r="AH22" s="9" t="s">
        <v>70</v>
      </c>
      <c r="AI22" s="2"/>
      <c r="AK22" s="6">
        <f t="shared" si="0"/>
        <v>0</v>
      </c>
      <c r="AL22" s="6">
        <f t="shared" si="1"/>
        <v>22</v>
      </c>
      <c r="AM22" s="6">
        <f t="shared" si="2"/>
        <v>0</v>
      </c>
      <c r="AN22" s="6">
        <f t="shared" si="3"/>
        <v>0</v>
      </c>
      <c r="AO22" s="6">
        <f t="shared" si="4"/>
        <v>8</v>
      </c>
    </row>
    <row r="23" spans="2:41" x14ac:dyDescent="0.25">
      <c r="E23" s="3" t="s">
        <v>45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2:41" ht="18.75" x14ac:dyDescent="0.3">
      <c r="B24" s="49" t="s">
        <v>41</v>
      </c>
      <c r="C24" s="49"/>
      <c r="D24" s="20"/>
      <c r="E24" s="21">
        <f t="shared" ref="E24:AH24" si="5">COUNTIF(E$5:E$22,"M*")</f>
        <v>3</v>
      </c>
      <c r="F24" s="21">
        <f t="shared" si="5"/>
        <v>3</v>
      </c>
      <c r="G24" s="21">
        <f t="shared" si="5"/>
        <v>4</v>
      </c>
      <c r="H24" s="21">
        <f t="shared" si="5"/>
        <v>4</v>
      </c>
      <c r="I24" s="21">
        <f t="shared" si="5"/>
        <v>3</v>
      </c>
      <c r="J24" s="21">
        <f t="shared" si="5"/>
        <v>3</v>
      </c>
      <c r="K24" s="21">
        <f t="shared" si="5"/>
        <v>3</v>
      </c>
      <c r="L24" s="21">
        <f t="shared" si="5"/>
        <v>3</v>
      </c>
      <c r="M24" s="21">
        <f t="shared" si="5"/>
        <v>4</v>
      </c>
      <c r="N24" s="21">
        <f t="shared" si="5"/>
        <v>4</v>
      </c>
      <c r="O24" s="21">
        <f t="shared" si="5"/>
        <v>3</v>
      </c>
      <c r="P24" s="21">
        <f t="shared" si="5"/>
        <v>3</v>
      </c>
      <c r="Q24" s="21">
        <f t="shared" si="5"/>
        <v>3</v>
      </c>
      <c r="R24" s="21">
        <f t="shared" si="5"/>
        <v>3</v>
      </c>
      <c r="S24" s="21">
        <f t="shared" si="5"/>
        <v>3</v>
      </c>
      <c r="T24" s="21">
        <f t="shared" si="5"/>
        <v>3</v>
      </c>
      <c r="U24" s="21">
        <f t="shared" si="5"/>
        <v>4</v>
      </c>
      <c r="V24" s="21">
        <f t="shared" si="5"/>
        <v>4</v>
      </c>
      <c r="W24" s="21">
        <f t="shared" si="5"/>
        <v>4</v>
      </c>
      <c r="X24" s="21">
        <f t="shared" si="5"/>
        <v>3</v>
      </c>
      <c r="Y24" s="21">
        <f t="shared" si="5"/>
        <v>3</v>
      </c>
      <c r="Z24" s="21">
        <f t="shared" si="5"/>
        <v>3</v>
      </c>
      <c r="AA24" s="21">
        <f t="shared" si="5"/>
        <v>3</v>
      </c>
      <c r="AB24" s="21">
        <f t="shared" si="5"/>
        <v>4</v>
      </c>
      <c r="AC24" s="21">
        <f t="shared" si="5"/>
        <v>4</v>
      </c>
      <c r="AD24" s="21">
        <f t="shared" si="5"/>
        <v>3</v>
      </c>
      <c r="AE24" s="21">
        <f t="shared" si="5"/>
        <v>3</v>
      </c>
      <c r="AF24" s="21">
        <f t="shared" si="5"/>
        <v>3</v>
      </c>
      <c r="AG24" s="21">
        <f t="shared" si="5"/>
        <v>3</v>
      </c>
      <c r="AH24" s="21">
        <f t="shared" si="5"/>
        <v>3</v>
      </c>
      <c r="AI24" s="21" t="s">
        <v>45</v>
      </c>
    </row>
    <row r="25" spans="2:41" ht="18.75" x14ac:dyDescent="0.3">
      <c r="B25" s="49" t="s">
        <v>42</v>
      </c>
      <c r="C25" s="49"/>
      <c r="D25" s="20"/>
      <c r="E25" s="21">
        <f t="shared" ref="E25:AH25" si="6">COUNTIF(E$5:E$22,"A*")</f>
        <v>3</v>
      </c>
      <c r="F25" s="21">
        <f t="shared" si="6"/>
        <v>3</v>
      </c>
      <c r="G25" s="21">
        <f t="shared" si="6"/>
        <v>2</v>
      </c>
      <c r="H25" s="21">
        <f t="shared" si="6"/>
        <v>2</v>
      </c>
      <c r="I25" s="21">
        <f t="shared" si="6"/>
        <v>3</v>
      </c>
      <c r="J25" s="21">
        <f t="shared" si="6"/>
        <v>3</v>
      </c>
      <c r="K25" s="21">
        <f t="shared" si="6"/>
        <v>3</v>
      </c>
      <c r="L25" s="21">
        <f t="shared" si="6"/>
        <v>3</v>
      </c>
      <c r="M25" s="21">
        <f t="shared" si="6"/>
        <v>2</v>
      </c>
      <c r="N25" s="21">
        <f t="shared" si="6"/>
        <v>2</v>
      </c>
      <c r="O25" s="21">
        <f t="shared" si="6"/>
        <v>3</v>
      </c>
      <c r="P25" s="21">
        <f t="shared" si="6"/>
        <v>3</v>
      </c>
      <c r="Q25" s="21">
        <f t="shared" si="6"/>
        <v>3</v>
      </c>
      <c r="R25" s="21">
        <f t="shared" si="6"/>
        <v>3</v>
      </c>
      <c r="S25" s="21">
        <f t="shared" si="6"/>
        <v>3</v>
      </c>
      <c r="T25" s="21">
        <f t="shared" si="6"/>
        <v>3</v>
      </c>
      <c r="U25" s="21">
        <f t="shared" si="6"/>
        <v>2</v>
      </c>
      <c r="V25" s="21">
        <f t="shared" si="6"/>
        <v>3</v>
      </c>
      <c r="W25" s="21">
        <f t="shared" si="6"/>
        <v>3</v>
      </c>
      <c r="X25" s="21">
        <f t="shared" si="6"/>
        <v>3</v>
      </c>
      <c r="Y25" s="21">
        <f t="shared" si="6"/>
        <v>3</v>
      </c>
      <c r="Z25" s="21">
        <f t="shared" si="6"/>
        <v>3</v>
      </c>
      <c r="AA25" s="21">
        <f t="shared" si="6"/>
        <v>3</v>
      </c>
      <c r="AB25" s="21">
        <f t="shared" si="6"/>
        <v>2</v>
      </c>
      <c r="AC25" s="21">
        <f t="shared" si="6"/>
        <v>3</v>
      </c>
      <c r="AD25" s="21">
        <f t="shared" si="6"/>
        <v>3</v>
      </c>
      <c r="AE25" s="21">
        <f t="shared" si="6"/>
        <v>3</v>
      </c>
      <c r="AF25" s="21">
        <f t="shared" si="6"/>
        <v>3</v>
      </c>
      <c r="AG25" s="21">
        <f t="shared" si="6"/>
        <v>3</v>
      </c>
      <c r="AH25" s="21">
        <f t="shared" si="6"/>
        <v>3</v>
      </c>
      <c r="AI25" s="21" t="s">
        <v>45</v>
      </c>
    </row>
    <row r="26" spans="2:41" ht="18.75" x14ac:dyDescent="0.3">
      <c r="B26" s="49" t="s">
        <v>8</v>
      </c>
      <c r="C26" s="49"/>
      <c r="D26" s="20"/>
      <c r="E26" s="21">
        <f t="shared" ref="E26:AH26" si="7">COUNTIF(E$5:E$22,"N*")</f>
        <v>3</v>
      </c>
      <c r="F26" s="21">
        <f t="shared" si="7"/>
        <v>3</v>
      </c>
      <c r="G26" s="21">
        <f t="shared" si="7"/>
        <v>3</v>
      </c>
      <c r="H26" s="21">
        <f t="shared" si="7"/>
        <v>3</v>
      </c>
      <c r="I26" s="21">
        <f t="shared" si="7"/>
        <v>3</v>
      </c>
      <c r="J26" s="21">
        <f t="shared" si="7"/>
        <v>3</v>
      </c>
      <c r="K26" s="21">
        <f t="shared" si="7"/>
        <v>3</v>
      </c>
      <c r="L26" s="21">
        <f t="shared" si="7"/>
        <v>3</v>
      </c>
      <c r="M26" s="21">
        <f t="shared" si="7"/>
        <v>3</v>
      </c>
      <c r="N26" s="21">
        <f t="shared" si="7"/>
        <v>3</v>
      </c>
      <c r="O26" s="21">
        <f t="shared" si="7"/>
        <v>3</v>
      </c>
      <c r="P26" s="21">
        <f t="shared" si="7"/>
        <v>3</v>
      </c>
      <c r="Q26" s="21">
        <f t="shared" si="7"/>
        <v>3</v>
      </c>
      <c r="R26" s="21">
        <f t="shared" si="7"/>
        <v>3</v>
      </c>
      <c r="S26" s="21">
        <f t="shared" si="7"/>
        <v>3</v>
      </c>
      <c r="T26" s="21">
        <f t="shared" si="7"/>
        <v>3</v>
      </c>
      <c r="U26" s="21">
        <f t="shared" si="7"/>
        <v>3</v>
      </c>
      <c r="V26" s="21">
        <f t="shared" si="7"/>
        <v>2</v>
      </c>
      <c r="W26" s="21">
        <f t="shared" si="7"/>
        <v>2</v>
      </c>
      <c r="X26" s="21">
        <f t="shared" si="7"/>
        <v>3</v>
      </c>
      <c r="Y26" s="21">
        <f t="shared" si="7"/>
        <v>3</v>
      </c>
      <c r="Z26" s="21">
        <f t="shared" si="7"/>
        <v>3</v>
      </c>
      <c r="AA26" s="21">
        <f t="shared" si="7"/>
        <v>3</v>
      </c>
      <c r="AB26" s="21">
        <f t="shared" si="7"/>
        <v>3</v>
      </c>
      <c r="AC26" s="21">
        <f t="shared" si="7"/>
        <v>2</v>
      </c>
      <c r="AD26" s="21">
        <f t="shared" si="7"/>
        <v>3</v>
      </c>
      <c r="AE26" s="21">
        <f t="shared" si="7"/>
        <v>3</v>
      </c>
      <c r="AF26" s="21">
        <f t="shared" si="7"/>
        <v>3</v>
      </c>
      <c r="AG26" s="21">
        <f t="shared" si="7"/>
        <v>3</v>
      </c>
      <c r="AH26" s="21">
        <f t="shared" si="7"/>
        <v>3</v>
      </c>
      <c r="AI26" s="21" t="s">
        <v>45</v>
      </c>
    </row>
    <row r="27" spans="2:41" ht="18.75" x14ac:dyDescent="0.3">
      <c r="B27" s="49" t="s">
        <v>9</v>
      </c>
      <c r="C27" s="49"/>
      <c r="D27" s="20"/>
      <c r="E27" s="21">
        <f t="shared" ref="E27:AH27" si="8">COUNTIF(E$5:E$22,"O*")</f>
        <v>6</v>
      </c>
      <c r="F27" s="21">
        <f t="shared" si="8"/>
        <v>6</v>
      </c>
      <c r="G27" s="21">
        <f t="shared" si="8"/>
        <v>6</v>
      </c>
      <c r="H27" s="21">
        <f t="shared" si="8"/>
        <v>6</v>
      </c>
      <c r="I27" s="21">
        <f t="shared" si="8"/>
        <v>7</v>
      </c>
      <c r="J27" s="21">
        <f t="shared" si="8"/>
        <v>8</v>
      </c>
      <c r="K27" s="21">
        <f t="shared" si="8"/>
        <v>7</v>
      </c>
      <c r="L27" s="21">
        <f t="shared" si="8"/>
        <v>7</v>
      </c>
      <c r="M27" s="21">
        <f t="shared" si="8"/>
        <v>6</v>
      </c>
      <c r="N27" s="21">
        <f t="shared" si="8"/>
        <v>6</v>
      </c>
      <c r="O27" s="21">
        <f t="shared" si="8"/>
        <v>6</v>
      </c>
      <c r="P27" s="21">
        <f t="shared" si="8"/>
        <v>7</v>
      </c>
      <c r="Q27" s="21">
        <f t="shared" si="8"/>
        <v>7</v>
      </c>
      <c r="R27" s="21">
        <f t="shared" si="8"/>
        <v>7</v>
      </c>
      <c r="S27" s="21">
        <f t="shared" si="8"/>
        <v>7</v>
      </c>
      <c r="T27" s="21">
        <f t="shared" si="8"/>
        <v>7</v>
      </c>
      <c r="U27" s="21">
        <f t="shared" si="8"/>
        <v>6</v>
      </c>
      <c r="V27" s="21">
        <f t="shared" si="8"/>
        <v>6</v>
      </c>
      <c r="W27" s="21">
        <f t="shared" si="8"/>
        <v>7</v>
      </c>
      <c r="X27" s="21">
        <f t="shared" si="8"/>
        <v>7</v>
      </c>
      <c r="Y27" s="21">
        <f t="shared" si="8"/>
        <v>6</v>
      </c>
      <c r="Z27" s="21">
        <f t="shared" si="8"/>
        <v>7</v>
      </c>
      <c r="AA27" s="21">
        <f t="shared" si="8"/>
        <v>7</v>
      </c>
      <c r="AB27" s="21">
        <f t="shared" si="8"/>
        <v>7</v>
      </c>
      <c r="AC27" s="21">
        <f t="shared" si="8"/>
        <v>6</v>
      </c>
      <c r="AD27" s="21">
        <f t="shared" si="8"/>
        <v>7</v>
      </c>
      <c r="AE27" s="21">
        <f t="shared" si="8"/>
        <v>7</v>
      </c>
      <c r="AF27" s="21">
        <f t="shared" si="8"/>
        <v>6</v>
      </c>
      <c r="AG27" s="21">
        <f t="shared" si="8"/>
        <v>6</v>
      </c>
      <c r="AH27" s="21">
        <f t="shared" si="8"/>
        <v>7</v>
      </c>
      <c r="AI27" s="21" t="s">
        <v>45</v>
      </c>
    </row>
    <row r="28" spans="2:41" ht="18.75" x14ac:dyDescent="0.3">
      <c r="B28" s="45" t="s">
        <v>57</v>
      </c>
      <c r="C28" s="46"/>
      <c r="D28" s="20"/>
      <c r="E28" s="21">
        <f t="shared" ref="E28:AH28" si="9">COUNTIF(E$5:E$22,"ST*")</f>
        <v>3</v>
      </c>
      <c r="F28" s="21">
        <f t="shared" si="9"/>
        <v>3</v>
      </c>
      <c r="G28" s="21">
        <f t="shared" si="9"/>
        <v>3</v>
      </c>
      <c r="H28" s="21">
        <f t="shared" si="9"/>
        <v>3</v>
      </c>
      <c r="I28" s="21">
        <f t="shared" si="9"/>
        <v>2</v>
      </c>
      <c r="J28" s="21">
        <f t="shared" si="9"/>
        <v>1</v>
      </c>
      <c r="K28" s="21">
        <f t="shared" si="9"/>
        <v>2</v>
      </c>
      <c r="L28" s="21">
        <f t="shared" si="9"/>
        <v>2</v>
      </c>
      <c r="M28" s="21">
        <f t="shared" si="9"/>
        <v>3</v>
      </c>
      <c r="N28" s="21">
        <f t="shared" si="9"/>
        <v>3</v>
      </c>
      <c r="O28" s="21">
        <f t="shared" si="9"/>
        <v>3</v>
      </c>
      <c r="P28" s="21">
        <f t="shared" si="9"/>
        <v>2</v>
      </c>
      <c r="Q28" s="21">
        <f t="shared" si="9"/>
        <v>2</v>
      </c>
      <c r="R28" s="21">
        <f t="shared" si="9"/>
        <v>2</v>
      </c>
      <c r="S28" s="21">
        <f t="shared" si="9"/>
        <v>2</v>
      </c>
      <c r="T28" s="21">
        <f t="shared" si="9"/>
        <v>2</v>
      </c>
      <c r="U28" s="21">
        <f t="shared" si="9"/>
        <v>3</v>
      </c>
      <c r="V28" s="21">
        <f t="shared" si="9"/>
        <v>3</v>
      </c>
      <c r="W28" s="21">
        <f t="shared" si="9"/>
        <v>2</v>
      </c>
      <c r="X28" s="21">
        <f t="shared" si="9"/>
        <v>2</v>
      </c>
      <c r="Y28" s="21">
        <f t="shared" si="9"/>
        <v>3</v>
      </c>
      <c r="Z28" s="21">
        <f t="shared" si="9"/>
        <v>2</v>
      </c>
      <c r="AA28" s="21">
        <f t="shared" si="9"/>
        <v>2</v>
      </c>
      <c r="AB28" s="21">
        <f t="shared" si="9"/>
        <v>2</v>
      </c>
      <c r="AC28" s="21">
        <f t="shared" si="9"/>
        <v>3</v>
      </c>
      <c r="AD28" s="21">
        <f t="shared" si="9"/>
        <v>2</v>
      </c>
      <c r="AE28" s="21">
        <f t="shared" si="9"/>
        <v>2</v>
      </c>
      <c r="AF28" s="21">
        <f t="shared" si="9"/>
        <v>3</v>
      </c>
      <c r="AG28" s="21">
        <f t="shared" si="9"/>
        <v>3</v>
      </c>
      <c r="AH28" s="21">
        <f t="shared" si="9"/>
        <v>2</v>
      </c>
      <c r="AI28" s="21" t="s">
        <v>45</v>
      </c>
    </row>
    <row r="29" spans="2:41" ht="18.75" x14ac:dyDescent="0.3">
      <c r="B29" s="50" t="s">
        <v>55</v>
      </c>
      <c r="C29" s="50"/>
      <c r="D29" s="22"/>
      <c r="E29" s="23">
        <f>E31-E32</f>
        <v>0</v>
      </c>
      <c r="F29" s="23">
        <f t="shared" ref="F29:AH29" si="10">F31-F32</f>
        <v>0</v>
      </c>
      <c r="G29" s="23">
        <f t="shared" si="10"/>
        <v>0</v>
      </c>
      <c r="H29" s="23">
        <f t="shared" si="10"/>
        <v>0</v>
      </c>
      <c r="I29" s="23">
        <f t="shared" si="10"/>
        <v>0</v>
      </c>
      <c r="J29" s="23">
        <f t="shared" si="10"/>
        <v>0</v>
      </c>
      <c r="K29" s="23">
        <f t="shared" si="10"/>
        <v>0</v>
      </c>
      <c r="L29" s="23">
        <f t="shared" si="10"/>
        <v>0</v>
      </c>
      <c r="M29" s="23">
        <f t="shared" si="10"/>
        <v>0</v>
      </c>
      <c r="N29" s="23">
        <f t="shared" si="10"/>
        <v>0</v>
      </c>
      <c r="O29" s="23">
        <f t="shared" si="10"/>
        <v>0</v>
      </c>
      <c r="P29" s="23">
        <f t="shared" si="10"/>
        <v>0</v>
      </c>
      <c r="Q29" s="23">
        <f t="shared" si="10"/>
        <v>0</v>
      </c>
      <c r="R29" s="23">
        <f t="shared" si="10"/>
        <v>0</v>
      </c>
      <c r="S29" s="23">
        <f t="shared" si="10"/>
        <v>0</v>
      </c>
      <c r="T29" s="23">
        <f t="shared" si="10"/>
        <v>0</v>
      </c>
      <c r="U29" s="23">
        <f t="shared" si="10"/>
        <v>0</v>
      </c>
      <c r="V29" s="23">
        <f t="shared" si="10"/>
        <v>0</v>
      </c>
      <c r="W29" s="23">
        <f t="shared" si="10"/>
        <v>0</v>
      </c>
      <c r="X29" s="23">
        <f t="shared" si="10"/>
        <v>0</v>
      </c>
      <c r="Y29" s="23">
        <f t="shared" si="10"/>
        <v>0</v>
      </c>
      <c r="Z29" s="23">
        <f t="shared" si="10"/>
        <v>0</v>
      </c>
      <c r="AA29" s="23">
        <f t="shared" si="10"/>
        <v>0</v>
      </c>
      <c r="AB29" s="23">
        <f t="shared" si="10"/>
        <v>0</v>
      </c>
      <c r="AC29" s="23">
        <f t="shared" si="10"/>
        <v>0</v>
      </c>
      <c r="AD29" s="23">
        <f t="shared" si="10"/>
        <v>0</v>
      </c>
      <c r="AE29" s="23">
        <f t="shared" si="10"/>
        <v>0</v>
      </c>
      <c r="AF29" s="23">
        <f t="shared" si="10"/>
        <v>0</v>
      </c>
      <c r="AG29" s="23">
        <f t="shared" si="10"/>
        <v>0</v>
      </c>
      <c r="AH29" s="23">
        <f t="shared" si="10"/>
        <v>0</v>
      </c>
      <c r="AI29" s="23" t="s">
        <v>45</v>
      </c>
    </row>
    <row r="30" spans="2:41" ht="9.75" customHeight="1" x14ac:dyDescent="0.3">
      <c r="B30" s="24"/>
      <c r="C30" s="24"/>
      <c r="D30" s="20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</row>
    <row r="31" spans="2:41" ht="18.75" x14ac:dyDescent="0.3">
      <c r="B31" s="49" t="s">
        <v>53</v>
      </c>
      <c r="C31" s="49"/>
      <c r="D31" s="20"/>
      <c r="E31" s="25">
        <f>SUM(E24:E26)</f>
        <v>9</v>
      </c>
      <c r="F31" s="25">
        <f t="shared" ref="F31:AH31" si="11">SUM(F24:F26)</f>
        <v>9</v>
      </c>
      <c r="G31" s="25">
        <f t="shared" si="11"/>
        <v>9</v>
      </c>
      <c r="H31" s="25">
        <f t="shared" si="11"/>
        <v>9</v>
      </c>
      <c r="I31" s="25">
        <f t="shared" si="11"/>
        <v>9</v>
      </c>
      <c r="J31" s="25">
        <f t="shared" si="11"/>
        <v>9</v>
      </c>
      <c r="K31" s="25">
        <f t="shared" si="11"/>
        <v>9</v>
      </c>
      <c r="L31" s="25">
        <f t="shared" si="11"/>
        <v>9</v>
      </c>
      <c r="M31" s="25">
        <f t="shared" si="11"/>
        <v>9</v>
      </c>
      <c r="N31" s="25">
        <f t="shared" si="11"/>
        <v>9</v>
      </c>
      <c r="O31" s="25">
        <f t="shared" si="11"/>
        <v>9</v>
      </c>
      <c r="P31" s="25">
        <f t="shared" si="11"/>
        <v>9</v>
      </c>
      <c r="Q31" s="25">
        <f t="shared" si="11"/>
        <v>9</v>
      </c>
      <c r="R31" s="25">
        <f t="shared" si="11"/>
        <v>9</v>
      </c>
      <c r="S31" s="25">
        <f t="shared" si="11"/>
        <v>9</v>
      </c>
      <c r="T31" s="25">
        <f t="shared" si="11"/>
        <v>9</v>
      </c>
      <c r="U31" s="25">
        <f t="shared" si="11"/>
        <v>9</v>
      </c>
      <c r="V31" s="25">
        <f t="shared" si="11"/>
        <v>9</v>
      </c>
      <c r="W31" s="25">
        <f t="shared" si="11"/>
        <v>9</v>
      </c>
      <c r="X31" s="25">
        <f t="shared" si="11"/>
        <v>9</v>
      </c>
      <c r="Y31" s="25">
        <f t="shared" si="11"/>
        <v>9</v>
      </c>
      <c r="Z31" s="25">
        <f t="shared" si="11"/>
        <v>9</v>
      </c>
      <c r="AA31" s="25">
        <f t="shared" si="11"/>
        <v>9</v>
      </c>
      <c r="AB31" s="25">
        <f t="shared" si="11"/>
        <v>9</v>
      </c>
      <c r="AC31" s="25">
        <f t="shared" si="11"/>
        <v>9</v>
      </c>
      <c r="AD31" s="25">
        <f t="shared" si="11"/>
        <v>9</v>
      </c>
      <c r="AE31" s="25">
        <f t="shared" si="11"/>
        <v>9</v>
      </c>
      <c r="AF31" s="25">
        <f t="shared" si="11"/>
        <v>9</v>
      </c>
      <c r="AG31" s="25">
        <f t="shared" si="11"/>
        <v>9</v>
      </c>
      <c r="AH31" s="25">
        <f t="shared" si="11"/>
        <v>9</v>
      </c>
      <c r="AI31" s="25" t="s">
        <v>45</v>
      </c>
    </row>
    <row r="32" spans="2:41" ht="18" customHeight="1" x14ac:dyDescent="0.3">
      <c r="B32" s="49" t="s">
        <v>40</v>
      </c>
      <c r="C32" s="49"/>
      <c r="D32" s="20"/>
      <c r="E32" s="21">
        <v>9</v>
      </c>
      <c r="F32" s="21">
        <v>9</v>
      </c>
      <c r="G32" s="21">
        <v>9</v>
      </c>
      <c r="H32" s="21">
        <v>9</v>
      </c>
      <c r="I32" s="21">
        <v>9</v>
      </c>
      <c r="J32" s="21">
        <v>9</v>
      </c>
      <c r="K32" s="21">
        <v>9</v>
      </c>
      <c r="L32" s="21">
        <v>9</v>
      </c>
      <c r="M32" s="21">
        <v>9</v>
      </c>
      <c r="N32" s="21">
        <v>9</v>
      </c>
      <c r="O32" s="21">
        <v>9</v>
      </c>
      <c r="P32" s="21">
        <v>9</v>
      </c>
      <c r="Q32" s="21">
        <v>9</v>
      </c>
      <c r="R32" s="21">
        <v>9</v>
      </c>
      <c r="S32" s="21">
        <v>9</v>
      </c>
      <c r="T32" s="21">
        <v>9</v>
      </c>
      <c r="U32" s="21">
        <v>9</v>
      </c>
      <c r="V32" s="21">
        <v>9</v>
      </c>
      <c r="W32" s="21">
        <v>9</v>
      </c>
      <c r="X32" s="21">
        <v>9</v>
      </c>
      <c r="Y32" s="21">
        <v>9</v>
      </c>
      <c r="Z32" s="21">
        <v>9</v>
      </c>
      <c r="AA32" s="21">
        <v>9</v>
      </c>
      <c r="AB32" s="21">
        <v>9</v>
      </c>
      <c r="AC32" s="21">
        <v>9</v>
      </c>
      <c r="AD32" s="21">
        <v>9</v>
      </c>
      <c r="AE32" s="21">
        <v>9</v>
      </c>
      <c r="AF32" s="21">
        <v>9</v>
      </c>
      <c r="AG32" s="21">
        <v>9</v>
      </c>
      <c r="AH32" s="21">
        <v>9</v>
      </c>
      <c r="AI32" s="21" t="s">
        <v>45</v>
      </c>
    </row>
    <row r="33" spans="2:35" ht="18.75" x14ac:dyDescent="0.3">
      <c r="B33" s="49" t="s">
        <v>54</v>
      </c>
      <c r="C33" s="49"/>
      <c r="D33" s="20"/>
      <c r="E33" s="21">
        <f>SUM(E24,E25,E26,E27,E28)</f>
        <v>18</v>
      </c>
      <c r="F33" s="21">
        <f t="shared" ref="F33:AH33" si="12">SUM(F24,F25,F26,F27,F28)</f>
        <v>18</v>
      </c>
      <c r="G33" s="21">
        <f t="shared" si="12"/>
        <v>18</v>
      </c>
      <c r="H33" s="21">
        <f t="shared" si="12"/>
        <v>18</v>
      </c>
      <c r="I33" s="21">
        <f t="shared" si="12"/>
        <v>18</v>
      </c>
      <c r="J33" s="21">
        <f t="shared" si="12"/>
        <v>18</v>
      </c>
      <c r="K33" s="21">
        <f t="shared" si="12"/>
        <v>18</v>
      </c>
      <c r="L33" s="21">
        <f t="shared" si="12"/>
        <v>18</v>
      </c>
      <c r="M33" s="21">
        <f t="shared" si="12"/>
        <v>18</v>
      </c>
      <c r="N33" s="21">
        <f t="shared" si="12"/>
        <v>18</v>
      </c>
      <c r="O33" s="21">
        <f t="shared" si="12"/>
        <v>18</v>
      </c>
      <c r="P33" s="21">
        <f t="shared" si="12"/>
        <v>18</v>
      </c>
      <c r="Q33" s="21">
        <f t="shared" si="12"/>
        <v>18</v>
      </c>
      <c r="R33" s="21">
        <f t="shared" si="12"/>
        <v>18</v>
      </c>
      <c r="S33" s="21">
        <f t="shared" si="12"/>
        <v>18</v>
      </c>
      <c r="T33" s="21">
        <f t="shared" si="12"/>
        <v>18</v>
      </c>
      <c r="U33" s="21">
        <f t="shared" si="12"/>
        <v>18</v>
      </c>
      <c r="V33" s="21">
        <f t="shared" si="12"/>
        <v>18</v>
      </c>
      <c r="W33" s="21">
        <f t="shared" si="12"/>
        <v>18</v>
      </c>
      <c r="X33" s="21">
        <f t="shared" si="12"/>
        <v>18</v>
      </c>
      <c r="Y33" s="21">
        <f t="shared" si="12"/>
        <v>18</v>
      </c>
      <c r="Z33" s="21">
        <f t="shared" si="12"/>
        <v>18</v>
      </c>
      <c r="AA33" s="21">
        <f t="shared" si="12"/>
        <v>18</v>
      </c>
      <c r="AB33" s="21">
        <f t="shared" si="12"/>
        <v>18</v>
      </c>
      <c r="AC33" s="21">
        <f t="shared" si="12"/>
        <v>18</v>
      </c>
      <c r="AD33" s="21">
        <f t="shared" si="12"/>
        <v>18</v>
      </c>
      <c r="AE33" s="21">
        <f t="shared" si="12"/>
        <v>18</v>
      </c>
      <c r="AF33" s="21">
        <f t="shared" si="12"/>
        <v>18</v>
      </c>
      <c r="AG33" s="21">
        <f t="shared" si="12"/>
        <v>18</v>
      </c>
      <c r="AH33" s="21">
        <f t="shared" si="12"/>
        <v>18</v>
      </c>
      <c r="AI33" s="21" t="s">
        <v>45</v>
      </c>
    </row>
  </sheetData>
  <mergeCells count="35">
    <mergeCell ref="AO2:AO4"/>
    <mergeCell ref="E2:AI2"/>
    <mergeCell ref="AK2:AK4"/>
    <mergeCell ref="AL2:AL4"/>
    <mergeCell ref="AM2:AM4"/>
    <mergeCell ref="AN2:AN4"/>
    <mergeCell ref="B15:C15"/>
    <mergeCell ref="B3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8:C28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9:C29"/>
    <mergeCell ref="E30:AI30"/>
    <mergeCell ref="B31:C31"/>
    <mergeCell ref="B32:C32"/>
    <mergeCell ref="B33:C33"/>
  </mergeCells>
  <conditionalFormatting sqref="E6:AH18 F5:AH5 E22:AH22">
    <cfRule type="containsText" dxfId="990" priority="39" operator="containsText" text="STM1">
      <formula>NOT(ISERROR(SEARCH("STM1",E5)))</formula>
    </cfRule>
    <cfRule type="containsText" dxfId="989" priority="40" operator="containsText" text="STA">
      <formula>NOT(ISERROR(SEARCH("STA",E5)))</formula>
    </cfRule>
    <cfRule type="containsText" dxfId="988" priority="41" operator="containsText" text="STM1">
      <formula>NOT(ISERROR(SEARCH("STM1",E5)))</formula>
    </cfRule>
    <cfRule type="containsText" dxfId="987" priority="42" operator="containsText" text="O">
      <formula>NOT(ISERROR(SEARCH("O",E5)))</formula>
    </cfRule>
    <cfRule type="containsText" dxfId="986" priority="43" operator="containsText" text="N">
      <formula>NOT(ISERROR(SEARCH("N",E5)))</formula>
    </cfRule>
    <cfRule type="containsText" dxfId="985" priority="44" operator="containsText" text="A">
      <formula>NOT(ISERROR(SEARCH("A",E5)))</formula>
    </cfRule>
    <cfRule type="containsText" dxfId="984" priority="45" operator="containsText" text="M">
      <formula>NOT(ISERROR(SEARCH("M",E5)))</formula>
    </cfRule>
  </conditionalFormatting>
  <conditionalFormatting sqref="E5:AH18 E22:AH22">
    <cfRule type="containsText" dxfId="983" priority="31" operator="containsText" text="STN">
      <formula>NOT(ISERROR(SEARCH("STN",E5)))</formula>
    </cfRule>
    <cfRule type="containsText" dxfId="982" priority="32" operator="containsText" text="STN">
      <formula>NOT(ISERROR(SEARCH("STN",E5)))</formula>
    </cfRule>
    <cfRule type="containsText" dxfId="981" priority="33" operator="containsText" text="STM">
      <formula>NOT(ISERROR(SEARCH("STM",E5)))</formula>
    </cfRule>
    <cfRule type="containsText" dxfId="980" priority="34" operator="containsText" text="M">
      <formula>NOT(ISERROR(SEARCH("M",E5)))</formula>
    </cfRule>
    <cfRule type="containsText" dxfId="979" priority="35" operator="containsText" text="STM1">
      <formula>NOT(ISERROR(SEARCH("STM1",E5)))</formula>
    </cfRule>
    <cfRule type="containsText" dxfId="978" priority="36" operator="containsText" text="M">
      <formula>NOT(ISERROR(SEARCH("M",E5)))</formula>
    </cfRule>
    <cfRule type="containsText" dxfId="977" priority="37" operator="containsText" text="STM">
      <formula>NOT(ISERROR(SEARCH("STM",E5)))</formula>
    </cfRule>
    <cfRule type="containsText" dxfId="976" priority="38" operator="containsText" text="STM">
      <formula>NOT(ISERROR(SEARCH("STM",E5)))</formula>
    </cfRule>
  </conditionalFormatting>
  <conditionalFormatting sqref="E19:AH19">
    <cfRule type="containsText" dxfId="975" priority="24" operator="containsText" text="STM1">
      <formula>NOT(ISERROR(SEARCH("STM1",E19)))</formula>
    </cfRule>
    <cfRule type="containsText" dxfId="974" priority="25" operator="containsText" text="STA">
      <formula>NOT(ISERROR(SEARCH("STA",E19)))</formula>
    </cfRule>
    <cfRule type="containsText" dxfId="973" priority="26" operator="containsText" text="STM1">
      <formula>NOT(ISERROR(SEARCH("STM1",E19)))</formula>
    </cfRule>
    <cfRule type="containsText" dxfId="972" priority="27" operator="containsText" text="O">
      <formula>NOT(ISERROR(SEARCH("O",E19)))</formula>
    </cfRule>
    <cfRule type="containsText" dxfId="971" priority="28" operator="containsText" text="N">
      <formula>NOT(ISERROR(SEARCH("N",E19)))</formula>
    </cfRule>
    <cfRule type="containsText" dxfId="970" priority="29" operator="containsText" text="A">
      <formula>NOT(ISERROR(SEARCH("A",E19)))</formula>
    </cfRule>
    <cfRule type="containsText" dxfId="969" priority="30" operator="containsText" text="M">
      <formula>NOT(ISERROR(SEARCH("M",E19)))</formula>
    </cfRule>
  </conditionalFormatting>
  <conditionalFormatting sqref="E19:AH19">
    <cfRule type="containsText" dxfId="968" priority="16" operator="containsText" text="STN">
      <formula>NOT(ISERROR(SEARCH("STN",E19)))</formula>
    </cfRule>
    <cfRule type="containsText" dxfId="967" priority="17" operator="containsText" text="STN">
      <formula>NOT(ISERROR(SEARCH("STN",E19)))</formula>
    </cfRule>
    <cfRule type="containsText" dxfId="966" priority="18" operator="containsText" text="STM">
      <formula>NOT(ISERROR(SEARCH("STM",E19)))</formula>
    </cfRule>
    <cfRule type="containsText" dxfId="965" priority="19" operator="containsText" text="M">
      <formula>NOT(ISERROR(SEARCH("M",E19)))</formula>
    </cfRule>
    <cfRule type="containsText" dxfId="964" priority="20" operator="containsText" text="STM1">
      <formula>NOT(ISERROR(SEARCH("STM1",E19)))</formula>
    </cfRule>
    <cfRule type="containsText" dxfId="963" priority="21" operator="containsText" text="M">
      <formula>NOT(ISERROR(SEARCH("M",E19)))</formula>
    </cfRule>
    <cfRule type="containsText" dxfId="962" priority="22" operator="containsText" text="STM">
      <formula>NOT(ISERROR(SEARCH("STM",E19)))</formula>
    </cfRule>
    <cfRule type="containsText" dxfId="961" priority="23" operator="containsText" text="STM">
      <formula>NOT(ISERROR(SEARCH("STM",E19)))</formula>
    </cfRule>
  </conditionalFormatting>
  <conditionalFormatting sqref="E20:AH21">
    <cfRule type="containsText" dxfId="960" priority="9" operator="containsText" text="STM1">
      <formula>NOT(ISERROR(SEARCH("STM1",E20)))</formula>
    </cfRule>
    <cfRule type="containsText" dxfId="959" priority="10" operator="containsText" text="STA">
      <formula>NOT(ISERROR(SEARCH("STA",E20)))</formula>
    </cfRule>
    <cfRule type="containsText" dxfId="958" priority="11" operator="containsText" text="STM1">
      <formula>NOT(ISERROR(SEARCH("STM1",E20)))</formula>
    </cfRule>
    <cfRule type="containsText" dxfId="957" priority="12" operator="containsText" text="O">
      <formula>NOT(ISERROR(SEARCH("O",E20)))</formula>
    </cfRule>
    <cfRule type="containsText" dxfId="956" priority="13" operator="containsText" text="N">
      <formula>NOT(ISERROR(SEARCH("N",E20)))</formula>
    </cfRule>
    <cfRule type="containsText" dxfId="955" priority="14" operator="containsText" text="A">
      <formula>NOT(ISERROR(SEARCH("A",E20)))</formula>
    </cfRule>
    <cfRule type="containsText" dxfId="954" priority="15" operator="containsText" text="M">
      <formula>NOT(ISERROR(SEARCH("M",E20)))</formula>
    </cfRule>
  </conditionalFormatting>
  <conditionalFormatting sqref="E20:AH21">
    <cfRule type="containsText" dxfId="953" priority="1" operator="containsText" text="STN">
      <formula>NOT(ISERROR(SEARCH("STN",E20)))</formula>
    </cfRule>
    <cfRule type="containsText" dxfId="952" priority="2" operator="containsText" text="STN">
      <formula>NOT(ISERROR(SEARCH("STN",E20)))</formula>
    </cfRule>
    <cfRule type="containsText" dxfId="951" priority="3" operator="containsText" text="STM">
      <formula>NOT(ISERROR(SEARCH("STM",E20)))</formula>
    </cfRule>
    <cfRule type="containsText" dxfId="950" priority="4" operator="containsText" text="M">
      <formula>NOT(ISERROR(SEARCH("M",E20)))</formula>
    </cfRule>
    <cfRule type="containsText" dxfId="949" priority="5" operator="containsText" text="STM1">
      <formula>NOT(ISERROR(SEARCH("STM1",E20)))</formula>
    </cfRule>
    <cfRule type="containsText" dxfId="948" priority="6" operator="containsText" text="M">
      <formula>NOT(ISERROR(SEARCH("M",E20)))</formula>
    </cfRule>
    <cfRule type="containsText" dxfId="947" priority="7" operator="containsText" text="STM">
      <formula>NOT(ISERROR(SEARCH("STM",E20)))</formula>
    </cfRule>
    <cfRule type="containsText" dxfId="946" priority="8" operator="containsText" text="STM">
      <formula>NOT(ISERROR(SEARCH("STM",E20)))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O25"/>
  <sheetViews>
    <sheetView zoomScale="80" zoomScaleNormal="80" workbookViewId="0">
      <selection activeCell="Q33" sqref="Q33"/>
    </sheetView>
  </sheetViews>
  <sheetFormatPr defaultRowHeight="15.75" x14ac:dyDescent="0.25"/>
  <cols>
    <col min="1" max="1" width="3.42578125" style="1" customWidth="1"/>
    <col min="2" max="2" width="12.85546875" style="1" customWidth="1"/>
    <col min="3" max="3" width="15.4257812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39" t="s">
        <v>73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K2" s="36" t="s">
        <v>63</v>
      </c>
      <c r="AL2" s="36" t="s">
        <v>64</v>
      </c>
      <c r="AM2" s="36" t="s">
        <v>67</v>
      </c>
      <c r="AN2" s="36" t="s">
        <v>65</v>
      </c>
      <c r="AO2" s="36" t="s">
        <v>66</v>
      </c>
    </row>
    <row r="3" spans="2:41" ht="39" x14ac:dyDescent="0.3">
      <c r="B3" s="41" t="s">
        <v>56</v>
      </c>
      <c r="C3" s="42"/>
      <c r="E3" s="12" t="s">
        <v>46</v>
      </c>
      <c r="F3" s="13" t="s">
        <v>47</v>
      </c>
      <c r="G3" s="13" t="s">
        <v>48</v>
      </c>
      <c r="H3" s="13" t="s">
        <v>49</v>
      </c>
      <c r="I3" s="13" t="s">
        <v>50</v>
      </c>
      <c r="J3" s="13" t="s">
        <v>51</v>
      </c>
      <c r="K3" s="13" t="s">
        <v>52</v>
      </c>
      <c r="L3" s="13" t="s">
        <v>46</v>
      </c>
      <c r="M3" s="13" t="s">
        <v>47</v>
      </c>
      <c r="N3" s="13" t="s">
        <v>48</v>
      </c>
      <c r="O3" s="13" t="s">
        <v>49</v>
      </c>
      <c r="P3" s="13" t="s">
        <v>50</v>
      </c>
      <c r="Q3" s="13" t="s">
        <v>51</v>
      </c>
      <c r="R3" s="13" t="s">
        <v>52</v>
      </c>
      <c r="S3" s="13" t="s">
        <v>46</v>
      </c>
      <c r="T3" s="13" t="s">
        <v>47</v>
      </c>
      <c r="U3" s="13" t="s">
        <v>48</v>
      </c>
      <c r="V3" s="13" t="s">
        <v>49</v>
      </c>
      <c r="W3" s="13" t="s">
        <v>50</v>
      </c>
      <c r="X3" s="13" t="s">
        <v>51</v>
      </c>
      <c r="Y3" s="13" t="s">
        <v>52</v>
      </c>
      <c r="Z3" s="13" t="s">
        <v>46</v>
      </c>
      <c r="AA3" s="13" t="s">
        <v>47</v>
      </c>
      <c r="AB3" s="13" t="s">
        <v>48</v>
      </c>
      <c r="AC3" s="13" t="s">
        <v>49</v>
      </c>
      <c r="AD3" s="13" t="s">
        <v>50</v>
      </c>
      <c r="AE3" s="13" t="s">
        <v>51</v>
      </c>
      <c r="AF3" s="13" t="s">
        <v>52</v>
      </c>
      <c r="AG3" s="13" t="s">
        <v>46</v>
      </c>
      <c r="AH3" s="14" t="s">
        <v>47</v>
      </c>
      <c r="AI3" s="15"/>
      <c r="AK3" s="37"/>
      <c r="AL3" s="37"/>
      <c r="AM3" s="37"/>
      <c r="AN3" s="37"/>
      <c r="AO3" s="37"/>
    </row>
    <row r="4" spans="2:41" ht="19.5" thickBot="1" x14ac:dyDescent="0.35">
      <c r="B4" s="43"/>
      <c r="C4" s="44"/>
      <c r="E4" s="16">
        <v>1</v>
      </c>
      <c r="F4" s="17">
        <v>2</v>
      </c>
      <c r="G4" s="17">
        <v>3</v>
      </c>
      <c r="H4" s="17">
        <v>4</v>
      </c>
      <c r="I4" s="17">
        <v>5</v>
      </c>
      <c r="J4" s="17">
        <v>6</v>
      </c>
      <c r="K4" s="17">
        <v>7</v>
      </c>
      <c r="L4" s="17">
        <v>8</v>
      </c>
      <c r="M4" s="17">
        <v>9</v>
      </c>
      <c r="N4" s="17">
        <v>10</v>
      </c>
      <c r="O4" s="17">
        <v>11</v>
      </c>
      <c r="P4" s="17">
        <v>12</v>
      </c>
      <c r="Q4" s="17">
        <v>13</v>
      </c>
      <c r="R4" s="17">
        <v>14</v>
      </c>
      <c r="S4" s="17">
        <v>15</v>
      </c>
      <c r="T4" s="17">
        <v>16</v>
      </c>
      <c r="U4" s="17">
        <v>17</v>
      </c>
      <c r="V4" s="17">
        <v>18</v>
      </c>
      <c r="W4" s="17">
        <v>19</v>
      </c>
      <c r="X4" s="17">
        <v>20</v>
      </c>
      <c r="Y4" s="17">
        <v>21</v>
      </c>
      <c r="Z4" s="17">
        <v>22</v>
      </c>
      <c r="AA4" s="17">
        <v>23</v>
      </c>
      <c r="AB4" s="17">
        <v>24</v>
      </c>
      <c r="AC4" s="17">
        <v>25</v>
      </c>
      <c r="AD4" s="17">
        <v>26</v>
      </c>
      <c r="AE4" s="17">
        <v>27</v>
      </c>
      <c r="AF4" s="17">
        <v>28</v>
      </c>
      <c r="AG4" s="17">
        <v>29</v>
      </c>
      <c r="AH4" s="18">
        <v>30</v>
      </c>
      <c r="AI4" s="19"/>
      <c r="AK4" s="38"/>
      <c r="AL4" s="38"/>
      <c r="AM4" s="38"/>
      <c r="AN4" s="38"/>
      <c r="AO4" s="38"/>
    </row>
    <row r="5" spans="2:41" ht="18.75" x14ac:dyDescent="0.25">
      <c r="B5" s="40" t="s">
        <v>10</v>
      </c>
      <c r="C5" s="40"/>
      <c r="E5" s="11" t="s">
        <v>0</v>
      </c>
      <c r="F5" s="7" t="s">
        <v>1</v>
      </c>
      <c r="G5" s="7" t="s">
        <v>2</v>
      </c>
      <c r="H5" s="7" t="s">
        <v>44</v>
      </c>
      <c r="I5" s="7" t="s">
        <v>3</v>
      </c>
      <c r="J5" s="7" t="s">
        <v>5</v>
      </c>
      <c r="K5" s="7" t="s">
        <v>6</v>
      </c>
      <c r="L5" s="7" t="s">
        <v>7</v>
      </c>
      <c r="M5" s="7" t="s">
        <v>0</v>
      </c>
      <c r="N5" s="7" t="s">
        <v>1</v>
      </c>
      <c r="O5" s="7" t="s">
        <v>2</v>
      </c>
      <c r="P5" s="7" t="s">
        <v>44</v>
      </c>
      <c r="Q5" s="7" t="s">
        <v>3</v>
      </c>
      <c r="R5" s="7" t="s">
        <v>5</v>
      </c>
      <c r="S5" s="7" t="s">
        <v>6</v>
      </c>
      <c r="T5" s="7" t="s">
        <v>7</v>
      </c>
      <c r="U5" s="7" t="s">
        <v>0</v>
      </c>
      <c r="V5" s="7" t="s">
        <v>0</v>
      </c>
      <c r="W5" s="7" t="s">
        <v>2</v>
      </c>
      <c r="X5" s="7" t="s">
        <v>44</v>
      </c>
      <c r="Y5" s="7" t="s">
        <v>3</v>
      </c>
      <c r="Z5" s="7" t="s">
        <v>5</v>
      </c>
      <c r="AA5" s="7" t="s">
        <v>6</v>
      </c>
      <c r="AB5" s="7" t="s">
        <v>7</v>
      </c>
      <c r="AC5" s="7" t="s">
        <v>0</v>
      </c>
      <c r="AD5" s="7" t="s">
        <v>1</v>
      </c>
      <c r="AE5" s="7" t="s">
        <v>2</v>
      </c>
      <c r="AF5" s="7" t="s">
        <v>44</v>
      </c>
      <c r="AG5" s="7" t="s">
        <v>3</v>
      </c>
      <c r="AH5" s="8" t="s">
        <v>5</v>
      </c>
      <c r="AI5" s="10"/>
      <c r="AK5" s="6">
        <f>COUNTIF($E5:$AI5,"ST*")</f>
        <v>0</v>
      </c>
      <c r="AL5" s="6">
        <f>COUNTIF($E5:$AI5,"M*")</f>
        <v>8</v>
      </c>
      <c r="AM5" s="6">
        <f>COUNTIF($E5:$AI5,"A*")</f>
        <v>8</v>
      </c>
      <c r="AN5" s="6">
        <f>COUNTIF($E5:$AI5,"N*")</f>
        <v>4</v>
      </c>
      <c r="AO5" s="6">
        <f>COUNTIF($E5:$AI5,"O*")</f>
        <v>10</v>
      </c>
    </row>
    <row r="6" spans="2:41" ht="18.75" x14ac:dyDescent="0.25">
      <c r="B6" s="40" t="s">
        <v>11</v>
      </c>
      <c r="C6" s="40"/>
      <c r="E6" s="5" t="s">
        <v>2</v>
      </c>
      <c r="F6" s="5" t="s">
        <v>44</v>
      </c>
      <c r="G6" s="5" t="s">
        <v>3</v>
      </c>
      <c r="H6" s="5" t="s">
        <v>4</v>
      </c>
      <c r="I6" s="5" t="s">
        <v>5</v>
      </c>
      <c r="J6" s="5" t="s">
        <v>6</v>
      </c>
      <c r="K6" s="5" t="s">
        <v>7</v>
      </c>
      <c r="L6" s="5" t="s">
        <v>0</v>
      </c>
      <c r="M6" s="5" t="s">
        <v>2</v>
      </c>
      <c r="N6" s="5" t="s">
        <v>44</v>
      </c>
      <c r="O6" s="5" t="s">
        <v>3</v>
      </c>
      <c r="P6" s="5" t="s">
        <v>4</v>
      </c>
      <c r="Q6" s="5" t="s">
        <v>5</v>
      </c>
      <c r="R6" s="5" t="s">
        <v>6</v>
      </c>
      <c r="S6" s="5" t="s">
        <v>7</v>
      </c>
      <c r="T6" s="5" t="s">
        <v>0</v>
      </c>
      <c r="U6" s="5" t="s">
        <v>2</v>
      </c>
      <c r="V6" s="5" t="s">
        <v>44</v>
      </c>
      <c r="W6" s="5" t="s">
        <v>3</v>
      </c>
      <c r="X6" s="5" t="s">
        <v>4</v>
      </c>
      <c r="Y6" s="5" t="s">
        <v>5</v>
      </c>
      <c r="Z6" s="5" t="s">
        <v>6</v>
      </c>
      <c r="AA6" s="5" t="s">
        <v>7</v>
      </c>
      <c r="AB6" s="5" t="s">
        <v>0</v>
      </c>
      <c r="AC6" s="5" t="s">
        <v>2</v>
      </c>
      <c r="AD6" s="5" t="s">
        <v>44</v>
      </c>
      <c r="AE6" s="5" t="s">
        <v>3</v>
      </c>
      <c r="AF6" s="5" t="s">
        <v>4</v>
      </c>
      <c r="AG6" s="5" t="s">
        <v>5</v>
      </c>
      <c r="AH6" s="9" t="s">
        <v>6</v>
      </c>
      <c r="AI6" s="2"/>
      <c r="AK6" s="6">
        <f t="shared" ref="AK6:AK14" si="0">COUNTIF($E6:$AI6,"ST*")</f>
        <v>0</v>
      </c>
      <c r="AL6" s="6">
        <f t="shared" ref="AL6:AL14" si="1">COUNTIF($E6:$AI6,"M*")</f>
        <v>3</v>
      </c>
      <c r="AM6" s="6">
        <f t="shared" ref="AM6:AM14" si="2">COUNTIF($E6:$AI6,"A*")</f>
        <v>8</v>
      </c>
      <c r="AN6" s="6">
        <f t="shared" ref="AN6:AN14" si="3">COUNTIF($E6:$AI6,"N*")</f>
        <v>8</v>
      </c>
      <c r="AO6" s="6">
        <f t="shared" ref="AO6:AO14" si="4">COUNTIF($E6:$AI6,"O*")</f>
        <v>11</v>
      </c>
    </row>
    <row r="7" spans="2:41" ht="18.75" x14ac:dyDescent="0.25">
      <c r="B7" s="40" t="s">
        <v>12</v>
      </c>
      <c r="C7" s="40"/>
      <c r="E7" s="5" t="s">
        <v>2</v>
      </c>
      <c r="F7" s="5" t="s">
        <v>3</v>
      </c>
      <c r="G7" s="5" t="s">
        <v>4</v>
      </c>
      <c r="H7" s="5" t="s">
        <v>5</v>
      </c>
      <c r="I7" s="5" t="s">
        <v>6</v>
      </c>
      <c r="J7" s="5" t="s">
        <v>7</v>
      </c>
      <c r="K7" s="5" t="s">
        <v>0</v>
      </c>
      <c r="L7" s="5" t="s">
        <v>1</v>
      </c>
      <c r="M7" s="5" t="s">
        <v>2</v>
      </c>
      <c r="N7" s="5" t="s">
        <v>3</v>
      </c>
      <c r="O7" s="5" t="s">
        <v>4</v>
      </c>
      <c r="P7" s="5" t="s">
        <v>5</v>
      </c>
      <c r="Q7" s="5" t="s">
        <v>6</v>
      </c>
      <c r="R7" s="5" t="s">
        <v>7</v>
      </c>
      <c r="S7" s="5" t="s">
        <v>0</v>
      </c>
      <c r="T7" s="5" t="s">
        <v>1</v>
      </c>
      <c r="U7" s="5" t="s">
        <v>2</v>
      </c>
      <c r="V7" s="5" t="s">
        <v>3</v>
      </c>
      <c r="W7" s="5" t="s">
        <v>4</v>
      </c>
      <c r="X7" s="5" t="s">
        <v>5</v>
      </c>
      <c r="Y7" s="5" t="s">
        <v>6</v>
      </c>
      <c r="Z7" s="5" t="s">
        <v>7</v>
      </c>
      <c r="AA7" s="5" t="s">
        <v>0</v>
      </c>
      <c r="AB7" s="5" t="s">
        <v>1</v>
      </c>
      <c r="AC7" s="5" t="s">
        <v>2</v>
      </c>
      <c r="AD7" s="5" t="s">
        <v>3</v>
      </c>
      <c r="AE7" s="5" t="s">
        <v>4</v>
      </c>
      <c r="AF7" s="5" t="s">
        <v>5</v>
      </c>
      <c r="AG7" s="5" t="s">
        <v>6</v>
      </c>
      <c r="AH7" s="9" t="s">
        <v>7</v>
      </c>
      <c r="AI7" s="2"/>
      <c r="AK7" s="6">
        <f t="shared" si="0"/>
        <v>0</v>
      </c>
      <c r="AL7" s="6">
        <f t="shared" si="1"/>
        <v>6</v>
      </c>
      <c r="AM7" s="6">
        <f t="shared" si="2"/>
        <v>4</v>
      </c>
      <c r="AN7" s="6">
        <f t="shared" si="3"/>
        <v>8</v>
      </c>
      <c r="AO7" s="6">
        <f t="shared" si="4"/>
        <v>12</v>
      </c>
    </row>
    <row r="8" spans="2:41" ht="18.75" x14ac:dyDescent="0.25">
      <c r="B8" s="40" t="s">
        <v>13</v>
      </c>
      <c r="C8" s="40"/>
      <c r="E8" s="5" t="s">
        <v>3</v>
      </c>
      <c r="F8" s="5" t="s">
        <v>4</v>
      </c>
      <c r="G8" s="5" t="s">
        <v>5</v>
      </c>
      <c r="H8" s="5" t="s">
        <v>6</v>
      </c>
      <c r="I8" s="5" t="s">
        <v>7</v>
      </c>
      <c r="J8" s="5" t="s">
        <v>0</v>
      </c>
      <c r="K8" s="5" t="s">
        <v>1</v>
      </c>
      <c r="L8" s="5" t="s">
        <v>2</v>
      </c>
      <c r="M8" s="5" t="s">
        <v>3</v>
      </c>
      <c r="N8" s="5" t="s">
        <v>4</v>
      </c>
      <c r="O8" s="5" t="s">
        <v>5</v>
      </c>
      <c r="P8" s="5" t="s">
        <v>6</v>
      </c>
      <c r="Q8" s="5" t="s">
        <v>7</v>
      </c>
      <c r="R8" s="5" t="s">
        <v>0</v>
      </c>
      <c r="S8" s="5" t="s">
        <v>1</v>
      </c>
      <c r="T8" s="5" t="s">
        <v>2</v>
      </c>
      <c r="U8" s="5" t="s">
        <v>3</v>
      </c>
      <c r="V8" s="5" t="s">
        <v>4</v>
      </c>
      <c r="W8" s="5" t="s">
        <v>5</v>
      </c>
      <c r="X8" s="5" t="s">
        <v>6</v>
      </c>
      <c r="Y8" s="5" t="s">
        <v>7</v>
      </c>
      <c r="Z8" s="5" t="s">
        <v>0</v>
      </c>
      <c r="AA8" s="5" t="s">
        <v>1</v>
      </c>
      <c r="AB8" s="5" t="s">
        <v>2</v>
      </c>
      <c r="AC8" s="5" t="s">
        <v>3</v>
      </c>
      <c r="AD8" s="5" t="s">
        <v>4</v>
      </c>
      <c r="AE8" s="5" t="s">
        <v>5</v>
      </c>
      <c r="AF8" s="5" t="s">
        <v>6</v>
      </c>
      <c r="AG8" s="5" t="s">
        <v>7</v>
      </c>
      <c r="AH8" s="9" t="s">
        <v>0</v>
      </c>
      <c r="AI8" s="2"/>
      <c r="AK8" s="6">
        <f t="shared" si="0"/>
        <v>0</v>
      </c>
      <c r="AL8" s="6">
        <f t="shared" si="1"/>
        <v>7</v>
      </c>
      <c r="AM8" s="6">
        <f t="shared" si="2"/>
        <v>3</v>
      </c>
      <c r="AN8" s="6">
        <f t="shared" si="3"/>
        <v>8</v>
      </c>
      <c r="AO8" s="6">
        <f t="shared" si="4"/>
        <v>12</v>
      </c>
    </row>
    <row r="9" spans="2:41" ht="18.75" x14ac:dyDescent="0.25">
      <c r="B9" s="40" t="s">
        <v>14</v>
      </c>
      <c r="C9" s="40"/>
      <c r="E9" s="5" t="s">
        <v>4</v>
      </c>
      <c r="F9" s="5" t="s">
        <v>5</v>
      </c>
      <c r="G9" s="5" t="s">
        <v>6</v>
      </c>
      <c r="H9" s="5" t="s">
        <v>7</v>
      </c>
      <c r="I9" s="5" t="s">
        <v>0</v>
      </c>
      <c r="J9" s="5" t="s">
        <v>1</v>
      </c>
      <c r="K9" s="5" t="s">
        <v>2</v>
      </c>
      <c r="L9" s="5" t="s">
        <v>44</v>
      </c>
      <c r="M9" s="5" t="s">
        <v>3</v>
      </c>
      <c r="N9" s="5" t="s">
        <v>5</v>
      </c>
      <c r="O9" s="5" t="s">
        <v>6</v>
      </c>
      <c r="P9" s="5" t="s">
        <v>7</v>
      </c>
      <c r="Q9" s="5" t="s">
        <v>0</v>
      </c>
      <c r="R9" s="5" t="s">
        <v>1</v>
      </c>
      <c r="S9" s="5" t="s">
        <v>2</v>
      </c>
      <c r="T9" s="5" t="s">
        <v>44</v>
      </c>
      <c r="U9" s="5" t="s">
        <v>3</v>
      </c>
      <c r="V9" s="5" t="s">
        <v>5</v>
      </c>
      <c r="W9" s="5" t="s">
        <v>6</v>
      </c>
      <c r="X9" s="5" t="s">
        <v>7</v>
      </c>
      <c r="Y9" s="5" t="s">
        <v>58</v>
      </c>
      <c r="Z9" s="5" t="s">
        <v>1</v>
      </c>
      <c r="AA9" s="5" t="s">
        <v>2</v>
      </c>
      <c r="AB9" s="5" t="s">
        <v>44</v>
      </c>
      <c r="AC9" s="5" t="s">
        <v>3</v>
      </c>
      <c r="AD9" s="5" t="s">
        <v>5</v>
      </c>
      <c r="AE9" s="5" t="s">
        <v>6</v>
      </c>
      <c r="AF9" s="5" t="s">
        <v>7</v>
      </c>
      <c r="AG9" s="5" t="s">
        <v>58</v>
      </c>
      <c r="AH9" s="9" t="s">
        <v>1</v>
      </c>
      <c r="AI9" s="2"/>
      <c r="AK9" s="6">
        <f t="shared" si="0"/>
        <v>2</v>
      </c>
      <c r="AL9" s="6">
        <f t="shared" si="1"/>
        <v>6</v>
      </c>
      <c r="AM9" s="6">
        <f t="shared" si="2"/>
        <v>6</v>
      </c>
      <c r="AN9" s="6">
        <f t="shared" si="3"/>
        <v>4</v>
      </c>
      <c r="AO9" s="6">
        <f t="shared" si="4"/>
        <v>12</v>
      </c>
    </row>
    <row r="10" spans="2:41" ht="18.75" x14ac:dyDescent="0.25">
      <c r="B10" s="40" t="s">
        <v>15</v>
      </c>
      <c r="C10" s="40"/>
      <c r="E10" s="5" t="s">
        <v>5</v>
      </c>
      <c r="F10" s="5" t="s">
        <v>6</v>
      </c>
      <c r="G10" s="5" t="s">
        <v>7</v>
      </c>
      <c r="H10" s="5" t="s">
        <v>0</v>
      </c>
      <c r="I10" s="5" t="s">
        <v>62</v>
      </c>
      <c r="J10" s="5" t="s">
        <v>2</v>
      </c>
      <c r="K10" s="5" t="s">
        <v>44</v>
      </c>
      <c r="L10" s="5" t="s">
        <v>3</v>
      </c>
      <c r="M10" s="5" t="s">
        <v>5</v>
      </c>
      <c r="N10" s="5" t="s">
        <v>6</v>
      </c>
      <c r="O10" s="5" t="s">
        <v>7</v>
      </c>
      <c r="P10" s="5" t="s">
        <v>0</v>
      </c>
      <c r="Q10" s="5" t="s">
        <v>1</v>
      </c>
      <c r="R10" s="5" t="s">
        <v>2</v>
      </c>
      <c r="S10" s="5" t="s">
        <v>44</v>
      </c>
      <c r="T10" s="5" t="s">
        <v>3</v>
      </c>
      <c r="U10" s="5" t="s">
        <v>5</v>
      </c>
      <c r="V10" s="5" t="s">
        <v>6</v>
      </c>
      <c r="W10" s="5" t="s">
        <v>7</v>
      </c>
      <c r="X10" s="5" t="s">
        <v>58</v>
      </c>
      <c r="Y10" s="5" t="s">
        <v>1</v>
      </c>
      <c r="Z10" s="5" t="s">
        <v>2</v>
      </c>
      <c r="AA10" s="5" t="s">
        <v>44</v>
      </c>
      <c r="AB10" s="5" t="s">
        <v>3</v>
      </c>
      <c r="AC10" s="5" t="s">
        <v>5</v>
      </c>
      <c r="AD10" s="5" t="s">
        <v>6</v>
      </c>
      <c r="AE10" s="5" t="s">
        <v>7</v>
      </c>
      <c r="AF10" s="5" t="s">
        <v>58</v>
      </c>
      <c r="AG10" s="5" t="s">
        <v>1</v>
      </c>
      <c r="AH10" s="9" t="s">
        <v>2</v>
      </c>
      <c r="AI10" s="2"/>
      <c r="AK10" s="6">
        <f t="shared" si="0"/>
        <v>3</v>
      </c>
      <c r="AL10" s="6">
        <f t="shared" si="1"/>
        <v>5</v>
      </c>
      <c r="AM10" s="6">
        <f t="shared" si="2"/>
        <v>7</v>
      </c>
      <c r="AN10" s="6">
        <f t="shared" si="3"/>
        <v>3</v>
      </c>
      <c r="AO10" s="6">
        <f t="shared" si="4"/>
        <v>12</v>
      </c>
    </row>
    <row r="11" spans="2:41" ht="18.75" x14ac:dyDescent="0.25">
      <c r="B11" s="40" t="s">
        <v>16</v>
      </c>
      <c r="C11" s="40"/>
      <c r="E11" s="5" t="s">
        <v>6</v>
      </c>
      <c r="F11" s="5" t="s">
        <v>7</v>
      </c>
      <c r="G11" s="5" t="s">
        <v>0</v>
      </c>
      <c r="H11" s="5" t="s">
        <v>62</v>
      </c>
      <c r="I11" s="5" t="s">
        <v>2</v>
      </c>
      <c r="J11" s="5" t="s">
        <v>3</v>
      </c>
      <c r="K11" s="5" t="s">
        <v>4</v>
      </c>
      <c r="L11" s="5" t="s">
        <v>5</v>
      </c>
      <c r="M11" s="5" t="s">
        <v>6</v>
      </c>
      <c r="N11" s="5" t="s">
        <v>7</v>
      </c>
      <c r="O11" s="5" t="s">
        <v>0</v>
      </c>
      <c r="P11" s="5" t="s">
        <v>62</v>
      </c>
      <c r="Q11" s="5" t="s">
        <v>2</v>
      </c>
      <c r="R11" s="5" t="s">
        <v>3</v>
      </c>
      <c r="S11" s="5" t="s">
        <v>4</v>
      </c>
      <c r="T11" s="5" t="s">
        <v>5</v>
      </c>
      <c r="U11" s="5" t="s">
        <v>6</v>
      </c>
      <c r="V11" s="5" t="s">
        <v>7</v>
      </c>
      <c r="W11" s="5" t="s">
        <v>0</v>
      </c>
      <c r="X11" s="5" t="s">
        <v>1</v>
      </c>
      <c r="Y11" s="5" t="s">
        <v>2</v>
      </c>
      <c r="Z11" s="5" t="s">
        <v>3</v>
      </c>
      <c r="AA11" s="5" t="s">
        <v>4</v>
      </c>
      <c r="AB11" s="5" t="s">
        <v>5</v>
      </c>
      <c r="AC11" s="5" t="s">
        <v>6</v>
      </c>
      <c r="AD11" s="5" t="s">
        <v>7</v>
      </c>
      <c r="AE11" s="5" t="s">
        <v>0</v>
      </c>
      <c r="AF11" s="5" t="s">
        <v>1</v>
      </c>
      <c r="AG11" s="5" t="s">
        <v>2</v>
      </c>
      <c r="AH11" s="9" t="s">
        <v>3</v>
      </c>
      <c r="AI11" s="2"/>
      <c r="AK11" s="6">
        <f t="shared" si="0"/>
        <v>2</v>
      </c>
      <c r="AL11" s="6">
        <f t="shared" si="1"/>
        <v>6</v>
      </c>
      <c r="AM11" s="6">
        <f t="shared" si="2"/>
        <v>4</v>
      </c>
      <c r="AN11" s="6">
        <f t="shared" si="3"/>
        <v>7</v>
      </c>
      <c r="AO11" s="6">
        <f t="shared" si="4"/>
        <v>11</v>
      </c>
    </row>
    <row r="12" spans="2:41" ht="18.75" x14ac:dyDescent="0.25">
      <c r="B12" s="40" t="s">
        <v>17</v>
      </c>
      <c r="C12" s="40"/>
      <c r="E12" s="5" t="s">
        <v>7</v>
      </c>
      <c r="F12" s="5" t="s">
        <v>0</v>
      </c>
      <c r="G12" s="5" t="s">
        <v>1</v>
      </c>
      <c r="H12" s="5" t="s">
        <v>2</v>
      </c>
      <c r="I12" s="5" t="s">
        <v>44</v>
      </c>
      <c r="J12" s="5" t="s">
        <v>3</v>
      </c>
      <c r="K12" s="5" t="s">
        <v>5</v>
      </c>
      <c r="L12" s="5" t="s">
        <v>6</v>
      </c>
      <c r="M12" s="5" t="s">
        <v>7</v>
      </c>
      <c r="N12" s="5" t="s">
        <v>0</v>
      </c>
      <c r="O12" s="5" t="s">
        <v>1</v>
      </c>
      <c r="P12" s="5" t="s">
        <v>2</v>
      </c>
      <c r="Q12" s="5" t="s">
        <v>44</v>
      </c>
      <c r="R12" s="5" t="s">
        <v>3</v>
      </c>
      <c r="S12" s="5" t="s">
        <v>5</v>
      </c>
      <c r="T12" s="5" t="s">
        <v>6</v>
      </c>
      <c r="U12" s="5" t="s">
        <v>7</v>
      </c>
      <c r="V12" s="5" t="s">
        <v>0</v>
      </c>
      <c r="W12" s="5" t="s">
        <v>1</v>
      </c>
      <c r="X12" s="5" t="s">
        <v>2</v>
      </c>
      <c r="Y12" s="5" t="s">
        <v>44</v>
      </c>
      <c r="Z12" s="5" t="s">
        <v>3</v>
      </c>
      <c r="AA12" s="5" t="s">
        <v>5</v>
      </c>
      <c r="AB12" s="5" t="s">
        <v>6</v>
      </c>
      <c r="AC12" s="5" t="s">
        <v>7</v>
      </c>
      <c r="AD12" s="5" t="s">
        <v>0</v>
      </c>
      <c r="AE12" s="5" t="s">
        <v>1</v>
      </c>
      <c r="AF12" s="5" t="s">
        <v>2</v>
      </c>
      <c r="AG12" s="5" t="s">
        <v>44</v>
      </c>
      <c r="AH12" s="9" t="s">
        <v>3</v>
      </c>
      <c r="AI12" s="2"/>
      <c r="AK12" s="6">
        <f t="shared" si="0"/>
        <v>0</v>
      </c>
      <c r="AL12" s="6">
        <f t="shared" si="1"/>
        <v>8</v>
      </c>
      <c r="AM12" s="6">
        <f t="shared" si="2"/>
        <v>8</v>
      </c>
      <c r="AN12" s="6">
        <f t="shared" si="3"/>
        <v>4</v>
      </c>
      <c r="AO12" s="6">
        <f t="shared" si="4"/>
        <v>10</v>
      </c>
    </row>
    <row r="13" spans="2:41" ht="18.75" x14ac:dyDescent="0.25">
      <c r="B13" s="40" t="s">
        <v>18</v>
      </c>
      <c r="C13" s="40"/>
      <c r="E13" s="5" t="s">
        <v>0</v>
      </c>
      <c r="F13" s="5" t="s">
        <v>2</v>
      </c>
      <c r="G13" s="5" t="s">
        <v>44</v>
      </c>
      <c r="H13" s="5" t="s">
        <v>3</v>
      </c>
      <c r="I13" s="5" t="s">
        <v>4</v>
      </c>
      <c r="J13" s="5" t="s">
        <v>5</v>
      </c>
      <c r="K13" s="5" t="s">
        <v>6</v>
      </c>
      <c r="L13" s="5" t="s">
        <v>7</v>
      </c>
      <c r="M13" s="5" t="s">
        <v>0</v>
      </c>
      <c r="N13" s="5" t="s">
        <v>2</v>
      </c>
      <c r="O13" s="5" t="s">
        <v>44</v>
      </c>
      <c r="P13" s="5" t="s">
        <v>3</v>
      </c>
      <c r="Q13" s="5" t="s">
        <v>4</v>
      </c>
      <c r="R13" s="5" t="s">
        <v>5</v>
      </c>
      <c r="S13" s="5" t="s">
        <v>6</v>
      </c>
      <c r="T13" s="5" t="s">
        <v>7</v>
      </c>
      <c r="U13" s="5" t="s">
        <v>0</v>
      </c>
      <c r="V13" s="5" t="s">
        <v>2</v>
      </c>
      <c r="W13" s="5" t="s">
        <v>44</v>
      </c>
      <c r="X13" s="5" t="s">
        <v>3</v>
      </c>
      <c r="Y13" s="5" t="s">
        <v>4</v>
      </c>
      <c r="Z13" s="5" t="s">
        <v>5</v>
      </c>
      <c r="AA13" s="5" t="s">
        <v>6</v>
      </c>
      <c r="AB13" s="5" t="s">
        <v>7</v>
      </c>
      <c r="AC13" s="5" t="s">
        <v>0</v>
      </c>
      <c r="AD13" s="5" t="s">
        <v>2</v>
      </c>
      <c r="AE13" s="5" t="s">
        <v>44</v>
      </c>
      <c r="AF13" s="5" t="s">
        <v>3</v>
      </c>
      <c r="AG13" s="5" t="s">
        <v>4</v>
      </c>
      <c r="AH13" s="9" t="s">
        <v>5</v>
      </c>
      <c r="AI13" s="2"/>
      <c r="AK13" s="6">
        <f t="shared" si="0"/>
        <v>0</v>
      </c>
      <c r="AL13" s="6">
        <f t="shared" si="1"/>
        <v>4</v>
      </c>
      <c r="AM13" s="6">
        <f t="shared" si="2"/>
        <v>8</v>
      </c>
      <c r="AN13" s="6">
        <f t="shared" si="3"/>
        <v>8</v>
      </c>
      <c r="AO13" s="6">
        <f t="shared" si="4"/>
        <v>10</v>
      </c>
    </row>
    <row r="14" spans="2:41" ht="18.75" x14ac:dyDescent="0.25">
      <c r="B14" s="40" t="s">
        <v>19</v>
      </c>
      <c r="C14" s="40"/>
      <c r="E14" s="5" t="s">
        <v>5</v>
      </c>
      <c r="F14" s="5" t="s">
        <v>6</v>
      </c>
      <c r="G14" s="5" t="s">
        <v>7</v>
      </c>
      <c r="H14" s="5" t="s">
        <v>0</v>
      </c>
      <c r="I14" s="5" t="s">
        <v>1</v>
      </c>
      <c r="J14" s="5" t="s">
        <v>2</v>
      </c>
      <c r="K14" s="5" t="s">
        <v>3</v>
      </c>
      <c r="L14" s="5" t="s">
        <v>4</v>
      </c>
      <c r="M14" s="5" t="s">
        <v>5</v>
      </c>
      <c r="N14" s="5" t="s">
        <v>6</v>
      </c>
      <c r="O14" s="5" t="s">
        <v>7</v>
      </c>
      <c r="P14" s="5" t="s">
        <v>0</v>
      </c>
      <c r="Q14" s="5" t="s">
        <v>62</v>
      </c>
      <c r="R14" s="5" t="s">
        <v>2</v>
      </c>
      <c r="S14" s="5" t="s">
        <v>3</v>
      </c>
      <c r="T14" s="5" t="s">
        <v>4</v>
      </c>
      <c r="U14" s="5" t="s">
        <v>5</v>
      </c>
      <c r="V14" s="5" t="s">
        <v>6</v>
      </c>
      <c r="W14" s="5" t="s">
        <v>7</v>
      </c>
      <c r="X14" s="5" t="s">
        <v>0</v>
      </c>
      <c r="Y14" s="5" t="s">
        <v>1</v>
      </c>
      <c r="Z14" s="5" t="s">
        <v>2</v>
      </c>
      <c r="AA14" s="5" t="s">
        <v>3</v>
      </c>
      <c r="AB14" s="5" t="s">
        <v>4</v>
      </c>
      <c r="AC14" s="5" t="s">
        <v>5</v>
      </c>
      <c r="AD14" s="5" t="s">
        <v>6</v>
      </c>
      <c r="AE14" s="5" t="s">
        <v>7</v>
      </c>
      <c r="AF14" s="5" t="s">
        <v>0</v>
      </c>
      <c r="AG14" s="5" t="s">
        <v>1</v>
      </c>
      <c r="AH14" s="9" t="s">
        <v>2</v>
      </c>
      <c r="AI14" s="2"/>
      <c r="AK14" s="6">
        <f t="shared" si="0"/>
        <v>1</v>
      </c>
      <c r="AL14" s="6">
        <f t="shared" si="1"/>
        <v>7</v>
      </c>
      <c r="AM14" s="6">
        <f t="shared" si="2"/>
        <v>4</v>
      </c>
      <c r="AN14" s="6">
        <f t="shared" si="3"/>
        <v>6</v>
      </c>
      <c r="AO14" s="6">
        <f t="shared" si="4"/>
        <v>12</v>
      </c>
    </row>
    <row r="15" spans="2:41" x14ac:dyDescent="0.25">
      <c r="E15" s="3" t="s">
        <v>45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2:41" ht="18.75" x14ac:dyDescent="0.3">
      <c r="B16" s="49" t="s">
        <v>41</v>
      </c>
      <c r="C16" s="49"/>
      <c r="D16" s="20"/>
      <c r="E16" s="21">
        <f t="shared" ref="E16:AH16" si="5">COUNTIF(E$5:E$14,"M*")</f>
        <v>2</v>
      </c>
      <c r="F16" s="21">
        <f t="shared" si="5"/>
        <v>2</v>
      </c>
      <c r="G16" s="21">
        <f t="shared" si="5"/>
        <v>2</v>
      </c>
      <c r="H16" s="21">
        <f t="shared" si="5"/>
        <v>2</v>
      </c>
      <c r="I16" s="21">
        <f t="shared" si="5"/>
        <v>2</v>
      </c>
      <c r="J16" s="21">
        <f t="shared" si="5"/>
        <v>2</v>
      </c>
      <c r="K16" s="21">
        <f t="shared" si="5"/>
        <v>2</v>
      </c>
      <c r="L16" s="21">
        <f t="shared" si="5"/>
        <v>2</v>
      </c>
      <c r="M16" s="21">
        <f t="shared" si="5"/>
        <v>2</v>
      </c>
      <c r="N16" s="21">
        <f t="shared" si="5"/>
        <v>2</v>
      </c>
      <c r="O16" s="21">
        <f t="shared" si="5"/>
        <v>2</v>
      </c>
      <c r="P16" s="21">
        <f t="shared" si="5"/>
        <v>2</v>
      </c>
      <c r="Q16" s="21">
        <f t="shared" si="5"/>
        <v>2</v>
      </c>
      <c r="R16" s="21">
        <f t="shared" si="5"/>
        <v>2</v>
      </c>
      <c r="S16" s="21">
        <f t="shared" si="5"/>
        <v>2</v>
      </c>
      <c r="T16" s="21">
        <f t="shared" si="5"/>
        <v>2</v>
      </c>
      <c r="U16" s="21">
        <f t="shared" si="5"/>
        <v>2</v>
      </c>
      <c r="V16" s="21">
        <f t="shared" si="5"/>
        <v>2</v>
      </c>
      <c r="W16" s="21">
        <f t="shared" si="5"/>
        <v>2</v>
      </c>
      <c r="X16" s="21">
        <f t="shared" si="5"/>
        <v>2</v>
      </c>
      <c r="Y16" s="21">
        <f t="shared" si="5"/>
        <v>2</v>
      </c>
      <c r="Z16" s="21">
        <f t="shared" si="5"/>
        <v>2</v>
      </c>
      <c r="AA16" s="21">
        <f t="shared" si="5"/>
        <v>2</v>
      </c>
      <c r="AB16" s="21">
        <f t="shared" si="5"/>
        <v>2</v>
      </c>
      <c r="AC16" s="21">
        <f t="shared" si="5"/>
        <v>2</v>
      </c>
      <c r="AD16" s="21">
        <f t="shared" si="5"/>
        <v>2</v>
      </c>
      <c r="AE16" s="21">
        <f t="shared" si="5"/>
        <v>2</v>
      </c>
      <c r="AF16" s="21">
        <f t="shared" si="5"/>
        <v>2</v>
      </c>
      <c r="AG16" s="21">
        <f t="shared" si="5"/>
        <v>2</v>
      </c>
      <c r="AH16" s="21">
        <f t="shared" si="5"/>
        <v>2</v>
      </c>
      <c r="AI16" s="21" t="s">
        <v>45</v>
      </c>
    </row>
    <row r="17" spans="2:35" ht="18.75" x14ac:dyDescent="0.3">
      <c r="B17" s="49" t="s">
        <v>42</v>
      </c>
      <c r="C17" s="49"/>
      <c r="D17" s="20"/>
      <c r="E17" s="21">
        <f t="shared" ref="E17:AH17" si="6">COUNTIF(E$5:E$14,"A*")</f>
        <v>2</v>
      </c>
      <c r="F17" s="21">
        <f t="shared" si="6"/>
        <v>2</v>
      </c>
      <c r="G17" s="21">
        <f t="shared" si="6"/>
        <v>2</v>
      </c>
      <c r="H17" s="21">
        <f t="shared" si="6"/>
        <v>2</v>
      </c>
      <c r="I17" s="21">
        <f t="shared" si="6"/>
        <v>2</v>
      </c>
      <c r="J17" s="21">
        <f t="shared" si="6"/>
        <v>2</v>
      </c>
      <c r="K17" s="21">
        <f t="shared" si="6"/>
        <v>2</v>
      </c>
      <c r="L17" s="21">
        <f t="shared" si="6"/>
        <v>2</v>
      </c>
      <c r="M17" s="21">
        <f t="shared" si="6"/>
        <v>2</v>
      </c>
      <c r="N17" s="21">
        <f t="shared" si="6"/>
        <v>2</v>
      </c>
      <c r="O17" s="21">
        <f t="shared" si="6"/>
        <v>2</v>
      </c>
      <c r="P17" s="21">
        <f t="shared" si="6"/>
        <v>2</v>
      </c>
      <c r="Q17" s="21">
        <f t="shared" si="6"/>
        <v>2</v>
      </c>
      <c r="R17" s="21">
        <f t="shared" si="6"/>
        <v>2</v>
      </c>
      <c r="S17" s="21">
        <f t="shared" si="6"/>
        <v>2</v>
      </c>
      <c r="T17" s="21">
        <f t="shared" si="6"/>
        <v>2</v>
      </c>
      <c r="U17" s="21">
        <f t="shared" si="6"/>
        <v>2</v>
      </c>
      <c r="V17" s="21">
        <f t="shared" si="6"/>
        <v>2</v>
      </c>
      <c r="W17" s="21">
        <f t="shared" si="6"/>
        <v>2</v>
      </c>
      <c r="X17" s="21">
        <f t="shared" si="6"/>
        <v>2</v>
      </c>
      <c r="Y17" s="21">
        <f t="shared" si="6"/>
        <v>2</v>
      </c>
      <c r="Z17" s="21">
        <f t="shared" si="6"/>
        <v>2</v>
      </c>
      <c r="AA17" s="21">
        <f t="shared" si="6"/>
        <v>2</v>
      </c>
      <c r="AB17" s="21">
        <f t="shared" si="6"/>
        <v>2</v>
      </c>
      <c r="AC17" s="21">
        <f t="shared" si="6"/>
        <v>2</v>
      </c>
      <c r="AD17" s="21">
        <f t="shared" si="6"/>
        <v>2</v>
      </c>
      <c r="AE17" s="21">
        <f t="shared" si="6"/>
        <v>2</v>
      </c>
      <c r="AF17" s="21">
        <f t="shared" si="6"/>
        <v>2</v>
      </c>
      <c r="AG17" s="21">
        <f t="shared" si="6"/>
        <v>2</v>
      </c>
      <c r="AH17" s="21">
        <f t="shared" si="6"/>
        <v>2</v>
      </c>
      <c r="AI17" s="21" t="s">
        <v>45</v>
      </c>
    </row>
    <row r="18" spans="2:35" ht="18.75" x14ac:dyDescent="0.3">
      <c r="B18" s="49" t="s">
        <v>8</v>
      </c>
      <c r="C18" s="49"/>
      <c r="D18" s="20"/>
      <c r="E18" s="21">
        <f t="shared" ref="E18:AH18" si="7">COUNTIF(E$5:E$14,"N*")</f>
        <v>2</v>
      </c>
      <c r="F18" s="21">
        <f t="shared" si="7"/>
        <v>2</v>
      </c>
      <c r="G18" s="21">
        <f t="shared" si="7"/>
        <v>2</v>
      </c>
      <c r="H18" s="21">
        <f t="shared" si="7"/>
        <v>2</v>
      </c>
      <c r="I18" s="21">
        <f t="shared" si="7"/>
        <v>2</v>
      </c>
      <c r="J18" s="21">
        <f t="shared" si="7"/>
        <v>2</v>
      </c>
      <c r="K18" s="21">
        <f t="shared" si="7"/>
        <v>2</v>
      </c>
      <c r="L18" s="21">
        <f t="shared" si="7"/>
        <v>2</v>
      </c>
      <c r="M18" s="21">
        <f t="shared" si="7"/>
        <v>2</v>
      </c>
      <c r="N18" s="21">
        <f t="shared" si="7"/>
        <v>2</v>
      </c>
      <c r="O18" s="21">
        <f t="shared" si="7"/>
        <v>2</v>
      </c>
      <c r="P18" s="21">
        <f t="shared" si="7"/>
        <v>2</v>
      </c>
      <c r="Q18" s="21">
        <f t="shared" si="7"/>
        <v>2</v>
      </c>
      <c r="R18" s="21">
        <f t="shared" si="7"/>
        <v>2</v>
      </c>
      <c r="S18" s="21">
        <f t="shared" si="7"/>
        <v>2</v>
      </c>
      <c r="T18" s="21">
        <f t="shared" si="7"/>
        <v>2</v>
      </c>
      <c r="U18" s="21">
        <f t="shared" si="7"/>
        <v>2</v>
      </c>
      <c r="V18" s="21">
        <f t="shared" si="7"/>
        <v>2</v>
      </c>
      <c r="W18" s="21">
        <f t="shared" si="7"/>
        <v>2</v>
      </c>
      <c r="X18" s="21">
        <f t="shared" si="7"/>
        <v>2</v>
      </c>
      <c r="Y18" s="21">
        <f t="shared" si="7"/>
        <v>2</v>
      </c>
      <c r="Z18" s="21">
        <f t="shared" si="7"/>
        <v>2</v>
      </c>
      <c r="AA18" s="21">
        <f t="shared" si="7"/>
        <v>2</v>
      </c>
      <c r="AB18" s="21">
        <f t="shared" si="7"/>
        <v>2</v>
      </c>
      <c r="AC18" s="21">
        <f t="shared" si="7"/>
        <v>2</v>
      </c>
      <c r="AD18" s="21">
        <f t="shared" si="7"/>
        <v>2</v>
      </c>
      <c r="AE18" s="21">
        <f t="shared" si="7"/>
        <v>2</v>
      </c>
      <c r="AF18" s="21">
        <f t="shared" si="7"/>
        <v>2</v>
      </c>
      <c r="AG18" s="21">
        <f t="shared" si="7"/>
        <v>2</v>
      </c>
      <c r="AH18" s="21">
        <f t="shared" si="7"/>
        <v>2</v>
      </c>
      <c r="AI18" s="21" t="s">
        <v>45</v>
      </c>
    </row>
    <row r="19" spans="2:35" ht="18.75" x14ac:dyDescent="0.3">
      <c r="B19" s="49" t="s">
        <v>9</v>
      </c>
      <c r="C19" s="49"/>
      <c r="D19" s="20"/>
      <c r="E19" s="21">
        <f t="shared" ref="E19:AH19" si="8">COUNTIF(E$5:E$14,"O*")</f>
        <v>4</v>
      </c>
      <c r="F19" s="21">
        <f t="shared" si="8"/>
        <v>4</v>
      </c>
      <c r="G19" s="21">
        <f t="shared" si="8"/>
        <v>4</v>
      </c>
      <c r="H19" s="21">
        <f t="shared" si="8"/>
        <v>3</v>
      </c>
      <c r="I19" s="21">
        <f t="shared" si="8"/>
        <v>3</v>
      </c>
      <c r="J19" s="21">
        <f t="shared" si="8"/>
        <v>4</v>
      </c>
      <c r="K19" s="21">
        <f t="shared" si="8"/>
        <v>4</v>
      </c>
      <c r="L19" s="21">
        <f t="shared" si="8"/>
        <v>4</v>
      </c>
      <c r="M19" s="21">
        <f t="shared" si="8"/>
        <v>4</v>
      </c>
      <c r="N19" s="21">
        <f t="shared" si="8"/>
        <v>4</v>
      </c>
      <c r="O19" s="21">
        <f t="shared" si="8"/>
        <v>4</v>
      </c>
      <c r="P19" s="21">
        <f t="shared" si="8"/>
        <v>3</v>
      </c>
      <c r="Q19" s="21">
        <f t="shared" si="8"/>
        <v>3</v>
      </c>
      <c r="R19" s="21">
        <f t="shared" si="8"/>
        <v>4</v>
      </c>
      <c r="S19" s="21">
        <f t="shared" si="8"/>
        <v>4</v>
      </c>
      <c r="T19" s="21">
        <f t="shared" si="8"/>
        <v>4</v>
      </c>
      <c r="U19" s="21">
        <f t="shared" si="8"/>
        <v>4</v>
      </c>
      <c r="V19" s="21">
        <f t="shared" si="8"/>
        <v>4</v>
      </c>
      <c r="W19" s="21">
        <f t="shared" si="8"/>
        <v>4</v>
      </c>
      <c r="X19" s="21">
        <f t="shared" si="8"/>
        <v>3</v>
      </c>
      <c r="Y19" s="21">
        <f t="shared" si="8"/>
        <v>3</v>
      </c>
      <c r="Z19" s="21">
        <f t="shared" si="8"/>
        <v>4</v>
      </c>
      <c r="AA19" s="21">
        <f t="shared" si="8"/>
        <v>4</v>
      </c>
      <c r="AB19" s="21">
        <f t="shared" si="8"/>
        <v>4</v>
      </c>
      <c r="AC19" s="21">
        <f t="shared" si="8"/>
        <v>4</v>
      </c>
      <c r="AD19" s="21">
        <f t="shared" si="8"/>
        <v>4</v>
      </c>
      <c r="AE19" s="21">
        <f t="shared" si="8"/>
        <v>4</v>
      </c>
      <c r="AF19" s="21">
        <f t="shared" si="8"/>
        <v>3</v>
      </c>
      <c r="AG19" s="21">
        <f t="shared" si="8"/>
        <v>3</v>
      </c>
      <c r="AH19" s="21">
        <f t="shared" si="8"/>
        <v>4</v>
      </c>
      <c r="AI19" s="21" t="s">
        <v>45</v>
      </c>
    </row>
    <row r="20" spans="2:35" ht="18.75" x14ac:dyDescent="0.3">
      <c r="B20" s="45" t="s">
        <v>57</v>
      </c>
      <c r="C20" s="46"/>
      <c r="D20" s="20"/>
      <c r="E20" s="21">
        <f t="shared" ref="E20:AH20" si="9">COUNTIF(E$5:E$14,"ST*")</f>
        <v>0</v>
      </c>
      <c r="F20" s="21">
        <f t="shared" si="9"/>
        <v>0</v>
      </c>
      <c r="G20" s="21">
        <f t="shared" si="9"/>
        <v>0</v>
      </c>
      <c r="H20" s="21">
        <f t="shared" si="9"/>
        <v>1</v>
      </c>
      <c r="I20" s="21">
        <f t="shared" si="9"/>
        <v>1</v>
      </c>
      <c r="J20" s="21">
        <f t="shared" si="9"/>
        <v>0</v>
      </c>
      <c r="K20" s="21">
        <f t="shared" si="9"/>
        <v>0</v>
      </c>
      <c r="L20" s="21">
        <f t="shared" si="9"/>
        <v>0</v>
      </c>
      <c r="M20" s="21">
        <f t="shared" si="9"/>
        <v>0</v>
      </c>
      <c r="N20" s="21">
        <f t="shared" si="9"/>
        <v>0</v>
      </c>
      <c r="O20" s="21">
        <f t="shared" si="9"/>
        <v>0</v>
      </c>
      <c r="P20" s="21">
        <f t="shared" si="9"/>
        <v>1</v>
      </c>
      <c r="Q20" s="21">
        <f t="shared" si="9"/>
        <v>1</v>
      </c>
      <c r="R20" s="21">
        <f t="shared" si="9"/>
        <v>0</v>
      </c>
      <c r="S20" s="21">
        <f t="shared" si="9"/>
        <v>0</v>
      </c>
      <c r="T20" s="21">
        <f t="shared" si="9"/>
        <v>0</v>
      </c>
      <c r="U20" s="21">
        <f t="shared" si="9"/>
        <v>0</v>
      </c>
      <c r="V20" s="21">
        <f t="shared" si="9"/>
        <v>0</v>
      </c>
      <c r="W20" s="21">
        <f t="shared" si="9"/>
        <v>0</v>
      </c>
      <c r="X20" s="21">
        <f t="shared" si="9"/>
        <v>1</v>
      </c>
      <c r="Y20" s="21">
        <f t="shared" si="9"/>
        <v>1</v>
      </c>
      <c r="Z20" s="21">
        <f t="shared" si="9"/>
        <v>0</v>
      </c>
      <c r="AA20" s="21">
        <f t="shared" si="9"/>
        <v>0</v>
      </c>
      <c r="AB20" s="21">
        <f t="shared" si="9"/>
        <v>0</v>
      </c>
      <c r="AC20" s="21">
        <f t="shared" si="9"/>
        <v>0</v>
      </c>
      <c r="AD20" s="21">
        <f t="shared" si="9"/>
        <v>0</v>
      </c>
      <c r="AE20" s="21">
        <f t="shared" si="9"/>
        <v>0</v>
      </c>
      <c r="AF20" s="21">
        <f t="shared" si="9"/>
        <v>1</v>
      </c>
      <c r="AG20" s="21">
        <f t="shared" si="9"/>
        <v>1</v>
      </c>
      <c r="AH20" s="21">
        <f t="shared" si="9"/>
        <v>0</v>
      </c>
      <c r="AI20" s="21" t="s">
        <v>45</v>
      </c>
    </row>
    <row r="21" spans="2:35" ht="18.75" x14ac:dyDescent="0.3">
      <c r="B21" s="50" t="s">
        <v>55</v>
      </c>
      <c r="C21" s="50"/>
      <c r="D21" s="22"/>
      <c r="E21" s="23">
        <f>E23-E24</f>
        <v>0</v>
      </c>
      <c r="F21" s="23">
        <f t="shared" ref="F21:AH21" si="10">F23-F24</f>
        <v>0</v>
      </c>
      <c r="G21" s="23">
        <f t="shared" si="10"/>
        <v>0</v>
      </c>
      <c r="H21" s="23">
        <f t="shared" si="10"/>
        <v>0</v>
      </c>
      <c r="I21" s="23">
        <f t="shared" si="10"/>
        <v>0</v>
      </c>
      <c r="J21" s="23">
        <f t="shared" si="10"/>
        <v>0</v>
      </c>
      <c r="K21" s="23">
        <f t="shared" si="10"/>
        <v>0</v>
      </c>
      <c r="L21" s="23">
        <f t="shared" si="10"/>
        <v>0</v>
      </c>
      <c r="M21" s="23">
        <f t="shared" si="10"/>
        <v>0</v>
      </c>
      <c r="N21" s="23">
        <f t="shared" si="10"/>
        <v>0</v>
      </c>
      <c r="O21" s="23">
        <f t="shared" si="10"/>
        <v>0</v>
      </c>
      <c r="P21" s="23">
        <f t="shared" si="10"/>
        <v>0</v>
      </c>
      <c r="Q21" s="23">
        <f t="shared" si="10"/>
        <v>0</v>
      </c>
      <c r="R21" s="23">
        <f t="shared" si="10"/>
        <v>0</v>
      </c>
      <c r="S21" s="23">
        <f t="shared" si="10"/>
        <v>0</v>
      </c>
      <c r="T21" s="23">
        <f t="shared" si="10"/>
        <v>0</v>
      </c>
      <c r="U21" s="23">
        <f t="shared" si="10"/>
        <v>0</v>
      </c>
      <c r="V21" s="23">
        <f t="shared" si="10"/>
        <v>0</v>
      </c>
      <c r="W21" s="23">
        <f t="shared" si="10"/>
        <v>0</v>
      </c>
      <c r="X21" s="23">
        <f t="shared" si="10"/>
        <v>0</v>
      </c>
      <c r="Y21" s="23">
        <f t="shared" si="10"/>
        <v>0</v>
      </c>
      <c r="Z21" s="23">
        <f t="shared" si="10"/>
        <v>0</v>
      </c>
      <c r="AA21" s="23">
        <f t="shared" si="10"/>
        <v>0</v>
      </c>
      <c r="AB21" s="23">
        <f t="shared" si="10"/>
        <v>0</v>
      </c>
      <c r="AC21" s="23">
        <f t="shared" si="10"/>
        <v>0</v>
      </c>
      <c r="AD21" s="23">
        <f t="shared" si="10"/>
        <v>0</v>
      </c>
      <c r="AE21" s="23">
        <f t="shared" si="10"/>
        <v>0</v>
      </c>
      <c r="AF21" s="23">
        <f t="shared" si="10"/>
        <v>0</v>
      </c>
      <c r="AG21" s="23">
        <f t="shared" si="10"/>
        <v>0</v>
      </c>
      <c r="AH21" s="23">
        <f t="shared" si="10"/>
        <v>0</v>
      </c>
      <c r="AI21" s="23" t="s">
        <v>45</v>
      </c>
    </row>
    <row r="22" spans="2:35" ht="9.75" customHeight="1" x14ac:dyDescent="0.3">
      <c r="B22" s="24"/>
      <c r="C22" s="24"/>
      <c r="D22" s="20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</row>
    <row r="23" spans="2:35" ht="18.75" x14ac:dyDescent="0.3">
      <c r="B23" s="49" t="s">
        <v>53</v>
      </c>
      <c r="C23" s="49"/>
      <c r="D23" s="20"/>
      <c r="E23" s="25">
        <f>SUM(E16:E18)</f>
        <v>6</v>
      </c>
      <c r="F23" s="25">
        <f t="shared" ref="F23:AH23" si="11">SUM(F16:F18)</f>
        <v>6</v>
      </c>
      <c r="G23" s="25">
        <f t="shared" si="11"/>
        <v>6</v>
      </c>
      <c r="H23" s="25">
        <f t="shared" si="11"/>
        <v>6</v>
      </c>
      <c r="I23" s="25">
        <f t="shared" si="11"/>
        <v>6</v>
      </c>
      <c r="J23" s="25">
        <f t="shared" si="11"/>
        <v>6</v>
      </c>
      <c r="K23" s="25">
        <f t="shared" si="11"/>
        <v>6</v>
      </c>
      <c r="L23" s="25">
        <f t="shared" si="11"/>
        <v>6</v>
      </c>
      <c r="M23" s="25">
        <f t="shared" si="11"/>
        <v>6</v>
      </c>
      <c r="N23" s="25">
        <f t="shared" si="11"/>
        <v>6</v>
      </c>
      <c r="O23" s="25">
        <f t="shared" si="11"/>
        <v>6</v>
      </c>
      <c r="P23" s="25">
        <f t="shared" si="11"/>
        <v>6</v>
      </c>
      <c r="Q23" s="25">
        <f t="shared" si="11"/>
        <v>6</v>
      </c>
      <c r="R23" s="25">
        <f t="shared" si="11"/>
        <v>6</v>
      </c>
      <c r="S23" s="25">
        <f t="shared" si="11"/>
        <v>6</v>
      </c>
      <c r="T23" s="25">
        <f t="shared" si="11"/>
        <v>6</v>
      </c>
      <c r="U23" s="25">
        <f t="shared" si="11"/>
        <v>6</v>
      </c>
      <c r="V23" s="25">
        <f t="shared" si="11"/>
        <v>6</v>
      </c>
      <c r="W23" s="25">
        <f t="shared" si="11"/>
        <v>6</v>
      </c>
      <c r="X23" s="25">
        <f t="shared" si="11"/>
        <v>6</v>
      </c>
      <c r="Y23" s="25">
        <f t="shared" si="11"/>
        <v>6</v>
      </c>
      <c r="Z23" s="25">
        <f t="shared" si="11"/>
        <v>6</v>
      </c>
      <c r="AA23" s="25">
        <f t="shared" si="11"/>
        <v>6</v>
      </c>
      <c r="AB23" s="25">
        <f t="shared" si="11"/>
        <v>6</v>
      </c>
      <c r="AC23" s="25">
        <f t="shared" si="11"/>
        <v>6</v>
      </c>
      <c r="AD23" s="25">
        <f t="shared" si="11"/>
        <v>6</v>
      </c>
      <c r="AE23" s="25">
        <f t="shared" si="11"/>
        <v>6</v>
      </c>
      <c r="AF23" s="25">
        <f t="shared" si="11"/>
        <v>6</v>
      </c>
      <c r="AG23" s="25">
        <f t="shared" si="11"/>
        <v>6</v>
      </c>
      <c r="AH23" s="25">
        <f t="shared" si="11"/>
        <v>6</v>
      </c>
      <c r="AI23" s="25" t="s">
        <v>45</v>
      </c>
    </row>
    <row r="24" spans="2:35" ht="18.75" x14ac:dyDescent="0.3">
      <c r="B24" s="49" t="s">
        <v>40</v>
      </c>
      <c r="C24" s="49"/>
      <c r="D24" s="20"/>
      <c r="E24" s="21">
        <v>6</v>
      </c>
      <c r="F24" s="21">
        <v>6</v>
      </c>
      <c r="G24" s="21">
        <v>6</v>
      </c>
      <c r="H24" s="21">
        <v>6</v>
      </c>
      <c r="I24" s="21">
        <v>6</v>
      </c>
      <c r="J24" s="21">
        <v>6</v>
      </c>
      <c r="K24" s="21">
        <v>6</v>
      </c>
      <c r="L24" s="21">
        <v>6</v>
      </c>
      <c r="M24" s="21">
        <v>6</v>
      </c>
      <c r="N24" s="21">
        <v>6</v>
      </c>
      <c r="O24" s="21">
        <v>6</v>
      </c>
      <c r="P24" s="21">
        <v>6</v>
      </c>
      <c r="Q24" s="21">
        <v>6</v>
      </c>
      <c r="R24" s="21">
        <v>6</v>
      </c>
      <c r="S24" s="21">
        <v>6</v>
      </c>
      <c r="T24" s="21">
        <v>6</v>
      </c>
      <c r="U24" s="21">
        <v>6</v>
      </c>
      <c r="V24" s="21">
        <v>6</v>
      </c>
      <c r="W24" s="21">
        <v>6</v>
      </c>
      <c r="X24" s="21">
        <v>6</v>
      </c>
      <c r="Y24" s="21">
        <v>6</v>
      </c>
      <c r="Z24" s="21">
        <v>6</v>
      </c>
      <c r="AA24" s="21">
        <v>6</v>
      </c>
      <c r="AB24" s="21">
        <v>6</v>
      </c>
      <c r="AC24" s="21">
        <v>6</v>
      </c>
      <c r="AD24" s="21">
        <v>6</v>
      </c>
      <c r="AE24" s="21">
        <v>6</v>
      </c>
      <c r="AF24" s="21">
        <v>6</v>
      </c>
      <c r="AG24" s="21">
        <v>6</v>
      </c>
      <c r="AH24" s="21">
        <v>6</v>
      </c>
      <c r="AI24" s="21" t="s">
        <v>45</v>
      </c>
    </row>
    <row r="25" spans="2:35" ht="18.75" x14ac:dyDescent="0.3">
      <c r="B25" s="49" t="s">
        <v>54</v>
      </c>
      <c r="C25" s="49"/>
      <c r="D25" s="20"/>
      <c r="E25" s="21">
        <f>SUM(E16,E17,E18,E19,E20)</f>
        <v>10</v>
      </c>
      <c r="F25" s="21">
        <f t="shared" ref="F25:AH25" si="12">SUM(F16,F17,F18,F19,F20)</f>
        <v>10</v>
      </c>
      <c r="G25" s="21">
        <f t="shared" si="12"/>
        <v>10</v>
      </c>
      <c r="H25" s="21">
        <f t="shared" si="12"/>
        <v>10</v>
      </c>
      <c r="I25" s="21">
        <f t="shared" si="12"/>
        <v>10</v>
      </c>
      <c r="J25" s="21">
        <f t="shared" si="12"/>
        <v>10</v>
      </c>
      <c r="K25" s="21">
        <f t="shared" si="12"/>
        <v>10</v>
      </c>
      <c r="L25" s="21">
        <f t="shared" si="12"/>
        <v>10</v>
      </c>
      <c r="M25" s="21">
        <f t="shared" si="12"/>
        <v>10</v>
      </c>
      <c r="N25" s="21">
        <f t="shared" si="12"/>
        <v>10</v>
      </c>
      <c r="O25" s="21">
        <f t="shared" si="12"/>
        <v>10</v>
      </c>
      <c r="P25" s="21">
        <f t="shared" si="12"/>
        <v>10</v>
      </c>
      <c r="Q25" s="21">
        <f t="shared" si="12"/>
        <v>10</v>
      </c>
      <c r="R25" s="21">
        <f t="shared" si="12"/>
        <v>10</v>
      </c>
      <c r="S25" s="21">
        <f t="shared" si="12"/>
        <v>10</v>
      </c>
      <c r="T25" s="21">
        <f t="shared" si="12"/>
        <v>10</v>
      </c>
      <c r="U25" s="21">
        <f t="shared" si="12"/>
        <v>10</v>
      </c>
      <c r="V25" s="21">
        <f t="shared" si="12"/>
        <v>10</v>
      </c>
      <c r="W25" s="21">
        <f t="shared" si="12"/>
        <v>10</v>
      </c>
      <c r="X25" s="21">
        <f t="shared" si="12"/>
        <v>10</v>
      </c>
      <c r="Y25" s="21">
        <f t="shared" si="12"/>
        <v>10</v>
      </c>
      <c r="Z25" s="21">
        <f t="shared" si="12"/>
        <v>10</v>
      </c>
      <c r="AA25" s="21">
        <f t="shared" si="12"/>
        <v>10</v>
      </c>
      <c r="AB25" s="21">
        <f t="shared" si="12"/>
        <v>10</v>
      </c>
      <c r="AC25" s="21">
        <f t="shared" si="12"/>
        <v>10</v>
      </c>
      <c r="AD25" s="21">
        <f t="shared" si="12"/>
        <v>10</v>
      </c>
      <c r="AE25" s="21">
        <f t="shared" si="12"/>
        <v>10</v>
      </c>
      <c r="AF25" s="21">
        <f t="shared" si="12"/>
        <v>10</v>
      </c>
      <c r="AG25" s="21">
        <f t="shared" si="12"/>
        <v>10</v>
      </c>
      <c r="AH25" s="21">
        <f t="shared" si="12"/>
        <v>10</v>
      </c>
      <c r="AI25" s="21" t="s">
        <v>45</v>
      </c>
    </row>
  </sheetData>
  <mergeCells count="27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B10:C10"/>
    <mergeCell ref="B11:C11"/>
    <mergeCell ref="B12:C12"/>
    <mergeCell ref="B13:C13"/>
    <mergeCell ref="B14:C14"/>
    <mergeCell ref="B16:C16"/>
    <mergeCell ref="B17:C17"/>
    <mergeCell ref="B18:C18"/>
    <mergeCell ref="B19:C19"/>
    <mergeCell ref="B20:C20"/>
    <mergeCell ref="B21:C21"/>
    <mergeCell ref="E22:AI22"/>
    <mergeCell ref="B23:C23"/>
    <mergeCell ref="B24:C24"/>
    <mergeCell ref="B25:C25"/>
  </mergeCells>
  <conditionalFormatting sqref="E6:AH14 F5:AH5">
    <cfRule type="containsText" dxfId="945" priority="39" operator="containsText" text="STM1">
      <formula>NOT(ISERROR(SEARCH("STM1",E5)))</formula>
    </cfRule>
    <cfRule type="containsText" dxfId="944" priority="40" operator="containsText" text="STA">
      <formula>NOT(ISERROR(SEARCH("STA",E5)))</formula>
    </cfRule>
    <cfRule type="containsText" dxfId="943" priority="41" operator="containsText" text="STM1">
      <formula>NOT(ISERROR(SEARCH("STM1",E5)))</formula>
    </cfRule>
    <cfRule type="containsText" dxfId="942" priority="42" operator="containsText" text="O">
      <formula>NOT(ISERROR(SEARCH("O",E5)))</formula>
    </cfRule>
    <cfRule type="containsText" dxfId="941" priority="43" operator="containsText" text="N">
      <formula>NOT(ISERROR(SEARCH("N",E5)))</formula>
    </cfRule>
    <cfRule type="containsText" dxfId="940" priority="44" operator="containsText" text="A">
      <formula>NOT(ISERROR(SEARCH("A",E5)))</formula>
    </cfRule>
    <cfRule type="containsText" dxfId="939" priority="45" operator="containsText" text="M">
      <formula>NOT(ISERROR(SEARCH("M",E5)))</formula>
    </cfRule>
  </conditionalFormatting>
  <conditionalFormatting sqref="E5:AH14">
    <cfRule type="containsText" dxfId="938" priority="31" operator="containsText" text="STN">
      <formula>NOT(ISERROR(SEARCH("STN",E5)))</formula>
    </cfRule>
    <cfRule type="containsText" dxfId="937" priority="32" operator="containsText" text="STN">
      <formula>NOT(ISERROR(SEARCH("STN",E5)))</formula>
    </cfRule>
    <cfRule type="containsText" dxfId="936" priority="33" operator="containsText" text="STM">
      <formula>NOT(ISERROR(SEARCH("STM",E5)))</formula>
    </cfRule>
    <cfRule type="containsText" dxfId="935" priority="34" operator="containsText" text="M">
      <formula>NOT(ISERROR(SEARCH("M",E5)))</formula>
    </cfRule>
    <cfRule type="containsText" dxfId="934" priority="35" operator="containsText" text="STM1">
      <formula>NOT(ISERROR(SEARCH("STM1",E5)))</formula>
    </cfRule>
    <cfRule type="containsText" dxfId="933" priority="36" operator="containsText" text="M">
      <formula>NOT(ISERROR(SEARCH("M",E5)))</formula>
    </cfRule>
    <cfRule type="containsText" dxfId="932" priority="37" operator="containsText" text="STM">
      <formula>NOT(ISERROR(SEARCH("STM",E5)))</formula>
    </cfRule>
    <cfRule type="containsText" dxfId="931" priority="38" operator="containsText" text="STM">
      <formula>NOT(ISERROR(SEARCH("STM",E5)))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41F1-ED05-4B12-BA91-DE1D4127D9CE}">
  <dimension ref="B2:AO28"/>
  <sheetViews>
    <sheetView tabSelected="1" zoomScale="70" zoomScaleNormal="70" workbookViewId="0">
      <selection activeCell="H34" sqref="H34"/>
    </sheetView>
  </sheetViews>
  <sheetFormatPr defaultRowHeight="15.75" x14ac:dyDescent="0.25"/>
  <cols>
    <col min="1" max="1" width="3.42578125" style="1" customWidth="1"/>
    <col min="2" max="2" width="12.85546875" style="1" customWidth="1"/>
    <col min="3" max="3" width="15.4257812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39" t="s">
        <v>134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K2" s="36" t="s">
        <v>63</v>
      </c>
      <c r="AL2" s="36" t="s">
        <v>64</v>
      </c>
      <c r="AM2" s="36" t="s">
        <v>67</v>
      </c>
      <c r="AN2" s="36" t="s">
        <v>65</v>
      </c>
      <c r="AO2" s="36" t="s">
        <v>66</v>
      </c>
    </row>
    <row r="3" spans="2:41" ht="39" x14ac:dyDescent="0.3">
      <c r="B3" s="41" t="s">
        <v>56</v>
      </c>
      <c r="C3" s="42"/>
      <c r="E3" s="32" t="s">
        <v>51</v>
      </c>
      <c r="F3" s="32" t="s">
        <v>52</v>
      </c>
      <c r="G3" s="32" t="s">
        <v>46</v>
      </c>
      <c r="H3" s="32" t="s">
        <v>47</v>
      </c>
      <c r="I3" s="32" t="s">
        <v>48</v>
      </c>
      <c r="J3" s="32" t="s">
        <v>49</v>
      </c>
      <c r="K3" s="32" t="s">
        <v>50</v>
      </c>
      <c r="L3" s="32" t="s">
        <v>51</v>
      </c>
      <c r="M3" s="32" t="s">
        <v>52</v>
      </c>
      <c r="N3" s="32" t="s">
        <v>46</v>
      </c>
      <c r="O3" s="32" t="s">
        <v>47</v>
      </c>
      <c r="P3" s="32" t="s">
        <v>48</v>
      </c>
      <c r="Q3" s="32" t="s">
        <v>49</v>
      </c>
      <c r="R3" s="32" t="s">
        <v>50</v>
      </c>
      <c r="S3" s="32" t="s">
        <v>51</v>
      </c>
      <c r="T3" s="32" t="s">
        <v>52</v>
      </c>
      <c r="U3" s="32" t="s">
        <v>46</v>
      </c>
      <c r="V3" s="32" t="s">
        <v>47</v>
      </c>
      <c r="W3" s="32" t="s">
        <v>48</v>
      </c>
      <c r="X3" s="32" t="s">
        <v>49</v>
      </c>
      <c r="Y3" s="32" t="s">
        <v>50</v>
      </c>
      <c r="Z3" s="32" t="s">
        <v>51</v>
      </c>
      <c r="AA3" s="32" t="s">
        <v>52</v>
      </c>
      <c r="AB3" s="32" t="s">
        <v>46</v>
      </c>
      <c r="AC3" s="32" t="s">
        <v>47</v>
      </c>
      <c r="AD3" s="32" t="s">
        <v>48</v>
      </c>
      <c r="AE3" s="32" t="s">
        <v>49</v>
      </c>
      <c r="AF3" s="32" t="s">
        <v>50</v>
      </c>
      <c r="AG3" s="32" t="s">
        <v>51</v>
      </c>
      <c r="AH3" s="32" t="s">
        <v>52</v>
      </c>
      <c r="AI3" s="31"/>
      <c r="AK3" s="37"/>
      <c r="AL3" s="37"/>
      <c r="AM3" s="37"/>
      <c r="AN3" s="37"/>
      <c r="AO3" s="37"/>
    </row>
    <row r="4" spans="2:41" ht="18.75" x14ac:dyDescent="0.3">
      <c r="B4" s="43"/>
      <c r="C4" s="44"/>
      <c r="E4" s="28">
        <v>1</v>
      </c>
      <c r="F4" s="28">
        <v>2</v>
      </c>
      <c r="G4" s="28">
        <v>3</v>
      </c>
      <c r="H4" s="28">
        <v>4</v>
      </c>
      <c r="I4" s="28">
        <v>5</v>
      </c>
      <c r="J4" s="28">
        <v>6</v>
      </c>
      <c r="K4" s="28">
        <v>7</v>
      </c>
      <c r="L4" s="28">
        <v>8</v>
      </c>
      <c r="M4" s="28">
        <v>9</v>
      </c>
      <c r="N4" s="28">
        <v>10</v>
      </c>
      <c r="O4" s="28">
        <v>11</v>
      </c>
      <c r="P4" s="28">
        <v>12</v>
      </c>
      <c r="Q4" s="28">
        <v>13</v>
      </c>
      <c r="R4" s="28">
        <v>14</v>
      </c>
      <c r="S4" s="28">
        <v>15</v>
      </c>
      <c r="T4" s="28">
        <v>16</v>
      </c>
      <c r="U4" s="28">
        <v>17</v>
      </c>
      <c r="V4" s="28">
        <v>18</v>
      </c>
      <c r="W4" s="28">
        <v>19</v>
      </c>
      <c r="X4" s="28">
        <v>20</v>
      </c>
      <c r="Y4" s="28">
        <v>21</v>
      </c>
      <c r="Z4" s="28">
        <v>22</v>
      </c>
      <c r="AA4" s="28">
        <v>23</v>
      </c>
      <c r="AB4" s="28">
        <v>24</v>
      </c>
      <c r="AC4" s="28">
        <v>25</v>
      </c>
      <c r="AD4" s="28">
        <v>26</v>
      </c>
      <c r="AE4" s="28">
        <v>27</v>
      </c>
      <c r="AF4" s="28">
        <v>28</v>
      </c>
      <c r="AG4" s="28">
        <v>29</v>
      </c>
      <c r="AH4" s="28">
        <v>30</v>
      </c>
      <c r="AI4" s="31"/>
      <c r="AK4" s="38"/>
      <c r="AL4" s="38"/>
      <c r="AM4" s="38"/>
      <c r="AN4" s="38"/>
      <c r="AO4" s="38"/>
    </row>
    <row r="5" spans="2:41" ht="18.75" x14ac:dyDescent="0.25">
      <c r="B5" s="58" t="s">
        <v>113</v>
      </c>
      <c r="C5" s="58"/>
      <c r="E5" s="29" t="s">
        <v>125</v>
      </c>
      <c r="F5" s="27" t="s">
        <v>125</v>
      </c>
      <c r="G5" s="30" t="s">
        <v>126</v>
      </c>
      <c r="H5" s="30" t="s">
        <v>126</v>
      </c>
      <c r="I5" s="27" t="s">
        <v>127</v>
      </c>
      <c r="J5" s="27" t="s">
        <v>5</v>
      </c>
      <c r="K5" s="27" t="s">
        <v>6</v>
      </c>
      <c r="L5" s="27" t="s">
        <v>7</v>
      </c>
      <c r="M5" s="29" t="s">
        <v>125</v>
      </c>
      <c r="N5" s="27" t="s">
        <v>125</v>
      </c>
      <c r="O5" s="30" t="s">
        <v>126</v>
      </c>
      <c r="P5" s="30" t="s">
        <v>126</v>
      </c>
      <c r="Q5" s="27" t="s">
        <v>127</v>
      </c>
      <c r="R5" s="27" t="s">
        <v>5</v>
      </c>
      <c r="S5" s="27" t="s">
        <v>6</v>
      </c>
      <c r="T5" s="27" t="s">
        <v>7</v>
      </c>
      <c r="U5" s="29" t="s">
        <v>125</v>
      </c>
      <c r="V5" s="27" t="s">
        <v>125</v>
      </c>
      <c r="W5" s="30" t="s">
        <v>126</v>
      </c>
      <c r="X5" s="30" t="s">
        <v>126</v>
      </c>
      <c r="Y5" s="27" t="s">
        <v>127</v>
      </c>
      <c r="Z5" s="27" t="s">
        <v>5</v>
      </c>
      <c r="AA5" s="27" t="s">
        <v>6</v>
      </c>
      <c r="AB5" s="27" t="s">
        <v>7</v>
      </c>
      <c r="AC5" s="29" t="s">
        <v>125</v>
      </c>
      <c r="AD5" s="27" t="s">
        <v>125</v>
      </c>
      <c r="AE5" s="30" t="s">
        <v>126</v>
      </c>
      <c r="AF5" s="30" t="s">
        <v>126</v>
      </c>
      <c r="AG5" s="27" t="s">
        <v>127</v>
      </c>
      <c r="AH5" s="27" t="s">
        <v>5</v>
      </c>
      <c r="AI5" s="2"/>
      <c r="AK5" s="6">
        <f>COUNTIF($E5:$AI5,"ST*")</f>
        <v>0</v>
      </c>
      <c r="AL5" s="6">
        <f>COUNTIF($E5:$AI5,"M*")</f>
        <v>8</v>
      </c>
      <c r="AM5" s="6">
        <f>COUNTIF($E5:$AI5,"A*")</f>
        <v>8</v>
      </c>
      <c r="AN5" s="6">
        <f>COUNTIF($E5:$AI5,"N*")</f>
        <v>4</v>
      </c>
      <c r="AO5" s="6">
        <f>COUNTIF($E5:$AI5,"O*")</f>
        <v>10</v>
      </c>
    </row>
    <row r="6" spans="2:41" ht="18.75" x14ac:dyDescent="0.25">
      <c r="B6" s="58" t="s">
        <v>115</v>
      </c>
      <c r="C6" s="58"/>
      <c r="E6" s="30" t="s">
        <v>126</v>
      </c>
      <c r="F6" s="30" t="s">
        <v>126</v>
      </c>
      <c r="G6" s="27" t="s">
        <v>127</v>
      </c>
      <c r="H6" s="33" t="s">
        <v>135</v>
      </c>
      <c r="I6" s="27" t="s">
        <v>5</v>
      </c>
      <c r="J6" s="27" t="s">
        <v>6</v>
      </c>
      <c r="K6" s="27" t="s">
        <v>7</v>
      </c>
      <c r="L6" s="29" t="s">
        <v>125</v>
      </c>
      <c r="M6" s="30" t="s">
        <v>126</v>
      </c>
      <c r="N6" s="30" t="s">
        <v>126</v>
      </c>
      <c r="O6" s="27" t="s">
        <v>127</v>
      </c>
      <c r="P6" s="27" t="s">
        <v>127</v>
      </c>
      <c r="Q6" s="27" t="s">
        <v>5</v>
      </c>
      <c r="R6" s="27" t="s">
        <v>6</v>
      </c>
      <c r="S6" s="27" t="s">
        <v>7</v>
      </c>
      <c r="T6" s="29" t="s">
        <v>125</v>
      </c>
      <c r="U6" s="30" t="s">
        <v>126</v>
      </c>
      <c r="V6" s="30" t="s">
        <v>126</v>
      </c>
      <c r="W6" s="27" t="s">
        <v>127</v>
      </c>
      <c r="X6" s="27" t="s">
        <v>127</v>
      </c>
      <c r="Y6" s="27" t="s">
        <v>5</v>
      </c>
      <c r="Z6" s="27" t="s">
        <v>6</v>
      </c>
      <c r="AA6" s="27" t="s">
        <v>7</v>
      </c>
      <c r="AB6" s="29" t="s">
        <v>125</v>
      </c>
      <c r="AC6" s="30" t="s">
        <v>126</v>
      </c>
      <c r="AD6" s="30" t="s">
        <v>126</v>
      </c>
      <c r="AE6" s="27" t="s">
        <v>127</v>
      </c>
      <c r="AF6" s="27" t="s">
        <v>127</v>
      </c>
      <c r="AG6" s="27" t="s">
        <v>5</v>
      </c>
      <c r="AH6" s="27" t="s">
        <v>6</v>
      </c>
      <c r="AI6" s="2"/>
      <c r="AK6" s="6">
        <f t="shared" ref="AK6:AK17" si="0">COUNTIF($E6:$AI6,"ST*")</f>
        <v>0</v>
      </c>
      <c r="AL6" s="6">
        <f t="shared" ref="AL6:AL17" si="1">COUNTIF($E6:$AI6,"M*")</f>
        <v>3</v>
      </c>
      <c r="AM6" s="6">
        <f t="shared" ref="AM6:AM17" si="2">COUNTIF($E6:$AI6,"A*")</f>
        <v>8</v>
      </c>
      <c r="AN6" s="6">
        <f t="shared" ref="AN6:AN17" si="3">COUNTIF($E6:$AI6,"N*")</f>
        <v>7</v>
      </c>
      <c r="AO6" s="6">
        <f t="shared" ref="AO6:AO17" si="4">COUNTIF($E6:$AI6,"O*")</f>
        <v>11</v>
      </c>
    </row>
    <row r="7" spans="2:41" ht="18.75" x14ac:dyDescent="0.25">
      <c r="B7" s="58" t="s">
        <v>121</v>
      </c>
      <c r="C7" s="58"/>
      <c r="E7" s="30" t="s">
        <v>126</v>
      </c>
      <c r="F7" s="27" t="s">
        <v>127</v>
      </c>
      <c r="G7" s="27" t="s">
        <v>127</v>
      </c>
      <c r="H7" s="27" t="s">
        <v>5</v>
      </c>
      <c r="I7" s="27" t="s">
        <v>6</v>
      </c>
      <c r="J7" s="27" t="s">
        <v>7</v>
      </c>
      <c r="K7" s="29" t="s">
        <v>125</v>
      </c>
      <c r="L7" s="29" t="s">
        <v>125</v>
      </c>
      <c r="M7" s="30" t="s">
        <v>126</v>
      </c>
      <c r="N7" s="27" t="s">
        <v>127</v>
      </c>
      <c r="O7" s="27" t="s">
        <v>127</v>
      </c>
      <c r="P7" s="27" t="s">
        <v>5</v>
      </c>
      <c r="Q7" s="27" t="s">
        <v>6</v>
      </c>
      <c r="R7" s="27" t="s">
        <v>7</v>
      </c>
      <c r="S7" s="29" t="s">
        <v>125</v>
      </c>
      <c r="T7" s="29" t="s">
        <v>125</v>
      </c>
      <c r="U7" s="30" t="s">
        <v>126</v>
      </c>
      <c r="V7" s="27" t="s">
        <v>127</v>
      </c>
      <c r="W7" s="27" t="s">
        <v>127</v>
      </c>
      <c r="X7" s="27" t="s">
        <v>5</v>
      </c>
      <c r="Y7" s="27" t="s">
        <v>6</v>
      </c>
      <c r="Z7" s="27" t="s">
        <v>7</v>
      </c>
      <c r="AA7" s="29" t="s">
        <v>125</v>
      </c>
      <c r="AB7" s="29" t="s">
        <v>125</v>
      </c>
      <c r="AC7" s="30" t="s">
        <v>126</v>
      </c>
      <c r="AD7" s="27" t="s">
        <v>127</v>
      </c>
      <c r="AE7" s="27" t="s">
        <v>127</v>
      </c>
      <c r="AF7" s="27" t="s">
        <v>5</v>
      </c>
      <c r="AG7" s="27" t="s">
        <v>6</v>
      </c>
      <c r="AH7" s="27" t="s">
        <v>7</v>
      </c>
      <c r="AI7" s="2"/>
      <c r="AK7" s="6">
        <f t="shared" si="0"/>
        <v>0</v>
      </c>
      <c r="AL7" s="6">
        <f t="shared" si="1"/>
        <v>6</v>
      </c>
      <c r="AM7" s="6">
        <f t="shared" si="2"/>
        <v>4</v>
      </c>
      <c r="AN7" s="6">
        <f t="shared" si="3"/>
        <v>8</v>
      </c>
      <c r="AO7" s="6">
        <f t="shared" si="4"/>
        <v>12</v>
      </c>
    </row>
    <row r="8" spans="2:41" ht="18.75" x14ac:dyDescent="0.25">
      <c r="B8" s="58" t="s">
        <v>116</v>
      </c>
      <c r="C8" s="58"/>
      <c r="E8" s="27" t="s">
        <v>127</v>
      </c>
      <c r="F8" s="27" t="s">
        <v>127</v>
      </c>
      <c r="G8" s="27" t="s">
        <v>5</v>
      </c>
      <c r="H8" s="27" t="s">
        <v>6</v>
      </c>
      <c r="I8" s="27" t="s">
        <v>7</v>
      </c>
      <c r="J8" s="29" t="s">
        <v>125</v>
      </c>
      <c r="K8" s="29" t="s">
        <v>125</v>
      </c>
      <c r="L8" s="30" t="s">
        <v>126</v>
      </c>
      <c r="M8" s="27" t="s">
        <v>127</v>
      </c>
      <c r="N8" s="27" t="s">
        <v>127</v>
      </c>
      <c r="O8" s="27" t="s">
        <v>5</v>
      </c>
      <c r="P8" s="27" t="s">
        <v>6</v>
      </c>
      <c r="Q8" s="27" t="s">
        <v>7</v>
      </c>
      <c r="R8" s="29" t="s">
        <v>125</v>
      </c>
      <c r="S8" s="29" t="s">
        <v>125</v>
      </c>
      <c r="T8" s="30" t="s">
        <v>126</v>
      </c>
      <c r="U8" s="27" t="s">
        <v>127</v>
      </c>
      <c r="V8" s="27" t="s">
        <v>127</v>
      </c>
      <c r="W8" s="27" t="s">
        <v>5</v>
      </c>
      <c r="X8" s="27" t="s">
        <v>6</v>
      </c>
      <c r="Y8" s="27" t="s">
        <v>7</v>
      </c>
      <c r="Z8" s="29" t="s">
        <v>125</v>
      </c>
      <c r="AA8" s="29" t="s">
        <v>125</v>
      </c>
      <c r="AB8" s="30" t="s">
        <v>126</v>
      </c>
      <c r="AC8" s="27" t="s">
        <v>127</v>
      </c>
      <c r="AD8" s="27" t="s">
        <v>127</v>
      </c>
      <c r="AE8" s="27" t="s">
        <v>5</v>
      </c>
      <c r="AF8" s="27" t="s">
        <v>6</v>
      </c>
      <c r="AG8" s="27" t="s">
        <v>7</v>
      </c>
      <c r="AH8" s="29" t="s">
        <v>125</v>
      </c>
      <c r="AI8" s="2"/>
      <c r="AK8" s="6">
        <f t="shared" si="0"/>
        <v>0</v>
      </c>
      <c r="AL8" s="6">
        <f t="shared" si="1"/>
        <v>7</v>
      </c>
      <c r="AM8" s="6">
        <f t="shared" si="2"/>
        <v>3</v>
      </c>
      <c r="AN8" s="6">
        <f t="shared" si="3"/>
        <v>8</v>
      </c>
      <c r="AO8" s="6">
        <f t="shared" si="4"/>
        <v>12</v>
      </c>
    </row>
    <row r="9" spans="2:41" ht="18.75" x14ac:dyDescent="0.25">
      <c r="B9" s="58" t="s">
        <v>117</v>
      </c>
      <c r="C9" s="58"/>
      <c r="E9" s="27" t="s">
        <v>127</v>
      </c>
      <c r="F9" s="27" t="s">
        <v>5</v>
      </c>
      <c r="G9" s="27" t="s">
        <v>6</v>
      </c>
      <c r="H9" s="27" t="s">
        <v>7</v>
      </c>
      <c r="I9" s="29" t="s">
        <v>125</v>
      </c>
      <c r="J9" s="29" t="s">
        <v>125</v>
      </c>
      <c r="K9" s="30" t="s">
        <v>126</v>
      </c>
      <c r="L9" s="30" t="s">
        <v>126</v>
      </c>
      <c r="M9" s="27" t="s">
        <v>127</v>
      </c>
      <c r="N9" s="27" t="s">
        <v>5</v>
      </c>
      <c r="O9" s="27" t="s">
        <v>6</v>
      </c>
      <c r="P9" s="27" t="s">
        <v>7</v>
      </c>
      <c r="Q9" s="29" t="s">
        <v>125</v>
      </c>
      <c r="R9" s="29" t="s">
        <v>125</v>
      </c>
      <c r="S9" s="30" t="s">
        <v>126</v>
      </c>
      <c r="T9" s="30" t="s">
        <v>126</v>
      </c>
      <c r="U9" s="27" t="s">
        <v>127</v>
      </c>
      <c r="V9" s="27" t="s">
        <v>5</v>
      </c>
      <c r="W9" s="27" t="s">
        <v>6</v>
      </c>
      <c r="X9" s="27" t="s">
        <v>7</v>
      </c>
      <c r="Y9" s="29" t="s">
        <v>125</v>
      </c>
      <c r="Z9" s="29" t="s">
        <v>125</v>
      </c>
      <c r="AA9" s="30" t="s">
        <v>126</v>
      </c>
      <c r="AB9" s="30" t="s">
        <v>126</v>
      </c>
      <c r="AC9" s="27" t="s">
        <v>127</v>
      </c>
      <c r="AD9" s="27" t="s">
        <v>5</v>
      </c>
      <c r="AE9" s="27" t="s">
        <v>6</v>
      </c>
      <c r="AF9" s="27" t="s">
        <v>7</v>
      </c>
      <c r="AG9" s="29" t="s">
        <v>125</v>
      </c>
      <c r="AH9" s="29" t="s">
        <v>125</v>
      </c>
      <c r="AI9" s="2"/>
      <c r="AK9" s="6">
        <f t="shared" si="0"/>
        <v>0</v>
      </c>
      <c r="AL9" s="6">
        <f t="shared" si="1"/>
        <v>8</v>
      </c>
      <c r="AM9" s="6">
        <f t="shared" si="2"/>
        <v>6</v>
      </c>
      <c r="AN9" s="6">
        <f t="shared" si="3"/>
        <v>4</v>
      </c>
      <c r="AO9" s="6">
        <f t="shared" si="4"/>
        <v>12</v>
      </c>
    </row>
    <row r="10" spans="2:41" ht="18.75" x14ac:dyDescent="0.25">
      <c r="B10" s="58" t="s">
        <v>118</v>
      </c>
      <c r="C10" s="58"/>
      <c r="E10" s="27" t="s">
        <v>5</v>
      </c>
      <c r="F10" s="27" t="s">
        <v>6</v>
      </c>
      <c r="G10" s="27" t="s">
        <v>7</v>
      </c>
      <c r="H10" s="29" t="s">
        <v>125</v>
      </c>
      <c r="I10" s="27" t="s">
        <v>131</v>
      </c>
      <c r="J10" s="30" t="s">
        <v>126</v>
      </c>
      <c r="K10" s="30" t="s">
        <v>126</v>
      </c>
      <c r="L10" s="27" t="s">
        <v>127</v>
      </c>
      <c r="M10" s="27" t="s">
        <v>5</v>
      </c>
      <c r="N10" s="27" t="s">
        <v>6</v>
      </c>
      <c r="O10" s="27" t="s">
        <v>7</v>
      </c>
      <c r="P10" s="29" t="s">
        <v>125</v>
      </c>
      <c r="Q10" s="27" t="s">
        <v>131</v>
      </c>
      <c r="R10" s="30" t="s">
        <v>126</v>
      </c>
      <c r="S10" s="30" t="s">
        <v>126</v>
      </c>
      <c r="T10" s="27" t="s">
        <v>127</v>
      </c>
      <c r="U10" s="27" t="s">
        <v>5</v>
      </c>
      <c r="V10" s="27" t="s">
        <v>6</v>
      </c>
      <c r="W10" s="27" t="s">
        <v>7</v>
      </c>
      <c r="X10" s="29" t="s">
        <v>125</v>
      </c>
      <c r="Y10" s="27" t="s">
        <v>131</v>
      </c>
      <c r="Z10" s="30" t="s">
        <v>126</v>
      </c>
      <c r="AA10" s="30" t="s">
        <v>126</v>
      </c>
      <c r="AB10" s="27" t="s">
        <v>127</v>
      </c>
      <c r="AC10" s="27" t="s">
        <v>5</v>
      </c>
      <c r="AD10" s="27" t="s">
        <v>6</v>
      </c>
      <c r="AE10" s="27" t="s">
        <v>7</v>
      </c>
      <c r="AF10" s="29" t="s">
        <v>125</v>
      </c>
      <c r="AG10" s="27" t="s">
        <v>131</v>
      </c>
      <c r="AH10" s="30" t="s">
        <v>126</v>
      </c>
      <c r="AI10" s="2"/>
      <c r="AK10" s="6">
        <f t="shared" si="0"/>
        <v>4</v>
      </c>
      <c r="AL10" s="6">
        <f t="shared" si="1"/>
        <v>4</v>
      </c>
      <c r="AM10" s="6">
        <f t="shared" si="2"/>
        <v>7</v>
      </c>
      <c r="AN10" s="6">
        <f t="shared" si="3"/>
        <v>3</v>
      </c>
      <c r="AO10" s="6">
        <f t="shared" si="4"/>
        <v>12</v>
      </c>
    </row>
    <row r="11" spans="2:41" ht="18.75" x14ac:dyDescent="0.25">
      <c r="B11" s="58" t="s">
        <v>119</v>
      </c>
      <c r="C11" s="58"/>
      <c r="E11" s="27" t="s">
        <v>6</v>
      </c>
      <c r="F11" s="27" t="s">
        <v>7</v>
      </c>
      <c r="G11" s="29" t="s">
        <v>125</v>
      </c>
      <c r="H11" s="30" t="s">
        <v>126</v>
      </c>
      <c r="I11" s="30" t="s">
        <v>126</v>
      </c>
      <c r="J11" s="27" t="s">
        <v>127</v>
      </c>
      <c r="K11" s="27" t="s">
        <v>127</v>
      </c>
      <c r="L11" s="27" t="s">
        <v>5</v>
      </c>
      <c r="M11" s="27" t="s">
        <v>6</v>
      </c>
      <c r="N11" s="27" t="s">
        <v>7</v>
      </c>
      <c r="O11" s="29" t="s">
        <v>125</v>
      </c>
      <c r="P11" s="27" t="s">
        <v>131</v>
      </c>
      <c r="Q11" s="30" t="s">
        <v>126</v>
      </c>
      <c r="R11" s="27" t="s">
        <v>127</v>
      </c>
      <c r="S11" s="27" t="s">
        <v>127</v>
      </c>
      <c r="T11" s="27" t="s">
        <v>5</v>
      </c>
      <c r="U11" s="27" t="s">
        <v>6</v>
      </c>
      <c r="V11" s="27" t="s">
        <v>7</v>
      </c>
      <c r="W11" s="29" t="s">
        <v>125</v>
      </c>
      <c r="X11" s="27" t="s">
        <v>131</v>
      </c>
      <c r="Y11" s="30" t="s">
        <v>126</v>
      </c>
      <c r="Z11" s="27" t="s">
        <v>127</v>
      </c>
      <c r="AA11" s="27" t="s">
        <v>127</v>
      </c>
      <c r="AB11" s="27" t="s">
        <v>5</v>
      </c>
      <c r="AC11" s="27" t="s">
        <v>6</v>
      </c>
      <c r="AD11" s="27" t="s">
        <v>7</v>
      </c>
      <c r="AE11" s="29" t="s">
        <v>125</v>
      </c>
      <c r="AF11" s="27" t="s">
        <v>131</v>
      </c>
      <c r="AG11" s="30" t="s">
        <v>126</v>
      </c>
      <c r="AH11" s="27" t="s">
        <v>127</v>
      </c>
      <c r="AI11" s="2"/>
      <c r="AK11" s="6">
        <f t="shared" si="0"/>
        <v>3</v>
      </c>
      <c r="AL11" s="6">
        <f t="shared" si="1"/>
        <v>4</v>
      </c>
      <c r="AM11" s="6">
        <f t="shared" si="2"/>
        <v>5</v>
      </c>
      <c r="AN11" s="6">
        <f t="shared" si="3"/>
        <v>7</v>
      </c>
      <c r="AO11" s="6">
        <f t="shared" si="4"/>
        <v>11</v>
      </c>
    </row>
    <row r="12" spans="2:41" ht="18.75" x14ac:dyDescent="0.25">
      <c r="B12" s="58" t="s">
        <v>120</v>
      </c>
      <c r="C12" s="58"/>
      <c r="E12" s="27" t="s">
        <v>7</v>
      </c>
      <c r="F12" s="33" t="s">
        <v>135</v>
      </c>
      <c r="G12" s="29" t="s">
        <v>125</v>
      </c>
      <c r="H12" s="27" t="s">
        <v>132</v>
      </c>
      <c r="I12" s="30" t="s">
        <v>126</v>
      </c>
      <c r="J12" s="27" t="s">
        <v>127</v>
      </c>
      <c r="K12" s="27" t="s">
        <v>5</v>
      </c>
      <c r="L12" s="27" t="s">
        <v>6</v>
      </c>
      <c r="M12" s="27" t="s">
        <v>7</v>
      </c>
      <c r="N12" s="29" t="s">
        <v>125</v>
      </c>
      <c r="O12" s="29" t="s">
        <v>125</v>
      </c>
      <c r="P12" s="30" t="s">
        <v>126</v>
      </c>
      <c r="Q12" s="30" t="s">
        <v>126</v>
      </c>
      <c r="R12" s="27" t="s">
        <v>127</v>
      </c>
      <c r="S12" s="27" t="s">
        <v>5</v>
      </c>
      <c r="T12" s="27" t="s">
        <v>6</v>
      </c>
      <c r="U12" s="27" t="s">
        <v>7</v>
      </c>
      <c r="V12" s="29" t="s">
        <v>125</v>
      </c>
      <c r="W12" s="29" t="s">
        <v>125</v>
      </c>
      <c r="X12" s="30" t="s">
        <v>126</v>
      </c>
      <c r="Y12" s="30" t="s">
        <v>126</v>
      </c>
      <c r="Z12" s="27" t="s">
        <v>127</v>
      </c>
      <c r="AA12" s="27" t="s">
        <v>5</v>
      </c>
      <c r="AB12" s="27" t="s">
        <v>6</v>
      </c>
      <c r="AC12" s="27" t="s">
        <v>7</v>
      </c>
      <c r="AD12" s="29" t="s">
        <v>125</v>
      </c>
      <c r="AE12" s="29" t="s">
        <v>125</v>
      </c>
      <c r="AF12" s="30" t="s">
        <v>126</v>
      </c>
      <c r="AG12" s="30" t="s">
        <v>126</v>
      </c>
      <c r="AH12" s="27" t="s">
        <v>127</v>
      </c>
      <c r="AI12" s="2"/>
      <c r="AK12" s="6">
        <f t="shared" si="0"/>
        <v>1</v>
      </c>
      <c r="AL12" s="6">
        <f t="shared" si="1"/>
        <v>7</v>
      </c>
      <c r="AM12" s="6">
        <f t="shared" si="2"/>
        <v>7</v>
      </c>
      <c r="AN12" s="6">
        <f t="shared" si="3"/>
        <v>4</v>
      </c>
      <c r="AO12" s="6">
        <f t="shared" si="4"/>
        <v>10</v>
      </c>
    </row>
    <row r="13" spans="2:41" ht="18.75" x14ac:dyDescent="0.25">
      <c r="B13" s="58" t="s">
        <v>114</v>
      </c>
      <c r="C13" s="58"/>
      <c r="E13" s="29" t="s">
        <v>125</v>
      </c>
      <c r="F13" s="30" t="s">
        <v>126</v>
      </c>
      <c r="G13" s="30" t="s">
        <v>126</v>
      </c>
      <c r="H13" s="27" t="s">
        <v>127</v>
      </c>
      <c r="I13" s="27" t="s">
        <v>127</v>
      </c>
      <c r="J13" s="27" t="s">
        <v>5</v>
      </c>
      <c r="K13" s="27" t="s">
        <v>6</v>
      </c>
      <c r="L13" s="27" t="s">
        <v>7</v>
      </c>
      <c r="M13" s="29" t="s">
        <v>125</v>
      </c>
      <c r="N13" s="30" t="s">
        <v>126</v>
      </c>
      <c r="O13" s="30" t="s">
        <v>126</v>
      </c>
      <c r="P13" s="27" t="s">
        <v>127</v>
      </c>
      <c r="Q13" s="27" t="s">
        <v>127</v>
      </c>
      <c r="R13" s="27" t="s">
        <v>5</v>
      </c>
      <c r="S13" s="27" t="s">
        <v>6</v>
      </c>
      <c r="T13" s="27" t="s">
        <v>7</v>
      </c>
      <c r="U13" s="29" t="s">
        <v>125</v>
      </c>
      <c r="V13" s="30" t="s">
        <v>126</v>
      </c>
      <c r="W13" s="30" t="s">
        <v>126</v>
      </c>
      <c r="X13" s="27" t="s">
        <v>127</v>
      </c>
      <c r="Y13" s="27" t="s">
        <v>127</v>
      </c>
      <c r="Z13" s="27" t="s">
        <v>5</v>
      </c>
      <c r="AA13" s="27" t="s">
        <v>6</v>
      </c>
      <c r="AB13" s="27" t="s">
        <v>7</v>
      </c>
      <c r="AC13" s="29" t="s">
        <v>125</v>
      </c>
      <c r="AD13" s="30" t="s">
        <v>126</v>
      </c>
      <c r="AE13" s="30" t="s">
        <v>126</v>
      </c>
      <c r="AF13" s="27" t="s">
        <v>127</v>
      </c>
      <c r="AG13" s="27" t="s">
        <v>127</v>
      </c>
      <c r="AH13" s="27" t="s">
        <v>5</v>
      </c>
      <c r="AI13" s="2"/>
      <c r="AK13" s="6">
        <f t="shared" si="0"/>
        <v>0</v>
      </c>
      <c r="AL13" s="6">
        <f t="shared" si="1"/>
        <v>4</v>
      </c>
      <c r="AM13" s="6">
        <f t="shared" si="2"/>
        <v>8</v>
      </c>
      <c r="AN13" s="6">
        <f t="shared" si="3"/>
        <v>8</v>
      </c>
      <c r="AO13" s="6">
        <f t="shared" si="4"/>
        <v>10</v>
      </c>
    </row>
    <row r="14" spans="2:41" ht="18.75" x14ac:dyDescent="0.25">
      <c r="B14" s="58" t="s">
        <v>137</v>
      </c>
      <c r="C14" s="58"/>
      <c r="E14" s="29" t="s">
        <v>125</v>
      </c>
      <c r="F14" s="29" t="s">
        <v>125</v>
      </c>
      <c r="G14" s="27" t="s">
        <v>7</v>
      </c>
      <c r="H14" s="29" t="s">
        <v>125</v>
      </c>
      <c r="I14" s="29" t="s">
        <v>125</v>
      </c>
      <c r="J14" s="30" t="s">
        <v>126</v>
      </c>
      <c r="K14" s="27" t="s">
        <v>127</v>
      </c>
      <c r="L14" s="27" t="s">
        <v>127</v>
      </c>
      <c r="M14" s="29" t="s">
        <v>125</v>
      </c>
      <c r="N14" s="29" t="s">
        <v>125</v>
      </c>
      <c r="O14" s="34" t="s">
        <v>135</v>
      </c>
      <c r="P14" s="33" t="s">
        <v>135</v>
      </c>
      <c r="Q14" s="29" t="s">
        <v>125</v>
      </c>
      <c r="R14" s="30" t="s">
        <v>126</v>
      </c>
      <c r="S14" s="27" t="s">
        <v>127</v>
      </c>
      <c r="T14" s="27" t="s">
        <v>127</v>
      </c>
      <c r="U14" s="27" t="s">
        <v>5</v>
      </c>
      <c r="V14" s="27" t="s">
        <v>6</v>
      </c>
      <c r="W14" s="27" t="s">
        <v>7</v>
      </c>
      <c r="X14" s="29" t="s">
        <v>125</v>
      </c>
      <c r="Y14" s="29" t="s">
        <v>125</v>
      </c>
      <c r="Z14" s="30" t="s">
        <v>126</v>
      </c>
      <c r="AA14" s="27" t="s">
        <v>127</v>
      </c>
      <c r="AB14" s="27" t="s">
        <v>127</v>
      </c>
      <c r="AC14" s="27" t="s">
        <v>5</v>
      </c>
      <c r="AD14" s="27" t="s">
        <v>6</v>
      </c>
      <c r="AE14" s="27" t="s">
        <v>7</v>
      </c>
      <c r="AF14" s="29" t="s">
        <v>125</v>
      </c>
      <c r="AG14" s="29" t="s">
        <v>125</v>
      </c>
      <c r="AH14" s="30" t="s">
        <v>126</v>
      </c>
      <c r="AI14" s="2"/>
      <c r="AK14" s="6"/>
      <c r="AL14" s="6"/>
      <c r="AM14" s="6"/>
      <c r="AN14" s="6"/>
      <c r="AO14" s="6"/>
    </row>
    <row r="15" spans="2:41" ht="18.75" x14ac:dyDescent="0.25">
      <c r="B15" s="58" t="s">
        <v>122</v>
      </c>
      <c r="C15" s="58"/>
      <c r="E15" s="27" t="s">
        <v>6</v>
      </c>
      <c r="F15" s="30" t="s">
        <v>129</v>
      </c>
      <c r="G15" s="30" t="s">
        <v>129</v>
      </c>
      <c r="H15" s="30" t="s">
        <v>129</v>
      </c>
      <c r="I15" s="30" t="s">
        <v>129</v>
      </c>
      <c r="J15" s="30" t="s">
        <v>129</v>
      </c>
      <c r="K15" s="27" t="s">
        <v>5</v>
      </c>
      <c r="L15" s="27" t="s">
        <v>6</v>
      </c>
      <c r="M15" s="29" t="s">
        <v>125</v>
      </c>
      <c r="N15" s="29" t="s">
        <v>125</v>
      </c>
      <c r="O15" s="29" t="s">
        <v>125</v>
      </c>
      <c r="P15" s="29" t="s">
        <v>125</v>
      </c>
      <c r="Q15" s="29" t="s">
        <v>125</v>
      </c>
      <c r="R15" s="27" t="s">
        <v>5</v>
      </c>
      <c r="S15" s="27" t="s">
        <v>6</v>
      </c>
      <c r="T15" s="30" t="s">
        <v>129</v>
      </c>
      <c r="U15" s="30" t="s">
        <v>129</v>
      </c>
      <c r="V15" s="30" t="s">
        <v>129</v>
      </c>
      <c r="W15" s="30" t="s">
        <v>129</v>
      </c>
      <c r="X15" s="30" t="s">
        <v>129</v>
      </c>
      <c r="Y15" s="27" t="s">
        <v>5</v>
      </c>
      <c r="Z15" s="27" t="s">
        <v>6</v>
      </c>
      <c r="AA15" s="29" t="s">
        <v>125</v>
      </c>
      <c r="AB15" s="29" t="s">
        <v>125</v>
      </c>
      <c r="AC15" s="29" t="s">
        <v>125</v>
      </c>
      <c r="AD15" s="29" t="s">
        <v>125</v>
      </c>
      <c r="AE15" s="29" t="s">
        <v>125</v>
      </c>
      <c r="AF15" s="27" t="s">
        <v>5</v>
      </c>
      <c r="AG15" s="27" t="s">
        <v>6</v>
      </c>
      <c r="AH15" s="30" t="s">
        <v>129</v>
      </c>
      <c r="AI15" s="2"/>
      <c r="AK15" s="6"/>
      <c r="AL15" s="6"/>
      <c r="AM15" s="6"/>
      <c r="AN15" s="6"/>
      <c r="AO15" s="6"/>
    </row>
    <row r="16" spans="2:41" ht="18.75" x14ac:dyDescent="0.25">
      <c r="B16" s="58" t="s">
        <v>124</v>
      </c>
      <c r="C16" s="58"/>
      <c r="E16" s="27" t="s">
        <v>6</v>
      </c>
      <c r="F16" s="29" t="s">
        <v>125</v>
      </c>
      <c r="G16" s="29" t="s">
        <v>125</v>
      </c>
      <c r="H16" s="29" t="s">
        <v>125</v>
      </c>
      <c r="I16" s="29" t="s">
        <v>125</v>
      </c>
      <c r="J16" s="29" t="s">
        <v>125</v>
      </c>
      <c r="K16" s="27" t="s">
        <v>5</v>
      </c>
      <c r="L16" s="27" t="s">
        <v>6</v>
      </c>
      <c r="M16" s="30" t="s">
        <v>126</v>
      </c>
      <c r="N16" s="30" t="s">
        <v>126</v>
      </c>
      <c r="O16" s="30" t="s">
        <v>126</v>
      </c>
      <c r="P16" s="30" t="s">
        <v>126</v>
      </c>
      <c r="Q16" s="30" t="s">
        <v>126</v>
      </c>
      <c r="R16" s="27" t="s">
        <v>5</v>
      </c>
      <c r="S16" s="27" t="s">
        <v>6</v>
      </c>
      <c r="T16" s="29" t="s">
        <v>125</v>
      </c>
      <c r="U16" s="29" t="s">
        <v>125</v>
      </c>
      <c r="V16" s="29" t="s">
        <v>125</v>
      </c>
      <c r="W16" s="29" t="s">
        <v>125</v>
      </c>
      <c r="X16" s="29" t="s">
        <v>125</v>
      </c>
      <c r="Y16" s="27" t="s">
        <v>5</v>
      </c>
      <c r="Z16" s="27" t="s">
        <v>6</v>
      </c>
      <c r="AA16" s="30" t="s">
        <v>126</v>
      </c>
      <c r="AB16" s="30" t="s">
        <v>126</v>
      </c>
      <c r="AC16" s="30" t="s">
        <v>126</v>
      </c>
      <c r="AD16" s="30" t="s">
        <v>126</v>
      </c>
      <c r="AE16" s="30" t="s">
        <v>126</v>
      </c>
      <c r="AF16" s="27" t="s">
        <v>5</v>
      </c>
      <c r="AG16" s="27" t="s">
        <v>6</v>
      </c>
      <c r="AH16" s="29" t="s">
        <v>125</v>
      </c>
      <c r="AI16" s="2"/>
      <c r="AK16" s="6"/>
      <c r="AL16" s="6"/>
      <c r="AM16" s="6"/>
      <c r="AN16" s="6"/>
      <c r="AO16" s="6"/>
    </row>
    <row r="17" spans="2:41" ht="18.75" x14ac:dyDescent="0.25">
      <c r="B17" s="58" t="s">
        <v>123</v>
      </c>
      <c r="C17" s="58"/>
      <c r="E17" s="27" t="s">
        <v>6</v>
      </c>
      <c r="F17" s="29" t="s">
        <v>125</v>
      </c>
      <c r="G17" s="29" t="s">
        <v>125</v>
      </c>
      <c r="H17" s="29" t="s">
        <v>125</v>
      </c>
      <c r="I17" s="29" t="s">
        <v>125</v>
      </c>
      <c r="J17" s="29" t="s">
        <v>125</v>
      </c>
      <c r="K17" s="27" t="s">
        <v>5</v>
      </c>
      <c r="L17" s="27" t="s">
        <v>6</v>
      </c>
      <c r="M17" s="30" t="s">
        <v>129</v>
      </c>
      <c r="N17" s="30" t="s">
        <v>129</v>
      </c>
      <c r="O17" s="30" t="s">
        <v>129</v>
      </c>
      <c r="P17" s="30" t="s">
        <v>129</v>
      </c>
      <c r="Q17" s="30" t="s">
        <v>129</v>
      </c>
      <c r="R17" s="27" t="s">
        <v>5</v>
      </c>
      <c r="S17" s="27" t="s">
        <v>6</v>
      </c>
      <c r="T17" s="29" t="s">
        <v>125</v>
      </c>
      <c r="U17" s="29" t="s">
        <v>125</v>
      </c>
      <c r="V17" s="29" t="s">
        <v>125</v>
      </c>
      <c r="W17" s="29" t="s">
        <v>125</v>
      </c>
      <c r="X17" s="29" t="s">
        <v>125</v>
      </c>
      <c r="Y17" s="27" t="s">
        <v>5</v>
      </c>
      <c r="Z17" s="27" t="s">
        <v>6</v>
      </c>
      <c r="AA17" s="30" t="s">
        <v>129</v>
      </c>
      <c r="AB17" s="30" t="s">
        <v>129</v>
      </c>
      <c r="AC17" s="30" t="s">
        <v>129</v>
      </c>
      <c r="AD17" s="30" t="s">
        <v>129</v>
      </c>
      <c r="AE17" s="30" t="s">
        <v>129</v>
      </c>
      <c r="AF17" s="27" t="s">
        <v>5</v>
      </c>
      <c r="AG17" s="27" t="s">
        <v>6</v>
      </c>
      <c r="AH17" s="29" t="s">
        <v>125</v>
      </c>
      <c r="AI17" s="2"/>
      <c r="AK17" s="6">
        <f t="shared" si="0"/>
        <v>0</v>
      </c>
      <c r="AL17" s="6">
        <f t="shared" si="1"/>
        <v>21</v>
      </c>
      <c r="AM17" s="6">
        <f t="shared" si="2"/>
        <v>0</v>
      </c>
      <c r="AN17" s="6">
        <f t="shared" si="3"/>
        <v>0</v>
      </c>
      <c r="AO17" s="6">
        <f t="shared" si="4"/>
        <v>9</v>
      </c>
    </row>
    <row r="18" spans="2:41" x14ac:dyDescent="0.25">
      <c r="B18" s="59"/>
      <c r="C18" s="60"/>
      <c r="E18" s="27" t="s">
        <v>45</v>
      </c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"/>
    </row>
    <row r="19" spans="2:41" ht="18.75" x14ac:dyDescent="0.3">
      <c r="B19" s="61" t="s">
        <v>41</v>
      </c>
      <c r="C19" s="61"/>
      <c r="D19" s="20"/>
      <c r="E19" s="21">
        <f>COUNTIF(E$5:E$17,"M*")</f>
        <v>3</v>
      </c>
      <c r="F19" s="21">
        <v>3</v>
      </c>
      <c r="G19" s="21">
        <f>COUNTIF(G$5:G$17,"M*")</f>
        <v>5</v>
      </c>
      <c r="H19" s="21">
        <v>4</v>
      </c>
      <c r="I19" s="21">
        <v>5</v>
      </c>
      <c r="J19" s="21">
        <f>COUNTIF(J$5:J$17,"M*")</f>
        <v>5</v>
      </c>
      <c r="K19" s="21">
        <f>COUNTIF(K$5:K$17,"M*")</f>
        <v>2</v>
      </c>
      <c r="L19" s="21">
        <f>COUNTIF(L$5:L$17,"M*")</f>
        <v>2</v>
      </c>
      <c r="M19" s="21">
        <f>COUNTIF(M$5:M$17,"M*")</f>
        <v>5</v>
      </c>
      <c r="N19" s="21">
        <f>COUNTIF(N$5:N$17,"M*")</f>
        <v>5</v>
      </c>
      <c r="O19" s="21">
        <f>COUNTIF(O$5:O$17,"M*")</f>
        <v>4</v>
      </c>
      <c r="P19" s="21">
        <f>COUNTIF(P$5:P$17,"M*")</f>
        <v>3</v>
      </c>
      <c r="Q19" s="21">
        <f>COUNTIF(Q$5:Q$17,"M*")</f>
        <v>4</v>
      </c>
      <c r="R19" s="21">
        <f>COUNTIF(R$5:R$17,"M*")</f>
        <v>2</v>
      </c>
      <c r="S19" s="21">
        <f>COUNTIF(S$5:S$17,"M*")</f>
        <v>2</v>
      </c>
      <c r="T19" s="21">
        <f>COUNTIF(T$5:T$17,"M*")</f>
        <v>5</v>
      </c>
      <c r="U19" s="21">
        <f>COUNTIF(U$5:U$17,"M*")</f>
        <v>5</v>
      </c>
      <c r="V19" s="21">
        <f>COUNTIF(V$5:V$17,"M*")</f>
        <v>5</v>
      </c>
      <c r="W19" s="21">
        <f>COUNTIF(W$5:W$17,"M*")</f>
        <v>5</v>
      </c>
      <c r="X19" s="21">
        <f>COUNTIF(X$5:X$17,"M*")</f>
        <v>5</v>
      </c>
      <c r="Y19" s="21">
        <f>COUNTIF(Y$5:Y$17,"M*")</f>
        <v>2</v>
      </c>
      <c r="Z19" s="21">
        <f>COUNTIF(Z$5:Z$17,"M*")</f>
        <v>2</v>
      </c>
      <c r="AA19" s="21">
        <f>COUNTIF(AA$5:AA$17,"M*")</f>
        <v>4</v>
      </c>
      <c r="AB19" s="21">
        <f>COUNTIF(AB$5:AB$17,"M*")</f>
        <v>4</v>
      </c>
      <c r="AC19" s="21">
        <f>COUNTIF(AC$5:AC$17,"M*")</f>
        <v>4</v>
      </c>
      <c r="AD19" s="21">
        <f>COUNTIF(AD$5:AD$17,"M*")</f>
        <v>4</v>
      </c>
      <c r="AE19" s="21">
        <f>COUNTIF(AE$5:AE$17,"M*")</f>
        <v>4</v>
      </c>
      <c r="AF19" s="21">
        <f>COUNTIF(AF$5:AF$17,"M*")</f>
        <v>2</v>
      </c>
      <c r="AG19" s="21">
        <f>COUNTIF(AG$5:AG$17,"M*")</f>
        <v>2</v>
      </c>
      <c r="AH19" s="21">
        <f>COUNTIF(AH$5:AH$17,"M*")</f>
        <v>5</v>
      </c>
      <c r="AI19" s="21" t="s">
        <v>45</v>
      </c>
    </row>
    <row r="20" spans="2:41" ht="18.75" x14ac:dyDescent="0.3">
      <c r="B20" s="61" t="s">
        <v>42</v>
      </c>
      <c r="C20" s="61"/>
      <c r="D20" s="20"/>
      <c r="E20" s="21">
        <f>COUNTIF(E$5:E$17,"A*")</f>
        <v>2</v>
      </c>
      <c r="F20" s="21">
        <v>4</v>
      </c>
      <c r="G20" s="21">
        <f>COUNTIF(G$5:G$17,"A*")</f>
        <v>2</v>
      </c>
      <c r="H20" s="21">
        <v>5</v>
      </c>
      <c r="I20" s="21">
        <f>COUNTIF(I$5:I$17,"A*")</f>
        <v>2</v>
      </c>
      <c r="J20" s="21">
        <f>COUNTIF(J$5:J$17,"A*")</f>
        <v>2</v>
      </c>
      <c r="K20" s="21">
        <f>COUNTIF(K$5:K$17,"A*")</f>
        <v>2</v>
      </c>
      <c r="L20" s="21">
        <f>COUNTIF(L$5:L$17,"A*")</f>
        <v>2</v>
      </c>
      <c r="M20" s="21">
        <f>COUNTIF(M$5:M$17,"A*")</f>
        <v>3</v>
      </c>
      <c r="N20" s="21">
        <f>COUNTIF(N$5:N$17,"A*")</f>
        <v>3</v>
      </c>
      <c r="O20" s="21">
        <f>COUNTIF(O$5:O$17,"A*")</f>
        <v>3</v>
      </c>
      <c r="P20" s="21">
        <f>COUNTIF(P$5:P$17,"A*")</f>
        <v>3</v>
      </c>
      <c r="Q20" s="21">
        <f>COUNTIF(Q$5:Q$17,"A*")</f>
        <v>3</v>
      </c>
      <c r="R20" s="21">
        <f>COUNTIF(R$5:R$17,"A*")</f>
        <v>2</v>
      </c>
      <c r="S20" s="21">
        <f>COUNTIF(S$5:S$17,"A*")</f>
        <v>2</v>
      </c>
      <c r="T20" s="21">
        <f>COUNTIF(T$5:T$17,"A*")</f>
        <v>2</v>
      </c>
      <c r="U20" s="21">
        <f>COUNTIF(U$5:U$17,"A*")</f>
        <v>2</v>
      </c>
      <c r="V20" s="21">
        <f>COUNTIF(V$5:V$17,"A*")</f>
        <v>2</v>
      </c>
      <c r="W20" s="21">
        <f>COUNTIF(W$5:W$17,"A*")</f>
        <v>2</v>
      </c>
      <c r="X20" s="21">
        <f>COUNTIF(X$5:X$17,"A*")</f>
        <v>2</v>
      </c>
      <c r="Y20" s="21">
        <f>COUNTIF(Y$5:Y$17,"A*")</f>
        <v>2</v>
      </c>
      <c r="Z20" s="21">
        <f>COUNTIF(Z$5:Z$17,"A*")</f>
        <v>2</v>
      </c>
      <c r="AA20" s="21">
        <f>COUNTIF(AA$5:AA$17,"A*")</f>
        <v>3</v>
      </c>
      <c r="AB20" s="21">
        <f>COUNTIF(AB$5:AB$17,"A*")</f>
        <v>3</v>
      </c>
      <c r="AC20" s="21">
        <f>COUNTIF(AC$5:AC$17,"A*")</f>
        <v>3</v>
      </c>
      <c r="AD20" s="21">
        <f>COUNTIF(AD$5:AD$17,"A*")</f>
        <v>3</v>
      </c>
      <c r="AE20" s="21">
        <f>COUNTIF(AE$5:AE$17,"A*")</f>
        <v>3</v>
      </c>
      <c r="AF20" s="21">
        <f>COUNTIF(AF$5:AF$17,"A*")</f>
        <v>2</v>
      </c>
      <c r="AG20" s="21">
        <f>COUNTIF(AG$5:AG$17,"A*")</f>
        <v>2</v>
      </c>
      <c r="AH20" s="21">
        <f>COUNTIF(AH$5:AH$17,"A*")</f>
        <v>2</v>
      </c>
      <c r="AI20" s="21" t="s">
        <v>45</v>
      </c>
    </row>
    <row r="21" spans="2:41" ht="18.75" x14ac:dyDescent="0.3">
      <c r="B21" s="61" t="s">
        <v>8</v>
      </c>
      <c r="C21" s="61"/>
      <c r="D21" s="20"/>
      <c r="E21" s="21">
        <f>COUNTIF(E$5:E$17,"N*")</f>
        <v>2</v>
      </c>
      <c r="F21" s="21">
        <v>2</v>
      </c>
      <c r="G21" s="21">
        <f>COUNTIF(G$5:G$17,"N*")</f>
        <v>2</v>
      </c>
      <c r="H21" s="21">
        <f>COUNTIF(H$5:H$17,"N*")</f>
        <v>1</v>
      </c>
      <c r="I21" s="21">
        <f>COUNTIF(I$5:I$17,"N*")</f>
        <v>2</v>
      </c>
      <c r="J21" s="21">
        <f>COUNTIF(J$5:J$17,"N*")</f>
        <v>2</v>
      </c>
      <c r="K21" s="21">
        <f>COUNTIF(K$5:K$17,"N*")</f>
        <v>2</v>
      </c>
      <c r="L21" s="21">
        <f>COUNTIF(L$5:L$17,"N*")</f>
        <v>2</v>
      </c>
      <c r="M21" s="21">
        <f>COUNTIF(M$5:M$17,"N*")</f>
        <v>2</v>
      </c>
      <c r="N21" s="21">
        <f>COUNTIF(N$5:N$17,"N*")</f>
        <v>2</v>
      </c>
      <c r="O21" s="21">
        <f>COUNTIF(O$5:O$17,"N*")</f>
        <v>2</v>
      </c>
      <c r="P21" s="21">
        <f>COUNTIF(P$5:P$17,"N*")</f>
        <v>2</v>
      </c>
      <c r="Q21" s="21">
        <f>COUNTIF(Q$5:Q$17,"N*")</f>
        <v>2</v>
      </c>
      <c r="R21" s="21">
        <f>COUNTIF(R$5:R$17,"N*")</f>
        <v>2</v>
      </c>
      <c r="S21" s="21">
        <f>COUNTIF(S$5:S$17,"N*")</f>
        <v>2</v>
      </c>
      <c r="T21" s="21">
        <f>COUNTIF(T$5:T$17,"N*")</f>
        <v>2</v>
      </c>
      <c r="U21" s="21">
        <f>COUNTIF(U$5:U$17,"N*")</f>
        <v>2</v>
      </c>
      <c r="V21" s="21">
        <f>COUNTIF(V$5:V$17,"N*")</f>
        <v>2</v>
      </c>
      <c r="W21" s="21">
        <f>COUNTIF(W$5:W$17,"N*")</f>
        <v>2</v>
      </c>
      <c r="X21" s="21">
        <f>COUNTIF(X$5:X$17,"N*")</f>
        <v>2</v>
      </c>
      <c r="Y21" s="21">
        <f>COUNTIF(Y$5:Y$17,"N*")</f>
        <v>2</v>
      </c>
      <c r="Z21" s="21">
        <f>COUNTIF(Z$5:Z$17,"N*")</f>
        <v>2</v>
      </c>
      <c r="AA21" s="21">
        <f>COUNTIF(AA$5:AA$17,"N*")</f>
        <v>2</v>
      </c>
      <c r="AB21" s="21">
        <f>COUNTIF(AB$5:AB$17,"N*")</f>
        <v>2</v>
      </c>
      <c r="AC21" s="21">
        <f>COUNTIF(AC$5:AC$17,"N*")</f>
        <v>2</v>
      </c>
      <c r="AD21" s="21">
        <f>COUNTIF(AD$5:AD$17,"N*")</f>
        <v>2</v>
      </c>
      <c r="AE21" s="21">
        <f>COUNTIF(AE$5:AE$17,"N*")</f>
        <v>2</v>
      </c>
      <c r="AF21" s="21">
        <f>COUNTIF(AF$5:AF$17,"N*")</f>
        <v>2</v>
      </c>
      <c r="AG21" s="21">
        <f>COUNTIF(AG$5:AG$17,"N*")</f>
        <v>2</v>
      </c>
      <c r="AH21" s="21">
        <f>COUNTIF(AH$5:AH$17,"N*")</f>
        <v>2</v>
      </c>
      <c r="AI21" s="21" t="s">
        <v>45</v>
      </c>
    </row>
    <row r="22" spans="2:41" ht="18.75" x14ac:dyDescent="0.3">
      <c r="B22" s="61" t="s">
        <v>9</v>
      </c>
      <c r="C22" s="61"/>
      <c r="D22" s="20"/>
      <c r="E22" s="21">
        <f>COUNTIF(E$5:E$17,"O*")</f>
        <v>6</v>
      </c>
      <c r="F22" s="21">
        <f>COUNTIF(F$5:F$17,"O*")</f>
        <v>3</v>
      </c>
      <c r="G22" s="21">
        <f>COUNTIF(G$5:G$17,"O*")</f>
        <v>4</v>
      </c>
      <c r="H22" s="21">
        <f>COUNTIF(H$5:H$17,"O*")</f>
        <v>3</v>
      </c>
      <c r="I22" s="21">
        <f>COUNTIF(I$5:I$17,"O*")</f>
        <v>3</v>
      </c>
      <c r="J22" s="21">
        <f>COUNTIF(J$5:J$17,"O*")</f>
        <v>4</v>
      </c>
      <c r="K22" s="21">
        <f>COUNTIF(K$5:K$17,"O*")</f>
        <v>7</v>
      </c>
      <c r="L22" s="21">
        <f>COUNTIF(L$5:L$17,"O*")</f>
        <v>7</v>
      </c>
      <c r="M22" s="21">
        <f>COUNTIF(M$5:M$17,"O*")</f>
        <v>3</v>
      </c>
      <c r="N22" s="21">
        <f>COUNTIF(N$5:N$17,"O*")</f>
        <v>3</v>
      </c>
      <c r="O22" s="21">
        <f>COUNTIF(O$5:O$17,"O*")</f>
        <v>3</v>
      </c>
      <c r="P22" s="21">
        <f>COUNTIF(P$5:P$17,"O*")</f>
        <v>3</v>
      </c>
      <c r="Q22" s="21">
        <f>COUNTIF(Q$5:Q$17,"O*")</f>
        <v>3</v>
      </c>
      <c r="R22" s="21">
        <f>COUNTIF(R$5:R$17,"O*")</f>
        <v>7</v>
      </c>
      <c r="S22" s="21">
        <f>COUNTIF(S$5:S$17,"O*")</f>
        <v>7</v>
      </c>
      <c r="T22" s="21">
        <f>COUNTIF(T$5:T$17,"O*")</f>
        <v>4</v>
      </c>
      <c r="U22" s="21">
        <f>COUNTIF(U$5:U$17,"O*")</f>
        <v>4</v>
      </c>
      <c r="V22" s="21">
        <f>COUNTIF(V$5:V$17,"O*")</f>
        <v>4</v>
      </c>
      <c r="W22" s="21">
        <f>COUNTIF(W$5:W$17,"O*")</f>
        <v>4</v>
      </c>
      <c r="X22" s="21">
        <f>COUNTIF(X$5:X$17,"O*")</f>
        <v>3</v>
      </c>
      <c r="Y22" s="21">
        <f>COUNTIF(Y$5:Y$17,"O*")</f>
        <v>6</v>
      </c>
      <c r="Z22" s="21">
        <f>COUNTIF(Z$5:Z$17,"O*")</f>
        <v>7</v>
      </c>
      <c r="AA22" s="21">
        <f>COUNTIF(AA$5:AA$17,"O*")</f>
        <v>4</v>
      </c>
      <c r="AB22" s="21">
        <f>COUNTIF(AB$5:AB$17,"O*")</f>
        <v>4</v>
      </c>
      <c r="AC22" s="21">
        <f>COUNTIF(AC$5:AC$17,"O*")</f>
        <v>4</v>
      </c>
      <c r="AD22" s="21">
        <f>COUNTIF(AD$5:AD$17,"O*")</f>
        <v>4</v>
      </c>
      <c r="AE22" s="21">
        <f>COUNTIF(AE$5:AE$17,"O*")</f>
        <v>4</v>
      </c>
      <c r="AF22" s="21">
        <f>COUNTIF(AF$5:AF$17,"O*")</f>
        <v>6</v>
      </c>
      <c r="AG22" s="21">
        <f>COUNTIF(AG$5:AG$17,"O*")</f>
        <v>6</v>
      </c>
      <c r="AH22" s="21">
        <f>COUNTIF(AH$5:AH$17,"O*")</f>
        <v>4</v>
      </c>
      <c r="AI22" s="21" t="s">
        <v>45</v>
      </c>
    </row>
    <row r="23" spans="2:41" ht="18.75" x14ac:dyDescent="0.3">
      <c r="B23" s="62" t="s">
        <v>57</v>
      </c>
      <c r="C23" s="63"/>
      <c r="D23" s="20"/>
      <c r="E23" s="21">
        <f>COUNTIF(E$5:E$17,"ST*")</f>
        <v>0</v>
      </c>
      <c r="F23" s="21">
        <f>COUNTIF(F$5:F$17,"ST*")</f>
        <v>0</v>
      </c>
      <c r="G23" s="21">
        <f>COUNTIF(G$5:G$17,"ST*")</f>
        <v>0</v>
      </c>
      <c r="H23" s="21">
        <f>COUNTIF(H$5:H$17,"ST*")</f>
        <v>1</v>
      </c>
      <c r="I23" s="21">
        <f>COUNTIF(I$5:I$17,"ST*")</f>
        <v>1</v>
      </c>
      <c r="J23" s="21">
        <f>COUNTIF(J$5:J$17,"ST*")</f>
        <v>0</v>
      </c>
      <c r="K23" s="21">
        <f>COUNTIF(K$5:K$17,"ST*")</f>
        <v>0</v>
      </c>
      <c r="L23" s="21">
        <f>COUNTIF(L$5:L$17,"ST*")</f>
        <v>0</v>
      </c>
      <c r="M23" s="21">
        <f>COUNTIF(M$5:M$17,"ST*")</f>
        <v>0</v>
      </c>
      <c r="N23" s="21">
        <f>COUNTIF(N$5:N$17,"ST*")</f>
        <v>0</v>
      </c>
      <c r="O23" s="21">
        <f>COUNTIF(O$5:O$17,"ST*")</f>
        <v>0</v>
      </c>
      <c r="P23" s="21">
        <f>COUNTIF(P$5:P$17,"ST*")</f>
        <v>1</v>
      </c>
      <c r="Q23" s="21">
        <f>COUNTIF(Q$5:Q$17,"ST*")</f>
        <v>1</v>
      </c>
      <c r="R23" s="21">
        <f>COUNTIF(R$5:R$17,"ST*")</f>
        <v>0</v>
      </c>
      <c r="S23" s="21">
        <f>COUNTIF(S$5:S$17,"ST*")</f>
        <v>0</v>
      </c>
      <c r="T23" s="21">
        <f>COUNTIF(T$5:T$17,"ST*")</f>
        <v>0</v>
      </c>
      <c r="U23" s="21">
        <f>COUNTIF(U$5:U$17,"ST*")</f>
        <v>0</v>
      </c>
      <c r="V23" s="21">
        <f>COUNTIF(V$5:V$17,"ST*")</f>
        <v>0</v>
      </c>
      <c r="W23" s="21">
        <f>COUNTIF(W$5:W$17,"ST*")</f>
        <v>0</v>
      </c>
      <c r="X23" s="21">
        <f>COUNTIF(X$5:X$17,"ST*")</f>
        <v>1</v>
      </c>
      <c r="Y23" s="21">
        <f>COUNTIF(Y$5:Y$17,"ST*")</f>
        <v>1</v>
      </c>
      <c r="Z23" s="21">
        <f>COUNTIF(Z$5:Z$17,"ST*")</f>
        <v>0</v>
      </c>
      <c r="AA23" s="21">
        <f>COUNTIF(AA$5:AA$17,"ST*")</f>
        <v>0</v>
      </c>
      <c r="AB23" s="21">
        <f>COUNTIF(AB$5:AB$17,"ST*")</f>
        <v>0</v>
      </c>
      <c r="AC23" s="21">
        <f>COUNTIF(AC$5:AC$17,"ST*")</f>
        <v>0</v>
      </c>
      <c r="AD23" s="21">
        <f>COUNTIF(AD$5:AD$17,"ST*")</f>
        <v>0</v>
      </c>
      <c r="AE23" s="21">
        <f>COUNTIF(AE$5:AE$17,"ST*")</f>
        <v>0</v>
      </c>
      <c r="AF23" s="21">
        <f>COUNTIF(AF$5:AF$17,"ST*")</f>
        <v>1</v>
      </c>
      <c r="AG23" s="21">
        <f>COUNTIF(AG$5:AG$17,"ST*")</f>
        <v>1</v>
      </c>
      <c r="AH23" s="21">
        <f>COUNTIF(AH$5:AH$17,"ST*")</f>
        <v>0</v>
      </c>
      <c r="AI23" s="21" t="s">
        <v>45</v>
      </c>
    </row>
    <row r="24" spans="2:41" ht="18.75" x14ac:dyDescent="0.3">
      <c r="B24" s="64" t="s">
        <v>55</v>
      </c>
      <c r="C24" s="64"/>
      <c r="D24" s="22"/>
      <c r="E24" s="23">
        <f>E26-E27</f>
        <v>-3</v>
      </c>
      <c r="F24" s="23">
        <f t="shared" ref="F24:AH24" si="5">F26-F27</f>
        <v>-1</v>
      </c>
      <c r="G24" s="23">
        <f t="shared" si="5"/>
        <v>-1</v>
      </c>
      <c r="H24" s="23">
        <f t="shared" si="5"/>
        <v>0</v>
      </c>
      <c r="I24" s="23">
        <f t="shared" si="5"/>
        <v>3</v>
      </c>
      <c r="J24" s="23">
        <f t="shared" si="5"/>
        <v>3</v>
      </c>
      <c r="K24" s="23">
        <f t="shared" si="5"/>
        <v>-4</v>
      </c>
      <c r="L24" s="23">
        <f t="shared" si="5"/>
        <v>-4</v>
      </c>
      <c r="M24" s="23">
        <f t="shared" si="5"/>
        <v>0</v>
      </c>
      <c r="N24" s="23">
        <f t="shared" si="5"/>
        <v>0</v>
      </c>
      <c r="O24" s="23">
        <f t="shared" si="5"/>
        <v>-1</v>
      </c>
      <c r="P24" s="23">
        <f t="shared" si="5"/>
        <v>2</v>
      </c>
      <c r="Q24" s="23">
        <f t="shared" si="5"/>
        <v>3</v>
      </c>
      <c r="R24" s="23">
        <f t="shared" si="5"/>
        <v>-4</v>
      </c>
      <c r="S24" s="23">
        <f t="shared" si="5"/>
        <v>-4</v>
      </c>
      <c r="T24" s="23">
        <f t="shared" si="5"/>
        <v>-1</v>
      </c>
      <c r="U24" s="23">
        <f t="shared" si="5"/>
        <v>-1</v>
      </c>
      <c r="V24" s="23">
        <f t="shared" si="5"/>
        <v>-1</v>
      </c>
      <c r="W24" s="23">
        <f t="shared" si="5"/>
        <v>3</v>
      </c>
      <c r="X24" s="23">
        <f t="shared" si="5"/>
        <v>3</v>
      </c>
      <c r="Y24" s="23">
        <f t="shared" si="5"/>
        <v>-4</v>
      </c>
      <c r="Z24" s="23">
        <f t="shared" si="5"/>
        <v>-4</v>
      </c>
      <c r="AA24" s="23">
        <f t="shared" si="5"/>
        <v>-1</v>
      </c>
      <c r="AB24" s="23">
        <f t="shared" si="5"/>
        <v>-1</v>
      </c>
      <c r="AC24" s="23">
        <f t="shared" si="5"/>
        <v>-1</v>
      </c>
      <c r="AD24" s="23">
        <f t="shared" si="5"/>
        <v>3</v>
      </c>
      <c r="AE24" s="23">
        <f t="shared" si="5"/>
        <v>3</v>
      </c>
      <c r="AF24" s="23">
        <f t="shared" si="5"/>
        <v>-4</v>
      </c>
      <c r="AG24" s="23">
        <f t="shared" si="5"/>
        <v>-4</v>
      </c>
      <c r="AH24" s="23">
        <f t="shared" si="5"/>
        <v>-1</v>
      </c>
      <c r="AI24" s="23" t="s">
        <v>45</v>
      </c>
    </row>
    <row r="25" spans="2:41" ht="9.75" customHeight="1" x14ac:dyDescent="0.3">
      <c r="B25" s="65"/>
      <c r="C25" s="65"/>
      <c r="D25" s="20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</row>
    <row r="26" spans="2:41" ht="18.75" x14ac:dyDescent="0.3">
      <c r="B26" s="61" t="s">
        <v>53</v>
      </c>
      <c r="C26" s="61"/>
      <c r="D26" s="20"/>
      <c r="E26" s="21">
        <f>SUM(E19:E21)</f>
        <v>7</v>
      </c>
      <c r="F26" s="21">
        <f t="shared" ref="F26:AH26" si="6">SUM(F19:F21)</f>
        <v>9</v>
      </c>
      <c r="G26" s="21">
        <f t="shared" si="6"/>
        <v>9</v>
      </c>
      <c r="H26" s="21">
        <f t="shared" si="6"/>
        <v>10</v>
      </c>
      <c r="I26" s="21">
        <f t="shared" si="6"/>
        <v>9</v>
      </c>
      <c r="J26" s="21">
        <f t="shared" si="6"/>
        <v>9</v>
      </c>
      <c r="K26" s="21">
        <f t="shared" si="6"/>
        <v>6</v>
      </c>
      <c r="L26" s="21">
        <f t="shared" si="6"/>
        <v>6</v>
      </c>
      <c r="M26" s="21">
        <f t="shared" si="6"/>
        <v>10</v>
      </c>
      <c r="N26" s="21">
        <f t="shared" si="6"/>
        <v>10</v>
      </c>
      <c r="O26" s="21">
        <f t="shared" si="6"/>
        <v>9</v>
      </c>
      <c r="P26" s="21">
        <f t="shared" si="6"/>
        <v>8</v>
      </c>
      <c r="Q26" s="21">
        <f t="shared" si="6"/>
        <v>9</v>
      </c>
      <c r="R26" s="21">
        <f t="shared" si="6"/>
        <v>6</v>
      </c>
      <c r="S26" s="21">
        <f t="shared" si="6"/>
        <v>6</v>
      </c>
      <c r="T26" s="21">
        <f t="shared" si="6"/>
        <v>9</v>
      </c>
      <c r="U26" s="21">
        <f t="shared" si="6"/>
        <v>9</v>
      </c>
      <c r="V26" s="21">
        <f t="shared" si="6"/>
        <v>9</v>
      </c>
      <c r="W26" s="21">
        <f t="shared" si="6"/>
        <v>9</v>
      </c>
      <c r="X26" s="21">
        <f t="shared" si="6"/>
        <v>9</v>
      </c>
      <c r="Y26" s="21">
        <f t="shared" si="6"/>
        <v>6</v>
      </c>
      <c r="Z26" s="21">
        <f t="shared" si="6"/>
        <v>6</v>
      </c>
      <c r="AA26" s="21">
        <f t="shared" si="6"/>
        <v>9</v>
      </c>
      <c r="AB26" s="21">
        <f t="shared" si="6"/>
        <v>9</v>
      </c>
      <c r="AC26" s="21">
        <f t="shared" si="6"/>
        <v>9</v>
      </c>
      <c r="AD26" s="21">
        <f t="shared" si="6"/>
        <v>9</v>
      </c>
      <c r="AE26" s="21">
        <f t="shared" si="6"/>
        <v>9</v>
      </c>
      <c r="AF26" s="21">
        <f t="shared" si="6"/>
        <v>6</v>
      </c>
      <c r="AG26" s="21">
        <f t="shared" si="6"/>
        <v>6</v>
      </c>
      <c r="AH26" s="21">
        <f t="shared" si="6"/>
        <v>9</v>
      </c>
      <c r="AI26" s="21" t="s">
        <v>45</v>
      </c>
    </row>
    <row r="27" spans="2:41" ht="18.75" x14ac:dyDescent="0.3">
      <c r="B27" s="61" t="s">
        <v>40</v>
      </c>
      <c r="C27" s="61"/>
      <c r="D27" s="20"/>
      <c r="E27" s="21">
        <v>10</v>
      </c>
      <c r="F27" s="21">
        <v>10</v>
      </c>
      <c r="G27" s="21">
        <v>10</v>
      </c>
      <c r="H27" s="21">
        <v>10</v>
      </c>
      <c r="I27" s="21">
        <v>6</v>
      </c>
      <c r="J27" s="21">
        <v>6</v>
      </c>
      <c r="K27" s="21">
        <v>10</v>
      </c>
      <c r="L27" s="21">
        <v>10</v>
      </c>
      <c r="M27" s="21">
        <v>10</v>
      </c>
      <c r="N27" s="21">
        <v>10</v>
      </c>
      <c r="O27" s="21">
        <v>10</v>
      </c>
      <c r="P27" s="21">
        <v>6</v>
      </c>
      <c r="Q27" s="21">
        <v>6</v>
      </c>
      <c r="R27" s="21">
        <v>10</v>
      </c>
      <c r="S27" s="21">
        <v>10</v>
      </c>
      <c r="T27" s="21">
        <v>10</v>
      </c>
      <c r="U27" s="21">
        <v>10</v>
      </c>
      <c r="V27" s="21">
        <v>10</v>
      </c>
      <c r="W27" s="21">
        <v>6</v>
      </c>
      <c r="X27" s="21">
        <v>6</v>
      </c>
      <c r="Y27" s="21">
        <v>10</v>
      </c>
      <c r="Z27" s="21">
        <v>10</v>
      </c>
      <c r="AA27" s="21">
        <v>10</v>
      </c>
      <c r="AB27" s="21">
        <v>10</v>
      </c>
      <c r="AC27" s="21">
        <v>10</v>
      </c>
      <c r="AD27" s="21">
        <v>6</v>
      </c>
      <c r="AE27" s="21">
        <v>6</v>
      </c>
      <c r="AF27" s="21">
        <v>10</v>
      </c>
      <c r="AG27" s="21">
        <v>10</v>
      </c>
      <c r="AH27" s="21">
        <v>10</v>
      </c>
      <c r="AI27" s="21" t="s">
        <v>45</v>
      </c>
    </row>
    <row r="28" spans="2:41" ht="18.75" x14ac:dyDescent="0.3">
      <c r="B28" s="61" t="s">
        <v>54</v>
      </c>
      <c r="C28" s="61"/>
      <c r="D28" s="20"/>
      <c r="E28" s="21">
        <f>SUM(E19,E20,E21,E22,E23)</f>
        <v>13</v>
      </c>
      <c r="F28" s="21">
        <f t="shared" ref="F28:AH28" si="7">SUM(F19,F20,F21,F22,F23)</f>
        <v>12</v>
      </c>
      <c r="G28" s="21">
        <f t="shared" si="7"/>
        <v>13</v>
      </c>
      <c r="H28" s="21">
        <f t="shared" si="7"/>
        <v>14</v>
      </c>
      <c r="I28" s="21">
        <f t="shared" si="7"/>
        <v>13</v>
      </c>
      <c r="J28" s="21">
        <f t="shared" si="7"/>
        <v>13</v>
      </c>
      <c r="K28" s="21">
        <f t="shared" si="7"/>
        <v>13</v>
      </c>
      <c r="L28" s="21">
        <f t="shared" si="7"/>
        <v>13</v>
      </c>
      <c r="M28" s="21">
        <f t="shared" si="7"/>
        <v>13</v>
      </c>
      <c r="N28" s="21">
        <f t="shared" si="7"/>
        <v>13</v>
      </c>
      <c r="O28" s="21">
        <f t="shared" si="7"/>
        <v>12</v>
      </c>
      <c r="P28" s="21">
        <f t="shared" si="7"/>
        <v>12</v>
      </c>
      <c r="Q28" s="21">
        <f t="shared" si="7"/>
        <v>13</v>
      </c>
      <c r="R28" s="21">
        <f t="shared" si="7"/>
        <v>13</v>
      </c>
      <c r="S28" s="21">
        <f t="shared" si="7"/>
        <v>13</v>
      </c>
      <c r="T28" s="21">
        <f t="shared" si="7"/>
        <v>13</v>
      </c>
      <c r="U28" s="21">
        <f t="shared" si="7"/>
        <v>13</v>
      </c>
      <c r="V28" s="21">
        <f t="shared" si="7"/>
        <v>13</v>
      </c>
      <c r="W28" s="21">
        <f t="shared" si="7"/>
        <v>13</v>
      </c>
      <c r="X28" s="21">
        <f t="shared" si="7"/>
        <v>13</v>
      </c>
      <c r="Y28" s="21">
        <f t="shared" si="7"/>
        <v>13</v>
      </c>
      <c r="Z28" s="21">
        <f t="shared" si="7"/>
        <v>13</v>
      </c>
      <c r="AA28" s="21">
        <f t="shared" si="7"/>
        <v>13</v>
      </c>
      <c r="AB28" s="21">
        <f t="shared" si="7"/>
        <v>13</v>
      </c>
      <c r="AC28" s="21">
        <f t="shared" si="7"/>
        <v>13</v>
      </c>
      <c r="AD28" s="21">
        <f t="shared" si="7"/>
        <v>13</v>
      </c>
      <c r="AE28" s="21">
        <f t="shared" si="7"/>
        <v>13</v>
      </c>
      <c r="AF28" s="21">
        <f t="shared" si="7"/>
        <v>13</v>
      </c>
      <c r="AG28" s="21">
        <f t="shared" si="7"/>
        <v>13</v>
      </c>
      <c r="AH28" s="21">
        <f t="shared" si="7"/>
        <v>13</v>
      </c>
      <c r="AI28" s="21" t="s">
        <v>45</v>
      </c>
    </row>
  </sheetData>
  <mergeCells count="30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5:AI25"/>
    <mergeCell ref="B10:C10"/>
    <mergeCell ref="B11:C11"/>
    <mergeCell ref="B12:C12"/>
    <mergeCell ref="B13:C13"/>
    <mergeCell ref="B17:C17"/>
    <mergeCell ref="B19:C19"/>
    <mergeCell ref="B14:C14"/>
    <mergeCell ref="B15:C15"/>
    <mergeCell ref="B16:C16"/>
    <mergeCell ref="B26:C26"/>
    <mergeCell ref="B27:C27"/>
    <mergeCell ref="B28:C28"/>
    <mergeCell ref="B20:C20"/>
    <mergeCell ref="B21:C21"/>
    <mergeCell ref="B22:C22"/>
    <mergeCell ref="B23:C23"/>
    <mergeCell ref="B24:C24"/>
  </mergeCells>
  <conditionalFormatting sqref="F5 R5:T5 Z5:AB5 AH5 E11:G11 P11 E10:I10 Q10 V9:X9 W8:Y8 X7:Z7 Y10 X11 AG10 AF11 G6 F7:L7 E8:K8 E9:J9 O6:S6 N7:R7 M8:Q8 M9:P9 L10:O10 J11:N11 J12:M12 H13:L13 P13:T13 R11:V11 R12:U12 T10:W10 S14:W14 X6:AA6 AE6:AH6 AD7:AH7 AC8:AG8 AC9:AF9 Z11:AD11 AB10:AE10 X13:AB13 Z12:AC12 AA14:AE14 AF13:AH13 AH11:AH12 G12:H12 I5:L6 E14:I14 E12:E17 K14:L17 Y15:Z17 R15:S17 AF15:AG17">
    <cfRule type="containsText" dxfId="930" priority="449" operator="containsText" text="STM1">
      <formula>NOT(ISERROR(SEARCH("STM1",E5)))</formula>
    </cfRule>
    <cfRule type="containsText" dxfId="929" priority="450" operator="containsText" text="STA">
      <formula>NOT(ISERROR(SEARCH("STA",E5)))</formula>
    </cfRule>
    <cfRule type="containsText" dxfId="928" priority="451" operator="containsText" text="STM1">
      <formula>NOT(ISERROR(SEARCH("STM1",E5)))</formula>
    </cfRule>
    <cfRule type="containsText" dxfId="927" priority="452" operator="containsText" text="O">
      <formula>NOT(ISERROR(SEARCH("O",E5)))</formula>
    </cfRule>
    <cfRule type="containsText" dxfId="926" priority="453" operator="containsText" text="N">
      <formula>NOT(ISERROR(SEARCH("N",E5)))</formula>
    </cfRule>
    <cfRule type="containsText" dxfId="925" priority="454" operator="containsText" text="A">
      <formula>NOT(ISERROR(SEARCH("A",E5)))</formula>
    </cfRule>
    <cfRule type="containsText" dxfId="924" priority="455" operator="containsText" text="M">
      <formula>NOT(ISERROR(SEARCH("M",E5)))</formula>
    </cfRule>
  </conditionalFormatting>
  <conditionalFormatting sqref="E5:F5 R5:T5 Z5:AB5 AH5 E11:G11 P11 E10:I10 Q10 V9:X9 W8:Y8 X7:Z7 Y10 X11 AG10 AF11 G6 F7:L7 E8:K8 E9:J9 O6:S6 N7:R7 M8:Q8 M9:P9 L10:O10 J11:N11 J12:M12 H13:L13 K14:L14 P13:T13 R11:V11 R12:U12 T10:W10 S14:W14 X6:AA6 AE6:AH6 AD7:AH7 AC8:AG8 AC9:AF9 Z11:AD11 AB10:AE10 X13:AB13 Z12:AC12 AA14:AE14 AF13:AH13 AH11:AH12 G12:H12 I5:L6 E12:E14 E14:I14">
    <cfRule type="containsText" dxfId="923" priority="441" operator="containsText" text="STN">
      <formula>NOT(ISERROR(SEARCH("STN",E5)))</formula>
    </cfRule>
    <cfRule type="containsText" dxfId="922" priority="442" operator="containsText" text="STN">
      <formula>NOT(ISERROR(SEARCH("STN",E5)))</formula>
    </cfRule>
    <cfRule type="containsText" dxfId="921" priority="443" operator="containsText" text="STM">
      <formula>NOT(ISERROR(SEARCH("STM",E5)))</formula>
    </cfRule>
    <cfRule type="containsText" dxfId="920" priority="444" operator="containsText" text="M">
      <formula>NOT(ISERROR(SEARCH("M",E5)))</formula>
    </cfRule>
    <cfRule type="containsText" dxfId="919" priority="445" operator="containsText" text="STM1">
      <formula>NOT(ISERROR(SEARCH("STM1",E5)))</formula>
    </cfRule>
    <cfRule type="containsText" dxfId="918" priority="446" operator="containsText" text="M">
      <formula>NOT(ISERROR(SEARCH("M",E5)))</formula>
    </cfRule>
    <cfRule type="containsText" dxfId="917" priority="447" operator="containsText" text="STM">
      <formula>NOT(ISERROR(SEARCH("STM",E5)))</formula>
    </cfRule>
    <cfRule type="containsText" dxfId="916" priority="448" operator="containsText" text="STM">
      <formula>NOT(ISERROR(SEARCH("STM",E5)))</formula>
    </cfRule>
  </conditionalFormatting>
  <conditionalFormatting sqref="E15:E17 K15:L17 Y15:Z17 R15:S17 AF15:AG17">
    <cfRule type="containsText" dxfId="915" priority="424" operator="containsText" text="A">
      <formula>NOT(ISERROR(SEARCH("A",E15)))</formula>
    </cfRule>
    <cfRule type="containsText" dxfId="914" priority="426" operator="containsText" text="STN">
      <formula>NOT(ISERROR(SEARCH("STN",E15)))</formula>
    </cfRule>
    <cfRule type="containsText" dxfId="913" priority="427" operator="containsText" text="STN">
      <formula>NOT(ISERROR(SEARCH("STN",E15)))</formula>
    </cfRule>
    <cfRule type="containsText" dxfId="912" priority="428" operator="containsText" text="STM">
      <formula>NOT(ISERROR(SEARCH("STM",E15)))</formula>
    </cfRule>
    <cfRule type="containsText" dxfId="911" priority="429" operator="containsText" text="M">
      <formula>NOT(ISERROR(SEARCH("M",E15)))</formula>
    </cfRule>
    <cfRule type="containsText" dxfId="910" priority="430" operator="containsText" text="STM1">
      <formula>NOT(ISERROR(SEARCH("STM1",E15)))</formula>
    </cfRule>
    <cfRule type="containsText" dxfId="909" priority="431" operator="containsText" text="M">
      <formula>NOT(ISERROR(SEARCH("M",E15)))</formula>
    </cfRule>
    <cfRule type="containsText" dxfId="908" priority="432" operator="containsText" text="STM">
      <formula>NOT(ISERROR(SEARCH("STM",E15)))</formula>
    </cfRule>
    <cfRule type="containsText" dxfId="907" priority="433" operator="containsText" text="STM">
      <formula>NOT(ISERROR(SEARCH("STM",E15)))</formula>
    </cfRule>
  </conditionalFormatting>
  <conditionalFormatting sqref="E15:E17 K15:L17 Y15:Z17 R15:S17 AF15:AG17">
    <cfRule type="containsText" dxfId="906" priority="423" operator="containsText" text="STM1">
      <formula>NOT(ISERROR(SEARCH("STM1",E15)))</formula>
    </cfRule>
  </conditionalFormatting>
  <conditionalFormatting sqref="E15:E17 K15:L17 Y15:Z17 R15:S17 AF15:AG17">
    <cfRule type="containsText" dxfId="905" priority="419" operator="containsText" text="STN">
      <formula>NOT(ISERROR(SEARCH("STN",E15)))</formula>
    </cfRule>
    <cfRule type="containsText" dxfId="904" priority="420" operator="containsText" text="STA">
      <formula>NOT(ISERROR(SEARCH("STA",E15)))</formula>
    </cfRule>
    <cfRule type="containsText" dxfId="903" priority="421" operator="containsText" text="STM1">
      <formula>NOT(ISERROR(SEARCH("STM1",E15)))</formula>
    </cfRule>
    <cfRule type="containsText" dxfId="902" priority="422" operator="containsText" text="STM1">
      <formula>NOT(ISERROR(SEARCH("STM1",E15)))</formula>
    </cfRule>
  </conditionalFormatting>
  <conditionalFormatting sqref="N5 Q5">
    <cfRule type="containsText" dxfId="901" priority="394" operator="containsText" text="STM1">
      <formula>NOT(ISERROR(SEARCH("STM1",N5)))</formula>
    </cfRule>
    <cfRule type="containsText" dxfId="900" priority="395" operator="containsText" text="STA">
      <formula>NOT(ISERROR(SEARCH("STA",N5)))</formula>
    </cfRule>
    <cfRule type="containsText" dxfId="899" priority="396" operator="containsText" text="STM1">
      <formula>NOT(ISERROR(SEARCH("STM1",N5)))</formula>
    </cfRule>
    <cfRule type="containsText" dxfId="898" priority="397" operator="containsText" text="O">
      <formula>NOT(ISERROR(SEARCH("O",N5)))</formula>
    </cfRule>
    <cfRule type="containsText" dxfId="897" priority="398" operator="containsText" text="N">
      <formula>NOT(ISERROR(SEARCH("N",N5)))</formula>
    </cfRule>
    <cfRule type="containsText" dxfId="896" priority="399" operator="containsText" text="A">
      <formula>NOT(ISERROR(SEARCH("A",N5)))</formula>
    </cfRule>
    <cfRule type="containsText" dxfId="895" priority="400" operator="containsText" text="M">
      <formula>NOT(ISERROR(SEARCH("M",N5)))</formula>
    </cfRule>
  </conditionalFormatting>
  <conditionalFormatting sqref="M5:N5 Q5">
    <cfRule type="containsText" dxfId="894" priority="386" operator="containsText" text="STN">
      <formula>NOT(ISERROR(SEARCH("STN",M5)))</formula>
    </cfRule>
    <cfRule type="containsText" dxfId="893" priority="387" operator="containsText" text="STN">
      <formula>NOT(ISERROR(SEARCH("STN",M5)))</formula>
    </cfRule>
    <cfRule type="containsText" dxfId="892" priority="388" operator="containsText" text="STM">
      <formula>NOT(ISERROR(SEARCH("STM",M5)))</formula>
    </cfRule>
    <cfRule type="containsText" dxfId="891" priority="389" operator="containsText" text="M">
      <formula>NOT(ISERROR(SEARCH("M",M5)))</formula>
    </cfRule>
    <cfRule type="containsText" dxfId="890" priority="390" operator="containsText" text="STM1">
      <formula>NOT(ISERROR(SEARCH("STM1",M5)))</formula>
    </cfRule>
    <cfRule type="containsText" dxfId="889" priority="391" operator="containsText" text="M">
      <formula>NOT(ISERROR(SEARCH("M",M5)))</formula>
    </cfRule>
    <cfRule type="containsText" dxfId="888" priority="392" operator="containsText" text="STM">
      <formula>NOT(ISERROR(SEARCH("STM",M5)))</formula>
    </cfRule>
    <cfRule type="containsText" dxfId="887" priority="393" operator="containsText" text="STM">
      <formula>NOT(ISERROR(SEARCH("STM",M5)))</formula>
    </cfRule>
  </conditionalFormatting>
  <conditionalFormatting sqref="V5 Y5">
    <cfRule type="containsText" dxfId="886" priority="379" operator="containsText" text="STM1">
      <formula>NOT(ISERROR(SEARCH("STM1",V5)))</formula>
    </cfRule>
    <cfRule type="containsText" dxfId="885" priority="380" operator="containsText" text="STA">
      <formula>NOT(ISERROR(SEARCH("STA",V5)))</formula>
    </cfRule>
    <cfRule type="containsText" dxfId="884" priority="381" operator="containsText" text="STM1">
      <formula>NOT(ISERROR(SEARCH("STM1",V5)))</formula>
    </cfRule>
    <cfRule type="containsText" dxfId="883" priority="382" operator="containsText" text="O">
      <formula>NOT(ISERROR(SEARCH("O",V5)))</formula>
    </cfRule>
    <cfRule type="containsText" dxfId="882" priority="383" operator="containsText" text="N">
      <formula>NOT(ISERROR(SEARCH("N",V5)))</formula>
    </cfRule>
    <cfRule type="containsText" dxfId="881" priority="384" operator="containsText" text="A">
      <formula>NOT(ISERROR(SEARCH("A",V5)))</formula>
    </cfRule>
    <cfRule type="containsText" dxfId="880" priority="385" operator="containsText" text="M">
      <formula>NOT(ISERROR(SEARCH("M",V5)))</formula>
    </cfRule>
  </conditionalFormatting>
  <conditionalFormatting sqref="U5:V5 Y5">
    <cfRule type="containsText" dxfId="879" priority="371" operator="containsText" text="STN">
      <formula>NOT(ISERROR(SEARCH("STN",U5)))</formula>
    </cfRule>
    <cfRule type="containsText" dxfId="878" priority="372" operator="containsText" text="STN">
      <formula>NOT(ISERROR(SEARCH("STN",U5)))</formula>
    </cfRule>
    <cfRule type="containsText" dxfId="877" priority="373" operator="containsText" text="STM">
      <formula>NOT(ISERROR(SEARCH("STM",U5)))</formula>
    </cfRule>
    <cfRule type="containsText" dxfId="876" priority="374" operator="containsText" text="M">
      <formula>NOT(ISERROR(SEARCH("M",U5)))</formula>
    </cfRule>
    <cfRule type="containsText" dxfId="875" priority="375" operator="containsText" text="STM1">
      <formula>NOT(ISERROR(SEARCH("STM1",U5)))</formula>
    </cfRule>
    <cfRule type="containsText" dxfId="874" priority="376" operator="containsText" text="M">
      <formula>NOT(ISERROR(SEARCH("M",U5)))</formula>
    </cfRule>
    <cfRule type="containsText" dxfId="873" priority="377" operator="containsText" text="STM">
      <formula>NOT(ISERROR(SEARCH("STM",U5)))</formula>
    </cfRule>
    <cfRule type="containsText" dxfId="872" priority="378" operator="containsText" text="STM">
      <formula>NOT(ISERROR(SEARCH("STM",U5)))</formula>
    </cfRule>
  </conditionalFormatting>
  <conditionalFormatting sqref="AD5 AG5">
    <cfRule type="containsText" dxfId="871" priority="364" operator="containsText" text="STM1">
      <formula>NOT(ISERROR(SEARCH("STM1",AD5)))</formula>
    </cfRule>
    <cfRule type="containsText" dxfId="870" priority="365" operator="containsText" text="STA">
      <formula>NOT(ISERROR(SEARCH("STA",AD5)))</formula>
    </cfRule>
    <cfRule type="containsText" dxfId="869" priority="366" operator="containsText" text="STM1">
      <formula>NOT(ISERROR(SEARCH("STM1",AD5)))</formula>
    </cfRule>
    <cfRule type="containsText" dxfId="868" priority="367" operator="containsText" text="O">
      <formula>NOT(ISERROR(SEARCH("O",AD5)))</formula>
    </cfRule>
    <cfRule type="containsText" dxfId="867" priority="368" operator="containsText" text="N">
      <formula>NOT(ISERROR(SEARCH("N",AD5)))</formula>
    </cfRule>
    <cfRule type="containsText" dxfId="866" priority="369" operator="containsText" text="A">
      <formula>NOT(ISERROR(SEARCH("A",AD5)))</formula>
    </cfRule>
    <cfRule type="containsText" dxfId="865" priority="370" operator="containsText" text="M">
      <formula>NOT(ISERROR(SEARCH("M",AD5)))</formula>
    </cfRule>
  </conditionalFormatting>
  <conditionalFormatting sqref="AC5:AD5 AG5">
    <cfRule type="containsText" dxfId="864" priority="356" operator="containsText" text="STN">
      <formula>NOT(ISERROR(SEARCH("STN",AC5)))</formula>
    </cfRule>
    <cfRule type="containsText" dxfId="863" priority="357" operator="containsText" text="STN">
      <formula>NOT(ISERROR(SEARCH("STN",AC5)))</formula>
    </cfRule>
    <cfRule type="containsText" dxfId="862" priority="358" operator="containsText" text="STM">
      <formula>NOT(ISERROR(SEARCH("STM",AC5)))</formula>
    </cfRule>
    <cfRule type="containsText" dxfId="861" priority="359" operator="containsText" text="M">
      <formula>NOT(ISERROR(SEARCH("M",AC5)))</formula>
    </cfRule>
    <cfRule type="containsText" dxfId="860" priority="360" operator="containsText" text="STM1">
      <formula>NOT(ISERROR(SEARCH("STM1",AC5)))</formula>
    </cfRule>
    <cfRule type="containsText" dxfId="859" priority="361" operator="containsText" text="M">
      <formula>NOT(ISERROR(SEARCH("M",AC5)))</formula>
    </cfRule>
    <cfRule type="containsText" dxfId="858" priority="362" operator="containsText" text="STM">
      <formula>NOT(ISERROR(SEARCH("STM",AC5)))</formula>
    </cfRule>
    <cfRule type="containsText" dxfId="857" priority="363" operator="containsText" text="STM">
      <formula>NOT(ISERROR(SEARCH("STM",AC5)))</formula>
    </cfRule>
  </conditionalFormatting>
  <conditionalFormatting sqref="F16:J17">
    <cfRule type="containsText" dxfId="856" priority="348" operator="containsText" text="STN">
      <formula>NOT(ISERROR(SEARCH("STN",F16)))</formula>
    </cfRule>
    <cfRule type="containsText" dxfId="855" priority="349" operator="containsText" text="STN">
      <formula>NOT(ISERROR(SEARCH("STN",F16)))</formula>
    </cfRule>
    <cfRule type="containsText" dxfId="854" priority="350" operator="containsText" text="STM">
      <formula>NOT(ISERROR(SEARCH("STM",F16)))</formula>
    </cfRule>
    <cfRule type="containsText" dxfId="853" priority="351" operator="containsText" text="M">
      <formula>NOT(ISERROR(SEARCH("M",F16)))</formula>
    </cfRule>
    <cfRule type="containsText" dxfId="852" priority="352" operator="containsText" text="STM1">
      <formula>NOT(ISERROR(SEARCH("STM1",F16)))</formula>
    </cfRule>
    <cfRule type="containsText" dxfId="851" priority="353" operator="containsText" text="M">
      <formula>NOT(ISERROR(SEARCH("M",F16)))</formula>
    </cfRule>
    <cfRule type="containsText" dxfId="850" priority="354" operator="containsText" text="STM">
      <formula>NOT(ISERROR(SEARCH("STM",F16)))</formula>
    </cfRule>
    <cfRule type="containsText" dxfId="849" priority="355" operator="containsText" text="STM">
      <formula>NOT(ISERROR(SEARCH("STM",F16)))</formula>
    </cfRule>
  </conditionalFormatting>
  <conditionalFormatting sqref="M13">
    <cfRule type="containsText" dxfId="848" priority="340" operator="containsText" text="STN">
      <formula>NOT(ISERROR(SEARCH("STN",M13)))</formula>
    </cfRule>
    <cfRule type="containsText" dxfId="847" priority="341" operator="containsText" text="STN">
      <formula>NOT(ISERROR(SEARCH("STN",M13)))</formula>
    </cfRule>
    <cfRule type="containsText" dxfId="846" priority="342" operator="containsText" text="STM">
      <formula>NOT(ISERROR(SEARCH("STM",M13)))</formula>
    </cfRule>
    <cfRule type="containsText" dxfId="845" priority="343" operator="containsText" text="M">
      <formula>NOT(ISERROR(SEARCH("M",M13)))</formula>
    </cfRule>
    <cfRule type="containsText" dxfId="844" priority="344" operator="containsText" text="STM1">
      <formula>NOT(ISERROR(SEARCH("STM1",M13)))</formula>
    </cfRule>
    <cfRule type="containsText" dxfId="843" priority="345" operator="containsText" text="M">
      <formula>NOT(ISERROR(SEARCH("M",M13)))</formula>
    </cfRule>
    <cfRule type="containsText" dxfId="842" priority="346" operator="containsText" text="STM">
      <formula>NOT(ISERROR(SEARCH("STM",M13)))</formula>
    </cfRule>
    <cfRule type="containsText" dxfId="841" priority="347" operator="containsText" text="STM">
      <formula>NOT(ISERROR(SEARCH("STM",M13)))</formula>
    </cfRule>
  </conditionalFormatting>
  <conditionalFormatting sqref="M15">
    <cfRule type="containsText" dxfId="840" priority="332" operator="containsText" text="STN">
      <formula>NOT(ISERROR(SEARCH("STN",M15)))</formula>
    </cfRule>
    <cfRule type="containsText" dxfId="839" priority="333" operator="containsText" text="STN">
      <formula>NOT(ISERROR(SEARCH("STN",M15)))</formula>
    </cfRule>
    <cfRule type="containsText" dxfId="838" priority="334" operator="containsText" text="STM">
      <formula>NOT(ISERROR(SEARCH("STM",M15)))</formula>
    </cfRule>
    <cfRule type="containsText" dxfId="837" priority="335" operator="containsText" text="M">
      <formula>NOT(ISERROR(SEARCH("M",M15)))</formula>
    </cfRule>
    <cfRule type="containsText" dxfId="836" priority="336" operator="containsText" text="STM1">
      <formula>NOT(ISERROR(SEARCH("STM1",M15)))</formula>
    </cfRule>
    <cfRule type="containsText" dxfId="835" priority="337" operator="containsText" text="M">
      <formula>NOT(ISERROR(SEARCH("M",M15)))</formula>
    </cfRule>
    <cfRule type="containsText" dxfId="834" priority="338" operator="containsText" text="STM">
      <formula>NOT(ISERROR(SEARCH("STM",M15)))</formula>
    </cfRule>
    <cfRule type="containsText" dxfId="833" priority="339" operator="containsText" text="STM">
      <formula>NOT(ISERROR(SEARCH("STM",M15)))</formula>
    </cfRule>
  </conditionalFormatting>
  <conditionalFormatting sqref="N12">
    <cfRule type="containsText" dxfId="832" priority="324" operator="containsText" text="STN">
      <formula>NOT(ISERROR(SEARCH("STN",N12)))</formula>
    </cfRule>
    <cfRule type="containsText" dxfId="831" priority="325" operator="containsText" text="STN">
      <formula>NOT(ISERROR(SEARCH("STN",N12)))</formula>
    </cfRule>
    <cfRule type="containsText" dxfId="830" priority="326" operator="containsText" text="STM">
      <formula>NOT(ISERROR(SEARCH("STM",N12)))</formula>
    </cfRule>
    <cfRule type="containsText" dxfId="829" priority="327" operator="containsText" text="M">
      <formula>NOT(ISERROR(SEARCH("M",N12)))</formula>
    </cfRule>
    <cfRule type="containsText" dxfId="828" priority="328" operator="containsText" text="STM1">
      <formula>NOT(ISERROR(SEARCH("STM1",N12)))</formula>
    </cfRule>
    <cfRule type="containsText" dxfId="827" priority="329" operator="containsText" text="M">
      <formula>NOT(ISERROR(SEARCH("M",N12)))</formula>
    </cfRule>
    <cfRule type="containsText" dxfId="826" priority="330" operator="containsText" text="STM">
      <formula>NOT(ISERROR(SEARCH("STM",N12)))</formula>
    </cfRule>
    <cfRule type="containsText" dxfId="825" priority="331" operator="containsText" text="STM">
      <formula>NOT(ISERROR(SEARCH("STM",N12)))</formula>
    </cfRule>
  </conditionalFormatting>
  <conditionalFormatting sqref="N15">
    <cfRule type="containsText" dxfId="824" priority="316" operator="containsText" text="STN">
      <formula>NOT(ISERROR(SEARCH("STN",N15)))</formula>
    </cfRule>
    <cfRule type="containsText" dxfId="823" priority="317" operator="containsText" text="STN">
      <formula>NOT(ISERROR(SEARCH("STN",N15)))</formula>
    </cfRule>
    <cfRule type="containsText" dxfId="822" priority="318" operator="containsText" text="STM">
      <formula>NOT(ISERROR(SEARCH("STM",N15)))</formula>
    </cfRule>
    <cfRule type="containsText" dxfId="821" priority="319" operator="containsText" text="M">
      <formula>NOT(ISERROR(SEARCH("M",N15)))</formula>
    </cfRule>
    <cfRule type="containsText" dxfId="820" priority="320" operator="containsText" text="STM1">
      <formula>NOT(ISERROR(SEARCH("STM1",N15)))</formula>
    </cfRule>
    <cfRule type="containsText" dxfId="819" priority="321" operator="containsText" text="M">
      <formula>NOT(ISERROR(SEARCH("M",N15)))</formula>
    </cfRule>
    <cfRule type="containsText" dxfId="818" priority="322" operator="containsText" text="STM">
      <formula>NOT(ISERROR(SEARCH("STM",N15)))</formula>
    </cfRule>
    <cfRule type="containsText" dxfId="817" priority="323" operator="containsText" text="STM">
      <formula>NOT(ISERROR(SEARCH("STM",N15)))</formula>
    </cfRule>
  </conditionalFormatting>
  <conditionalFormatting sqref="O11:O12">
    <cfRule type="containsText" dxfId="816" priority="308" operator="containsText" text="STN">
      <formula>NOT(ISERROR(SEARCH("STN",O11)))</formula>
    </cfRule>
    <cfRule type="containsText" dxfId="815" priority="309" operator="containsText" text="STN">
      <formula>NOT(ISERROR(SEARCH("STN",O11)))</formula>
    </cfRule>
    <cfRule type="containsText" dxfId="814" priority="310" operator="containsText" text="STM">
      <formula>NOT(ISERROR(SEARCH("STM",O11)))</formula>
    </cfRule>
    <cfRule type="containsText" dxfId="813" priority="311" operator="containsText" text="M">
      <formula>NOT(ISERROR(SEARCH("M",O11)))</formula>
    </cfRule>
    <cfRule type="containsText" dxfId="812" priority="312" operator="containsText" text="STM1">
      <formula>NOT(ISERROR(SEARCH("STM1",O11)))</formula>
    </cfRule>
    <cfRule type="containsText" dxfId="811" priority="313" operator="containsText" text="M">
      <formula>NOT(ISERROR(SEARCH("M",O11)))</formula>
    </cfRule>
    <cfRule type="containsText" dxfId="810" priority="314" operator="containsText" text="STM">
      <formula>NOT(ISERROR(SEARCH("STM",O11)))</formula>
    </cfRule>
    <cfRule type="containsText" dxfId="809" priority="315" operator="containsText" text="STM">
      <formula>NOT(ISERROR(SEARCH("STM",O11)))</formula>
    </cfRule>
  </conditionalFormatting>
  <conditionalFormatting sqref="O15">
    <cfRule type="containsText" dxfId="808" priority="300" operator="containsText" text="STN">
      <formula>NOT(ISERROR(SEARCH("STN",O15)))</formula>
    </cfRule>
    <cfRule type="containsText" dxfId="807" priority="301" operator="containsText" text="STN">
      <formula>NOT(ISERROR(SEARCH("STN",O15)))</formula>
    </cfRule>
    <cfRule type="containsText" dxfId="806" priority="302" operator="containsText" text="STM">
      <formula>NOT(ISERROR(SEARCH("STM",O15)))</formula>
    </cfRule>
    <cfRule type="containsText" dxfId="805" priority="303" operator="containsText" text="M">
      <formula>NOT(ISERROR(SEARCH("M",O15)))</formula>
    </cfRule>
    <cfRule type="containsText" dxfId="804" priority="304" operator="containsText" text="STM1">
      <formula>NOT(ISERROR(SEARCH("STM1",O15)))</formula>
    </cfRule>
    <cfRule type="containsText" dxfId="803" priority="305" operator="containsText" text="M">
      <formula>NOT(ISERROR(SEARCH("M",O15)))</formula>
    </cfRule>
    <cfRule type="containsText" dxfId="802" priority="306" operator="containsText" text="STM">
      <formula>NOT(ISERROR(SEARCH("STM",O15)))</formula>
    </cfRule>
    <cfRule type="containsText" dxfId="801" priority="307" operator="containsText" text="STM">
      <formula>NOT(ISERROR(SEARCH("STM",O15)))</formula>
    </cfRule>
  </conditionalFormatting>
  <conditionalFormatting sqref="P10">
    <cfRule type="containsText" dxfId="800" priority="292" operator="containsText" text="STN">
      <formula>NOT(ISERROR(SEARCH("STN",P10)))</formula>
    </cfRule>
    <cfRule type="containsText" dxfId="799" priority="293" operator="containsText" text="STN">
      <formula>NOT(ISERROR(SEARCH("STN",P10)))</formula>
    </cfRule>
    <cfRule type="containsText" dxfId="798" priority="294" operator="containsText" text="STM">
      <formula>NOT(ISERROR(SEARCH("STM",P10)))</formula>
    </cfRule>
    <cfRule type="containsText" dxfId="797" priority="295" operator="containsText" text="M">
      <formula>NOT(ISERROR(SEARCH("M",P10)))</formula>
    </cfRule>
    <cfRule type="containsText" dxfId="796" priority="296" operator="containsText" text="STM1">
      <formula>NOT(ISERROR(SEARCH("STM1",P10)))</formula>
    </cfRule>
    <cfRule type="containsText" dxfId="795" priority="297" operator="containsText" text="M">
      <formula>NOT(ISERROR(SEARCH("M",P10)))</formula>
    </cfRule>
    <cfRule type="containsText" dxfId="794" priority="298" operator="containsText" text="STM">
      <formula>NOT(ISERROR(SEARCH("STM",P10)))</formula>
    </cfRule>
    <cfRule type="containsText" dxfId="793" priority="299" operator="containsText" text="STM">
      <formula>NOT(ISERROR(SEARCH("STM",P10)))</formula>
    </cfRule>
  </conditionalFormatting>
  <conditionalFormatting sqref="P15:Q15 Q14">
    <cfRule type="containsText" dxfId="792" priority="284" operator="containsText" text="STN">
      <formula>NOT(ISERROR(SEARCH("STN",P14)))</formula>
    </cfRule>
    <cfRule type="containsText" dxfId="791" priority="285" operator="containsText" text="STN">
      <formula>NOT(ISERROR(SEARCH("STN",P14)))</formula>
    </cfRule>
    <cfRule type="containsText" dxfId="790" priority="286" operator="containsText" text="STM">
      <formula>NOT(ISERROR(SEARCH("STM",P14)))</formula>
    </cfRule>
    <cfRule type="containsText" dxfId="789" priority="287" operator="containsText" text="M">
      <formula>NOT(ISERROR(SEARCH("M",P14)))</formula>
    </cfRule>
    <cfRule type="containsText" dxfId="788" priority="288" operator="containsText" text="STM1">
      <formula>NOT(ISERROR(SEARCH("STM1",P14)))</formula>
    </cfRule>
    <cfRule type="containsText" dxfId="787" priority="289" operator="containsText" text="M">
      <formula>NOT(ISERROR(SEARCH("M",P14)))</formula>
    </cfRule>
    <cfRule type="containsText" dxfId="786" priority="290" operator="containsText" text="STM">
      <formula>NOT(ISERROR(SEARCH("STM",P14)))</formula>
    </cfRule>
    <cfRule type="containsText" dxfId="785" priority="291" operator="containsText" text="STM">
      <formula>NOT(ISERROR(SEARCH("STM",P14)))</formula>
    </cfRule>
  </conditionalFormatting>
  <conditionalFormatting sqref="Q9">
    <cfRule type="containsText" dxfId="784" priority="276" operator="containsText" text="STN">
      <formula>NOT(ISERROR(SEARCH("STN",Q9)))</formula>
    </cfRule>
    <cfRule type="containsText" dxfId="783" priority="277" operator="containsText" text="STN">
      <formula>NOT(ISERROR(SEARCH("STN",Q9)))</formula>
    </cfRule>
    <cfRule type="containsText" dxfId="782" priority="278" operator="containsText" text="STM">
      <formula>NOT(ISERROR(SEARCH("STM",Q9)))</formula>
    </cfRule>
    <cfRule type="containsText" dxfId="781" priority="279" operator="containsText" text="M">
      <formula>NOT(ISERROR(SEARCH("M",Q9)))</formula>
    </cfRule>
    <cfRule type="containsText" dxfId="780" priority="280" operator="containsText" text="STM1">
      <formula>NOT(ISERROR(SEARCH("STM1",Q9)))</formula>
    </cfRule>
    <cfRule type="containsText" dxfId="779" priority="281" operator="containsText" text="M">
      <formula>NOT(ISERROR(SEARCH("M",Q9)))</formula>
    </cfRule>
    <cfRule type="containsText" dxfId="778" priority="282" operator="containsText" text="STM">
      <formula>NOT(ISERROR(SEARCH("STM",Q9)))</formula>
    </cfRule>
    <cfRule type="containsText" dxfId="777" priority="283" operator="containsText" text="STM">
      <formula>NOT(ISERROR(SEARCH("STM",Q9)))</formula>
    </cfRule>
  </conditionalFormatting>
  <conditionalFormatting sqref="R8:R9">
    <cfRule type="containsText" dxfId="776" priority="268" operator="containsText" text="STN">
      <formula>NOT(ISERROR(SEARCH("STN",R8)))</formula>
    </cfRule>
    <cfRule type="containsText" dxfId="775" priority="269" operator="containsText" text="STN">
      <formula>NOT(ISERROR(SEARCH("STN",R8)))</formula>
    </cfRule>
    <cfRule type="containsText" dxfId="774" priority="270" operator="containsText" text="STM">
      <formula>NOT(ISERROR(SEARCH("STM",R8)))</formula>
    </cfRule>
    <cfRule type="containsText" dxfId="773" priority="271" operator="containsText" text="M">
      <formula>NOT(ISERROR(SEARCH("M",R8)))</formula>
    </cfRule>
    <cfRule type="containsText" dxfId="772" priority="272" operator="containsText" text="STM1">
      <formula>NOT(ISERROR(SEARCH("STM1",R8)))</formula>
    </cfRule>
    <cfRule type="containsText" dxfId="771" priority="273" operator="containsText" text="M">
      <formula>NOT(ISERROR(SEARCH("M",R8)))</formula>
    </cfRule>
    <cfRule type="containsText" dxfId="770" priority="274" operator="containsText" text="STM">
      <formula>NOT(ISERROR(SEARCH("STM",R8)))</formula>
    </cfRule>
    <cfRule type="containsText" dxfId="769" priority="275" operator="containsText" text="STM">
      <formula>NOT(ISERROR(SEARCH("STM",R8)))</formula>
    </cfRule>
  </conditionalFormatting>
  <conditionalFormatting sqref="S7:S8">
    <cfRule type="containsText" dxfId="768" priority="260" operator="containsText" text="STN">
      <formula>NOT(ISERROR(SEARCH("STN",S7)))</formula>
    </cfRule>
    <cfRule type="containsText" dxfId="767" priority="261" operator="containsText" text="STN">
      <formula>NOT(ISERROR(SEARCH("STN",S7)))</formula>
    </cfRule>
    <cfRule type="containsText" dxfId="766" priority="262" operator="containsText" text="STM">
      <formula>NOT(ISERROR(SEARCH("STM",S7)))</formula>
    </cfRule>
    <cfRule type="containsText" dxfId="765" priority="263" operator="containsText" text="M">
      <formula>NOT(ISERROR(SEARCH("M",S7)))</formula>
    </cfRule>
    <cfRule type="containsText" dxfId="764" priority="264" operator="containsText" text="STM1">
      <formula>NOT(ISERROR(SEARCH("STM1",S7)))</formula>
    </cfRule>
    <cfRule type="containsText" dxfId="763" priority="265" operator="containsText" text="M">
      <formula>NOT(ISERROR(SEARCH("M",S7)))</formula>
    </cfRule>
    <cfRule type="containsText" dxfId="762" priority="266" operator="containsText" text="STM">
      <formula>NOT(ISERROR(SEARCH("STM",S7)))</formula>
    </cfRule>
    <cfRule type="containsText" dxfId="761" priority="267" operator="containsText" text="STM">
      <formula>NOT(ISERROR(SEARCH("STM",S7)))</formula>
    </cfRule>
  </conditionalFormatting>
  <conditionalFormatting sqref="T6:T7">
    <cfRule type="containsText" dxfId="760" priority="252" operator="containsText" text="STN">
      <formula>NOT(ISERROR(SEARCH("STN",T6)))</formula>
    </cfRule>
    <cfRule type="containsText" dxfId="759" priority="253" operator="containsText" text="STN">
      <formula>NOT(ISERROR(SEARCH("STN",T6)))</formula>
    </cfRule>
    <cfRule type="containsText" dxfId="758" priority="254" operator="containsText" text="STM">
      <formula>NOT(ISERROR(SEARCH("STM",T6)))</formula>
    </cfRule>
    <cfRule type="containsText" dxfId="757" priority="255" operator="containsText" text="M">
      <formula>NOT(ISERROR(SEARCH("M",T6)))</formula>
    </cfRule>
    <cfRule type="containsText" dxfId="756" priority="256" operator="containsText" text="STM1">
      <formula>NOT(ISERROR(SEARCH("STM1",T6)))</formula>
    </cfRule>
    <cfRule type="containsText" dxfId="755" priority="257" operator="containsText" text="M">
      <formula>NOT(ISERROR(SEARCH("M",T6)))</formula>
    </cfRule>
    <cfRule type="containsText" dxfId="754" priority="258" operator="containsText" text="STM">
      <formula>NOT(ISERROR(SEARCH("STM",T6)))</formula>
    </cfRule>
    <cfRule type="containsText" dxfId="753" priority="259" operator="containsText" text="STM">
      <formula>NOT(ISERROR(SEARCH("STM",T6)))</formula>
    </cfRule>
  </conditionalFormatting>
  <conditionalFormatting sqref="AB6:AB7">
    <cfRule type="containsText" dxfId="752" priority="244" operator="containsText" text="STN">
      <formula>NOT(ISERROR(SEARCH("STN",AB6)))</formula>
    </cfRule>
    <cfRule type="containsText" dxfId="751" priority="245" operator="containsText" text="STN">
      <formula>NOT(ISERROR(SEARCH("STN",AB6)))</formula>
    </cfRule>
    <cfRule type="containsText" dxfId="750" priority="246" operator="containsText" text="STM">
      <formula>NOT(ISERROR(SEARCH("STM",AB6)))</formula>
    </cfRule>
    <cfRule type="containsText" dxfId="749" priority="247" operator="containsText" text="M">
      <formula>NOT(ISERROR(SEARCH("M",AB6)))</formula>
    </cfRule>
    <cfRule type="containsText" dxfId="748" priority="248" operator="containsText" text="STM1">
      <formula>NOT(ISERROR(SEARCH("STM1",AB6)))</formula>
    </cfRule>
    <cfRule type="containsText" dxfId="747" priority="249" operator="containsText" text="M">
      <formula>NOT(ISERROR(SEARCH("M",AB6)))</formula>
    </cfRule>
    <cfRule type="containsText" dxfId="746" priority="250" operator="containsText" text="STM">
      <formula>NOT(ISERROR(SEARCH("STM",AB6)))</formula>
    </cfRule>
    <cfRule type="containsText" dxfId="745" priority="251" operator="containsText" text="STM">
      <formula>NOT(ISERROR(SEARCH("STM",AB6)))</formula>
    </cfRule>
  </conditionalFormatting>
  <conditionalFormatting sqref="AA7:AA8">
    <cfRule type="containsText" dxfId="744" priority="236" operator="containsText" text="STN">
      <formula>NOT(ISERROR(SEARCH("STN",AA7)))</formula>
    </cfRule>
    <cfRule type="containsText" dxfId="743" priority="237" operator="containsText" text="STN">
      <formula>NOT(ISERROR(SEARCH("STN",AA7)))</formula>
    </cfRule>
    <cfRule type="containsText" dxfId="742" priority="238" operator="containsText" text="STM">
      <formula>NOT(ISERROR(SEARCH("STM",AA7)))</formula>
    </cfRule>
    <cfRule type="containsText" dxfId="741" priority="239" operator="containsText" text="M">
      <formula>NOT(ISERROR(SEARCH("M",AA7)))</formula>
    </cfRule>
    <cfRule type="containsText" dxfId="740" priority="240" operator="containsText" text="STM1">
      <formula>NOT(ISERROR(SEARCH("STM1",AA7)))</formula>
    </cfRule>
    <cfRule type="containsText" dxfId="739" priority="241" operator="containsText" text="M">
      <formula>NOT(ISERROR(SEARCH("M",AA7)))</formula>
    </cfRule>
    <cfRule type="containsText" dxfId="738" priority="242" operator="containsText" text="STM">
      <formula>NOT(ISERROR(SEARCH("STM",AA7)))</formula>
    </cfRule>
    <cfRule type="containsText" dxfId="737" priority="243" operator="containsText" text="STM">
      <formula>NOT(ISERROR(SEARCH("STM",AA7)))</formula>
    </cfRule>
  </conditionalFormatting>
  <conditionalFormatting sqref="Z8:Z9">
    <cfRule type="containsText" dxfId="736" priority="228" operator="containsText" text="STN">
      <formula>NOT(ISERROR(SEARCH("STN",Z8)))</formula>
    </cfRule>
    <cfRule type="containsText" dxfId="735" priority="229" operator="containsText" text="STN">
      <formula>NOT(ISERROR(SEARCH("STN",Z8)))</formula>
    </cfRule>
    <cfRule type="containsText" dxfId="734" priority="230" operator="containsText" text="STM">
      <formula>NOT(ISERROR(SEARCH("STM",Z8)))</formula>
    </cfRule>
    <cfRule type="containsText" dxfId="733" priority="231" operator="containsText" text="M">
      <formula>NOT(ISERROR(SEARCH("M",Z8)))</formula>
    </cfRule>
    <cfRule type="containsText" dxfId="732" priority="232" operator="containsText" text="STM1">
      <formula>NOT(ISERROR(SEARCH("STM1",Z8)))</formula>
    </cfRule>
    <cfRule type="containsText" dxfId="731" priority="233" operator="containsText" text="M">
      <formula>NOT(ISERROR(SEARCH("M",Z8)))</formula>
    </cfRule>
    <cfRule type="containsText" dxfId="730" priority="234" operator="containsText" text="STM">
      <formula>NOT(ISERROR(SEARCH("STM",Z8)))</formula>
    </cfRule>
    <cfRule type="containsText" dxfId="729" priority="235" operator="containsText" text="STM">
      <formula>NOT(ISERROR(SEARCH("STM",Z8)))</formula>
    </cfRule>
  </conditionalFormatting>
  <conditionalFormatting sqref="Y9">
    <cfRule type="containsText" dxfId="728" priority="220" operator="containsText" text="STN">
      <formula>NOT(ISERROR(SEARCH("STN",Y9)))</formula>
    </cfRule>
    <cfRule type="containsText" dxfId="727" priority="221" operator="containsText" text="STN">
      <formula>NOT(ISERROR(SEARCH("STN",Y9)))</formula>
    </cfRule>
    <cfRule type="containsText" dxfId="726" priority="222" operator="containsText" text="STM">
      <formula>NOT(ISERROR(SEARCH("STM",Y9)))</formula>
    </cfRule>
    <cfRule type="containsText" dxfId="725" priority="223" operator="containsText" text="M">
      <formula>NOT(ISERROR(SEARCH("M",Y9)))</formula>
    </cfRule>
    <cfRule type="containsText" dxfId="724" priority="224" operator="containsText" text="STM1">
      <formula>NOT(ISERROR(SEARCH("STM1",Y9)))</formula>
    </cfRule>
    <cfRule type="containsText" dxfId="723" priority="225" operator="containsText" text="M">
      <formula>NOT(ISERROR(SEARCH("M",Y9)))</formula>
    </cfRule>
    <cfRule type="containsText" dxfId="722" priority="226" operator="containsText" text="STM">
      <formula>NOT(ISERROR(SEARCH("STM",Y9)))</formula>
    </cfRule>
    <cfRule type="containsText" dxfId="721" priority="227" operator="containsText" text="STM">
      <formula>NOT(ISERROR(SEARCH("STM",Y9)))</formula>
    </cfRule>
  </conditionalFormatting>
  <conditionalFormatting sqref="X10">
    <cfRule type="containsText" dxfId="720" priority="212" operator="containsText" text="STN">
      <formula>NOT(ISERROR(SEARCH("STN",X10)))</formula>
    </cfRule>
    <cfRule type="containsText" dxfId="719" priority="213" operator="containsText" text="STN">
      <formula>NOT(ISERROR(SEARCH("STN",X10)))</formula>
    </cfRule>
    <cfRule type="containsText" dxfId="718" priority="214" operator="containsText" text="STM">
      <formula>NOT(ISERROR(SEARCH("STM",X10)))</formula>
    </cfRule>
    <cfRule type="containsText" dxfId="717" priority="215" operator="containsText" text="M">
      <formula>NOT(ISERROR(SEARCH("M",X10)))</formula>
    </cfRule>
    <cfRule type="containsText" dxfId="716" priority="216" operator="containsText" text="STM1">
      <formula>NOT(ISERROR(SEARCH("STM1",X10)))</formula>
    </cfRule>
    <cfRule type="containsText" dxfId="715" priority="217" operator="containsText" text="M">
      <formula>NOT(ISERROR(SEARCH("M",X10)))</formula>
    </cfRule>
    <cfRule type="containsText" dxfId="714" priority="218" operator="containsText" text="STM">
      <formula>NOT(ISERROR(SEARCH("STM",X10)))</formula>
    </cfRule>
    <cfRule type="containsText" dxfId="713" priority="219" operator="containsText" text="STM">
      <formula>NOT(ISERROR(SEARCH("STM",X10)))</formula>
    </cfRule>
  </conditionalFormatting>
  <conditionalFormatting sqref="W11:W12">
    <cfRule type="containsText" dxfId="712" priority="204" operator="containsText" text="STN">
      <formula>NOT(ISERROR(SEARCH("STN",W11)))</formula>
    </cfRule>
    <cfRule type="containsText" dxfId="711" priority="205" operator="containsText" text="STN">
      <formula>NOT(ISERROR(SEARCH("STN",W11)))</formula>
    </cfRule>
    <cfRule type="containsText" dxfId="710" priority="206" operator="containsText" text="STM">
      <formula>NOT(ISERROR(SEARCH("STM",W11)))</formula>
    </cfRule>
    <cfRule type="containsText" dxfId="709" priority="207" operator="containsText" text="M">
      <formula>NOT(ISERROR(SEARCH("M",W11)))</formula>
    </cfRule>
    <cfRule type="containsText" dxfId="708" priority="208" operator="containsText" text="STM1">
      <formula>NOT(ISERROR(SEARCH("STM1",W11)))</formula>
    </cfRule>
    <cfRule type="containsText" dxfId="707" priority="209" operator="containsText" text="M">
      <formula>NOT(ISERROR(SEARCH("M",W11)))</formula>
    </cfRule>
    <cfRule type="containsText" dxfId="706" priority="210" operator="containsText" text="STM">
      <formula>NOT(ISERROR(SEARCH("STM",W11)))</formula>
    </cfRule>
    <cfRule type="containsText" dxfId="705" priority="211" operator="containsText" text="STM">
      <formula>NOT(ISERROR(SEARCH("STM",W11)))</formula>
    </cfRule>
  </conditionalFormatting>
  <conditionalFormatting sqref="V12">
    <cfRule type="containsText" dxfId="704" priority="196" operator="containsText" text="STN">
      <formula>NOT(ISERROR(SEARCH("STN",V12)))</formula>
    </cfRule>
    <cfRule type="containsText" dxfId="703" priority="197" operator="containsText" text="STN">
      <formula>NOT(ISERROR(SEARCH("STN",V12)))</formula>
    </cfRule>
    <cfRule type="containsText" dxfId="702" priority="198" operator="containsText" text="STM">
      <formula>NOT(ISERROR(SEARCH("STM",V12)))</formula>
    </cfRule>
    <cfRule type="containsText" dxfId="701" priority="199" operator="containsText" text="M">
      <formula>NOT(ISERROR(SEARCH("M",V12)))</formula>
    </cfRule>
    <cfRule type="containsText" dxfId="700" priority="200" operator="containsText" text="STM1">
      <formula>NOT(ISERROR(SEARCH("STM1",V12)))</formula>
    </cfRule>
    <cfRule type="containsText" dxfId="699" priority="201" operator="containsText" text="M">
      <formula>NOT(ISERROR(SEARCH("M",V12)))</formula>
    </cfRule>
    <cfRule type="containsText" dxfId="698" priority="202" operator="containsText" text="STM">
      <formula>NOT(ISERROR(SEARCH("STM",V12)))</formula>
    </cfRule>
    <cfRule type="containsText" dxfId="697" priority="203" operator="containsText" text="STM">
      <formula>NOT(ISERROR(SEARCH("STM",V12)))</formula>
    </cfRule>
  </conditionalFormatting>
  <conditionalFormatting sqref="U13">
    <cfRule type="containsText" dxfId="696" priority="188" operator="containsText" text="STN">
      <formula>NOT(ISERROR(SEARCH("STN",U13)))</formula>
    </cfRule>
    <cfRule type="containsText" dxfId="695" priority="189" operator="containsText" text="STN">
      <formula>NOT(ISERROR(SEARCH("STN",U13)))</formula>
    </cfRule>
    <cfRule type="containsText" dxfId="694" priority="190" operator="containsText" text="STM">
      <formula>NOT(ISERROR(SEARCH("STM",U13)))</formula>
    </cfRule>
    <cfRule type="containsText" dxfId="693" priority="191" operator="containsText" text="M">
      <formula>NOT(ISERROR(SEARCH("M",U13)))</formula>
    </cfRule>
    <cfRule type="containsText" dxfId="692" priority="192" operator="containsText" text="STM1">
      <formula>NOT(ISERROR(SEARCH("STM1",U13)))</formula>
    </cfRule>
    <cfRule type="containsText" dxfId="691" priority="193" operator="containsText" text="M">
      <formula>NOT(ISERROR(SEARCH("M",U13)))</formula>
    </cfRule>
    <cfRule type="containsText" dxfId="690" priority="194" operator="containsText" text="STM">
      <formula>NOT(ISERROR(SEARCH("STM",U13)))</formula>
    </cfRule>
    <cfRule type="containsText" dxfId="689" priority="195" operator="containsText" text="STM">
      <formula>NOT(ISERROR(SEARCH("STM",U13)))</formula>
    </cfRule>
  </conditionalFormatting>
  <conditionalFormatting sqref="AH8:AH9">
    <cfRule type="containsText" dxfId="688" priority="180" operator="containsText" text="STN">
      <formula>NOT(ISERROR(SEARCH("STN",AH8)))</formula>
    </cfRule>
    <cfRule type="containsText" dxfId="687" priority="181" operator="containsText" text="STN">
      <formula>NOT(ISERROR(SEARCH("STN",AH8)))</formula>
    </cfRule>
    <cfRule type="containsText" dxfId="686" priority="182" operator="containsText" text="STM">
      <formula>NOT(ISERROR(SEARCH("STM",AH8)))</formula>
    </cfRule>
    <cfRule type="containsText" dxfId="685" priority="183" operator="containsText" text="M">
      <formula>NOT(ISERROR(SEARCH("M",AH8)))</formula>
    </cfRule>
    <cfRule type="containsText" dxfId="684" priority="184" operator="containsText" text="STM1">
      <formula>NOT(ISERROR(SEARCH("STM1",AH8)))</formula>
    </cfRule>
    <cfRule type="containsText" dxfId="683" priority="185" operator="containsText" text="M">
      <formula>NOT(ISERROR(SEARCH("M",AH8)))</formula>
    </cfRule>
    <cfRule type="containsText" dxfId="682" priority="186" operator="containsText" text="STM">
      <formula>NOT(ISERROR(SEARCH("STM",AH8)))</formula>
    </cfRule>
    <cfRule type="containsText" dxfId="681" priority="187" operator="containsText" text="STM">
      <formula>NOT(ISERROR(SEARCH("STM",AH8)))</formula>
    </cfRule>
  </conditionalFormatting>
  <conditionalFormatting sqref="AG9">
    <cfRule type="containsText" dxfId="680" priority="172" operator="containsText" text="STN">
      <formula>NOT(ISERROR(SEARCH("STN",AG9)))</formula>
    </cfRule>
    <cfRule type="containsText" dxfId="679" priority="173" operator="containsText" text="STN">
      <formula>NOT(ISERROR(SEARCH("STN",AG9)))</formula>
    </cfRule>
    <cfRule type="containsText" dxfId="678" priority="174" operator="containsText" text="STM">
      <formula>NOT(ISERROR(SEARCH("STM",AG9)))</formula>
    </cfRule>
    <cfRule type="containsText" dxfId="677" priority="175" operator="containsText" text="M">
      <formula>NOT(ISERROR(SEARCH("M",AG9)))</formula>
    </cfRule>
    <cfRule type="containsText" dxfId="676" priority="176" operator="containsText" text="STM1">
      <formula>NOT(ISERROR(SEARCH("STM1",AG9)))</formula>
    </cfRule>
    <cfRule type="containsText" dxfId="675" priority="177" operator="containsText" text="M">
      <formula>NOT(ISERROR(SEARCH("M",AG9)))</formula>
    </cfRule>
    <cfRule type="containsText" dxfId="674" priority="178" operator="containsText" text="STM">
      <formula>NOT(ISERROR(SEARCH("STM",AG9)))</formula>
    </cfRule>
    <cfRule type="containsText" dxfId="673" priority="179" operator="containsText" text="STM">
      <formula>NOT(ISERROR(SEARCH("STM",AG9)))</formula>
    </cfRule>
  </conditionalFormatting>
  <conditionalFormatting sqref="AF10">
    <cfRule type="containsText" dxfId="672" priority="164" operator="containsText" text="STN">
      <formula>NOT(ISERROR(SEARCH("STN",AF10)))</formula>
    </cfRule>
    <cfRule type="containsText" dxfId="671" priority="165" operator="containsText" text="STN">
      <formula>NOT(ISERROR(SEARCH("STN",AF10)))</formula>
    </cfRule>
    <cfRule type="containsText" dxfId="670" priority="166" operator="containsText" text="STM">
      <formula>NOT(ISERROR(SEARCH("STM",AF10)))</formula>
    </cfRule>
    <cfRule type="containsText" dxfId="669" priority="167" operator="containsText" text="M">
      <formula>NOT(ISERROR(SEARCH("M",AF10)))</formula>
    </cfRule>
    <cfRule type="containsText" dxfId="668" priority="168" operator="containsText" text="STM1">
      <formula>NOT(ISERROR(SEARCH("STM1",AF10)))</formula>
    </cfRule>
    <cfRule type="containsText" dxfId="667" priority="169" operator="containsText" text="M">
      <formula>NOT(ISERROR(SEARCH("M",AF10)))</formula>
    </cfRule>
    <cfRule type="containsText" dxfId="666" priority="170" operator="containsText" text="STM">
      <formula>NOT(ISERROR(SEARCH("STM",AF10)))</formula>
    </cfRule>
    <cfRule type="containsText" dxfId="665" priority="171" operator="containsText" text="STM">
      <formula>NOT(ISERROR(SEARCH("STM",AF10)))</formula>
    </cfRule>
  </conditionalFormatting>
  <conditionalFormatting sqref="AE11:AE12">
    <cfRule type="containsText" dxfId="664" priority="156" operator="containsText" text="STN">
      <formula>NOT(ISERROR(SEARCH("STN",AE11)))</formula>
    </cfRule>
    <cfRule type="containsText" dxfId="663" priority="157" operator="containsText" text="STN">
      <formula>NOT(ISERROR(SEARCH("STN",AE11)))</formula>
    </cfRule>
    <cfRule type="containsText" dxfId="662" priority="158" operator="containsText" text="STM">
      <formula>NOT(ISERROR(SEARCH("STM",AE11)))</formula>
    </cfRule>
    <cfRule type="containsText" dxfId="661" priority="159" operator="containsText" text="M">
      <formula>NOT(ISERROR(SEARCH("M",AE11)))</formula>
    </cfRule>
    <cfRule type="containsText" dxfId="660" priority="160" operator="containsText" text="STM1">
      <formula>NOT(ISERROR(SEARCH("STM1",AE11)))</formula>
    </cfRule>
    <cfRule type="containsText" dxfId="659" priority="161" operator="containsText" text="M">
      <formula>NOT(ISERROR(SEARCH("M",AE11)))</formula>
    </cfRule>
    <cfRule type="containsText" dxfId="658" priority="162" operator="containsText" text="STM">
      <formula>NOT(ISERROR(SEARCH("STM",AE11)))</formula>
    </cfRule>
    <cfRule type="containsText" dxfId="657" priority="163" operator="containsText" text="STM">
      <formula>NOT(ISERROR(SEARCH("STM",AE11)))</formula>
    </cfRule>
  </conditionalFormatting>
  <conditionalFormatting sqref="AD12">
    <cfRule type="containsText" dxfId="656" priority="148" operator="containsText" text="STN">
      <formula>NOT(ISERROR(SEARCH("STN",AD12)))</formula>
    </cfRule>
    <cfRule type="containsText" dxfId="655" priority="149" operator="containsText" text="STN">
      <formula>NOT(ISERROR(SEARCH("STN",AD12)))</formula>
    </cfRule>
    <cfRule type="containsText" dxfId="654" priority="150" operator="containsText" text="STM">
      <formula>NOT(ISERROR(SEARCH("STM",AD12)))</formula>
    </cfRule>
    <cfRule type="containsText" dxfId="653" priority="151" operator="containsText" text="M">
      <formula>NOT(ISERROR(SEARCH("M",AD12)))</formula>
    </cfRule>
    <cfRule type="containsText" dxfId="652" priority="152" operator="containsText" text="STM1">
      <formula>NOT(ISERROR(SEARCH("STM1",AD12)))</formula>
    </cfRule>
    <cfRule type="containsText" dxfId="651" priority="153" operator="containsText" text="M">
      <formula>NOT(ISERROR(SEARCH("M",AD12)))</formula>
    </cfRule>
    <cfRule type="containsText" dxfId="650" priority="154" operator="containsText" text="STM">
      <formula>NOT(ISERROR(SEARCH("STM",AD12)))</formula>
    </cfRule>
    <cfRule type="containsText" dxfId="649" priority="155" operator="containsText" text="STM">
      <formula>NOT(ISERROR(SEARCH("STM",AD12)))</formula>
    </cfRule>
  </conditionalFormatting>
  <conditionalFormatting sqref="AC13">
    <cfRule type="containsText" dxfId="648" priority="140" operator="containsText" text="STN">
      <formula>NOT(ISERROR(SEARCH("STN",AC13)))</formula>
    </cfRule>
    <cfRule type="containsText" dxfId="647" priority="141" operator="containsText" text="STN">
      <formula>NOT(ISERROR(SEARCH("STN",AC13)))</formula>
    </cfRule>
    <cfRule type="containsText" dxfId="646" priority="142" operator="containsText" text="STM">
      <formula>NOT(ISERROR(SEARCH("STM",AC13)))</formula>
    </cfRule>
    <cfRule type="containsText" dxfId="645" priority="143" operator="containsText" text="M">
      <formula>NOT(ISERROR(SEARCH("M",AC13)))</formula>
    </cfRule>
    <cfRule type="containsText" dxfId="644" priority="144" operator="containsText" text="STM1">
      <formula>NOT(ISERROR(SEARCH("STM1",AC13)))</formula>
    </cfRule>
    <cfRule type="containsText" dxfId="643" priority="145" operator="containsText" text="M">
      <formula>NOT(ISERROR(SEARCH("M",AC13)))</formula>
    </cfRule>
    <cfRule type="containsText" dxfId="642" priority="146" operator="containsText" text="STM">
      <formula>NOT(ISERROR(SEARCH("STM",AC13)))</formula>
    </cfRule>
    <cfRule type="containsText" dxfId="641" priority="147" operator="containsText" text="STM">
      <formula>NOT(ISERROR(SEARCH("STM",AC13)))</formula>
    </cfRule>
  </conditionalFormatting>
  <conditionalFormatting sqref="X14:Y14">
    <cfRule type="containsText" dxfId="640" priority="132" operator="containsText" text="STN">
      <formula>NOT(ISERROR(SEARCH("STN",X14)))</formula>
    </cfRule>
    <cfRule type="containsText" dxfId="639" priority="133" operator="containsText" text="STN">
      <formula>NOT(ISERROR(SEARCH("STN",X14)))</formula>
    </cfRule>
    <cfRule type="containsText" dxfId="638" priority="134" operator="containsText" text="STM">
      <formula>NOT(ISERROR(SEARCH("STM",X14)))</formula>
    </cfRule>
    <cfRule type="containsText" dxfId="637" priority="135" operator="containsText" text="M">
      <formula>NOT(ISERROR(SEARCH("M",X14)))</formula>
    </cfRule>
    <cfRule type="containsText" dxfId="636" priority="136" operator="containsText" text="STM1">
      <formula>NOT(ISERROR(SEARCH("STM1",X14)))</formula>
    </cfRule>
    <cfRule type="containsText" dxfId="635" priority="137" operator="containsText" text="M">
      <formula>NOT(ISERROR(SEARCH("M",X14)))</formula>
    </cfRule>
    <cfRule type="containsText" dxfId="634" priority="138" operator="containsText" text="STM">
      <formula>NOT(ISERROR(SEARCH("STM",X14)))</formula>
    </cfRule>
    <cfRule type="containsText" dxfId="633" priority="139" operator="containsText" text="STM">
      <formula>NOT(ISERROR(SEARCH("STM",X14)))</formula>
    </cfRule>
  </conditionalFormatting>
  <conditionalFormatting sqref="AF14:AG14">
    <cfRule type="containsText" dxfId="632" priority="124" operator="containsText" text="STN">
      <formula>NOT(ISERROR(SEARCH("STN",AF14)))</formula>
    </cfRule>
    <cfRule type="containsText" dxfId="631" priority="125" operator="containsText" text="STN">
      <formula>NOT(ISERROR(SEARCH("STN",AF14)))</formula>
    </cfRule>
    <cfRule type="containsText" dxfId="630" priority="126" operator="containsText" text="STM">
      <formula>NOT(ISERROR(SEARCH("STM",AF14)))</formula>
    </cfRule>
    <cfRule type="containsText" dxfId="629" priority="127" operator="containsText" text="M">
      <formula>NOT(ISERROR(SEARCH("M",AF14)))</formula>
    </cfRule>
    <cfRule type="containsText" dxfId="628" priority="128" operator="containsText" text="STM1">
      <formula>NOT(ISERROR(SEARCH("STM1",AF14)))</formula>
    </cfRule>
    <cfRule type="containsText" dxfId="627" priority="129" operator="containsText" text="M">
      <formula>NOT(ISERROR(SEARCH("M",AF14)))</formula>
    </cfRule>
    <cfRule type="containsText" dxfId="626" priority="130" operator="containsText" text="STM">
      <formula>NOT(ISERROR(SEARCH("STM",AF14)))</formula>
    </cfRule>
    <cfRule type="containsText" dxfId="625" priority="131" operator="containsText" text="STM">
      <formula>NOT(ISERROR(SEARCH("STM",AF14)))</formula>
    </cfRule>
  </conditionalFormatting>
  <conditionalFormatting sqref="AA15:AE15">
    <cfRule type="containsText" dxfId="624" priority="116" operator="containsText" text="STN">
      <formula>NOT(ISERROR(SEARCH("STN",AA15)))</formula>
    </cfRule>
    <cfRule type="containsText" dxfId="623" priority="117" operator="containsText" text="STN">
      <formula>NOT(ISERROR(SEARCH("STN",AA15)))</formula>
    </cfRule>
    <cfRule type="containsText" dxfId="622" priority="118" operator="containsText" text="STM">
      <formula>NOT(ISERROR(SEARCH("STM",AA15)))</formula>
    </cfRule>
    <cfRule type="containsText" dxfId="621" priority="119" operator="containsText" text="M">
      <formula>NOT(ISERROR(SEARCH("M",AA15)))</formula>
    </cfRule>
    <cfRule type="containsText" dxfId="620" priority="120" operator="containsText" text="STM1">
      <formula>NOT(ISERROR(SEARCH("STM1",AA15)))</formula>
    </cfRule>
    <cfRule type="containsText" dxfId="619" priority="121" operator="containsText" text="M">
      <formula>NOT(ISERROR(SEARCH("M",AA15)))</formula>
    </cfRule>
    <cfRule type="containsText" dxfId="618" priority="122" operator="containsText" text="STM">
      <formula>NOT(ISERROR(SEARCH("STM",AA15)))</formula>
    </cfRule>
    <cfRule type="containsText" dxfId="617" priority="123" operator="containsText" text="STM">
      <formula>NOT(ISERROR(SEARCH("STM",AA15)))</formula>
    </cfRule>
  </conditionalFormatting>
  <conditionalFormatting sqref="AH16:AH17">
    <cfRule type="containsText" dxfId="616" priority="108" operator="containsText" text="STN">
      <formula>NOT(ISERROR(SEARCH("STN",AH16)))</formula>
    </cfRule>
    <cfRule type="containsText" dxfId="615" priority="109" operator="containsText" text="STN">
      <formula>NOT(ISERROR(SEARCH("STN",AH16)))</formula>
    </cfRule>
    <cfRule type="containsText" dxfId="614" priority="110" operator="containsText" text="STM">
      <formula>NOT(ISERROR(SEARCH("STM",AH16)))</formula>
    </cfRule>
    <cfRule type="containsText" dxfId="613" priority="111" operator="containsText" text="M">
      <formula>NOT(ISERROR(SEARCH("M",AH16)))</formula>
    </cfRule>
    <cfRule type="containsText" dxfId="612" priority="112" operator="containsText" text="STM1">
      <formula>NOT(ISERROR(SEARCH("STM1",AH16)))</formula>
    </cfRule>
    <cfRule type="containsText" dxfId="611" priority="113" operator="containsText" text="M">
      <formula>NOT(ISERROR(SEARCH("M",AH16)))</formula>
    </cfRule>
    <cfRule type="containsText" dxfId="610" priority="114" operator="containsText" text="STM">
      <formula>NOT(ISERROR(SEARCH("STM",AH16)))</formula>
    </cfRule>
    <cfRule type="containsText" dxfId="609" priority="115" operator="containsText" text="STM">
      <formula>NOT(ISERROR(SEARCH("STM",AH16)))</formula>
    </cfRule>
  </conditionalFormatting>
  <conditionalFormatting sqref="T16:X17">
    <cfRule type="containsText" dxfId="608" priority="100" operator="containsText" text="STN">
      <formula>NOT(ISERROR(SEARCH("STN",T16)))</formula>
    </cfRule>
    <cfRule type="containsText" dxfId="607" priority="101" operator="containsText" text="STN">
      <formula>NOT(ISERROR(SEARCH("STN",T16)))</formula>
    </cfRule>
    <cfRule type="containsText" dxfId="606" priority="102" operator="containsText" text="STM">
      <formula>NOT(ISERROR(SEARCH("STM",T16)))</formula>
    </cfRule>
    <cfRule type="containsText" dxfId="605" priority="103" operator="containsText" text="M">
      <formula>NOT(ISERROR(SEARCH("M",T16)))</formula>
    </cfRule>
    <cfRule type="containsText" dxfId="604" priority="104" operator="containsText" text="STM1">
      <formula>NOT(ISERROR(SEARCH("STM1",T16)))</formula>
    </cfRule>
    <cfRule type="containsText" dxfId="603" priority="105" operator="containsText" text="M">
      <formula>NOT(ISERROR(SEARCH("M",T16)))</formula>
    </cfRule>
    <cfRule type="containsText" dxfId="602" priority="106" operator="containsText" text="STM">
      <formula>NOT(ISERROR(SEARCH("STM",T16)))</formula>
    </cfRule>
    <cfRule type="containsText" dxfId="601" priority="107" operator="containsText" text="STM">
      <formula>NOT(ISERROR(SEARCH("STM",T16)))</formula>
    </cfRule>
  </conditionalFormatting>
  <conditionalFormatting sqref="U8:U9">
    <cfRule type="containsText" dxfId="600" priority="85" operator="containsText" text="STM1">
      <formula>NOT(ISERROR(SEARCH("STM1",U8)))</formula>
    </cfRule>
    <cfRule type="containsText" dxfId="599" priority="86" operator="containsText" text="STA">
      <formula>NOT(ISERROR(SEARCH("STA",U8)))</formula>
    </cfRule>
    <cfRule type="containsText" dxfId="598" priority="87" operator="containsText" text="STM1">
      <formula>NOT(ISERROR(SEARCH("STM1",U8)))</formula>
    </cfRule>
    <cfRule type="containsText" dxfId="597" priority="88" operator="containsText" text="O">
      <formula>NOT(ISERROR(SEARCH("O",U8)))</formula>
    </cfRule>
    <cfRule type="containsText" dxfId="596" priority="89" operator="containsText" text="N">
      <formula>NOT(ISERROR(SEARCH("N",U8)))</formula>
    </cfRule>
    <cfRule type="containsText" dxfId="595" priority="90" operator="containsText" text="A">
      <formula>NOT(ISERROR(SEARCH("A",U8)))</formula>
    </cfRule>
    <cfRule type="containsText" dxfId="594" priority="91" operator="containsText" text="M">
      <formula>NOT(ISERROR(SEARCH("M",U8)))</formula>
    </cfRule>
  </conditionalFormatting>
  <conditionalFormatting sqref="U8:U9">
    <cfRule type="containsText" dxfId="593" priority="77" operator="containsText" text="STN">
      <formula>NOT(ISERROR(SEARCH("STN",U8)))</formula>
    </cfRule>
    <cfRule type="containsText" dxfId="592" priority="78" operator="containsText" text="STN">
      <formula>NOT(ISERROR(SEARCH("STN",U8)))</formula>
    </cfRule>
    <cfRule type="containsText" dxfId="591" priority="79" operator="containsText" text="STM">
      <formula>NOT(ISERROR(SEARCH("STM",U8)))</formula>
    </cfRule>
    <cfRule type="containsText" dxfId="590" priority="80" operator="containsText" text="M">
      <formula>NOT(ISERROR(SEARCH("M",U8)))</formula>
    </cfRule>
    <cfRule type="containsText" dxfId="589" priority="81" operator="containsText" text="STM1">
      <formula>NOT(ISERROR(SEARCH("STM1",U8)))</formula>
    </cfRule>
    <cfRule type="containsText" dxfId="588" priority="82" operator="containsText" text="M">
      <formula>NOT(ISERROR(SEARCH("M",U8)))</formula>
    </cfRule>
    <cfRule type="containsText" dxfId="587" priority="83" operator="containsText" text="STM">
      <formula>NOT(ISERROR(SEARCH("STM",U8)))</formula>
    </cfRule>
    <cfRule type="containsText" dxfId="586" priority="84" operator="containsText" text="STM">
      <formula>NOT(ISERROR(SEARCH("STM",U8)))</formula>
    </cfRule>
  </conditionalFormatting>
  <conditionalFormatting sqref="V7:V8">
    <cfRule type="containsText" dxfId="585" priority="70" operator="containsText" text="STM1">
      <formula>NOT(ISERROR(SEARCH("STM1",V7)))</formula>
    </cfRule>
    <cfRule type="containsText" dxfId="584" priority="71" operator="containsText" text="STA">
      <formula>NOT(ISERROR(SEARCH("STA",V7)))</formula>
    </cfRule>
    <cfRule type="containsText" dxfId="583" priority="72" operator="containsText" text="STM1">
      <formula>NOT(ISERROR(SEARCH("STM1",V7)))</formula>
    </cfRule>
    <cfRule type="containsText" dxfId="582" priority="73" operator="containsText" text="O">
      <formula>NOT(ISERROR(SEARCH("O",V7)))</formula>
    </cfRule>
    <cfRule type="containsText" dxfId="581" priority="74" operator="containsText" text="N">
      <formula>NOT(ISERROR(SEARCH("N",V7)))</formula>
    </cfRule>
    <cfRule type="containsText" dxfId="580" priority="75" operator="containsText" text="A">
      <formula>NOT(ISERROR(SEARCH("A",V7)))</formula>
    </cfRule>
    <cfRule type="containsText" dxfId="579" priority="76" operator="containsText" text="M">
      <formula>NOT(ISERROR(SEARCH("M",V7)))</formula>
    </cfRule>
  </conditionalFormatting>
  <conditionalFormatting sqref="V7:V8">
    <cfRule type="containsText" dxfId="578" priority="62" operator="containsText" text="STN">
      <formula>NOT(ISERROR(SEARCH("STN",V7)))</formula>
    </cfRule>
    <cfRule type="containsText" dxfId="577" priority="63" operator="containsText" text="STN">
      <formula>NOT(ISERROR(SEARCH("STN",V7)))</formula>
    </cfRule>
    <cfRule type="containsText" dxfId="576" priority="64" operator="containsText" text="STM">
      <formula>NOT(ISERROR(SEARCH("STM",V7)))</formula>
    </cfRule>
    <cfRule type="containsText" dxfId="575" priority="65" operator="containsText" text="M">
      <formula>NOT(ISERROR(SEARCH("M",V7)))</formula>
    </cfRule>
    <cfRule type="containsText" dxfId="574" priority="66" operator="containsText" text="STM1">
      <formula>NOT(ISERROR(SEARCH("STM1",V7)))</formula>
    </cfRule>
    <cfRule type="containsText" dxfId="573" priority="67" operator="containsText" text="M">
      <formula>NOT(ISERROR(SEARCH("M",V7)))</formula>
    </cfRule>
    <cfRule type="containsText" dxfId="572" priority="68" operator="containsText" text="STM">
      <formula>NOT(ISERROR(SEARCH("STM",V7)))</formula>
    </cfRule>
    <cfRule type="containsText" dxfId="571" priority="69" operator="containsText" text="STM">
      <formula>NOT(ISERROR(SEARCH("STM",V7)))</formula>
    </cfRule>
  </conditionalFormatting>
  <conditionalFormatting sqref="W6:W7">
    <cfRule type="containsText" dxfId="570" priority="55" operator="containsText" text="STM1">
      <formula>NOT(ISERROR(SEARCH("STM1",W6)))</formula>
    </cfRule>
    <cfRule type="containsText" dxfId="569" priority="56" operator="containsText" text="STA">
      <formula>NOT(ISERROR(SEARCH("STA",W6)))</formula>
    </cfRule>
    <cfRule type="containsText" dxfId="568" priority="57" operator="containsText" text="STM1">
      <formula>NOT(ISERROR(SEARCH("STM1",W6)))</formula>
    </cfRule>
    <cfRule type="containsText" dxfId="567" priority="58" operator="containsText" text="O">
      <formula>NOT(ISERROR(SEARCH("O",W6)))</formula>
    </cfRule>
    <cfRule type="containsText" dxfId="566" priority="59" operator="containsText" text="N">
      <formula>NOT(ISERROR(SEARCH("N",W6)))</formula>
    </cfRule>
    <cfRule type="containsText" dxfId="565" priority="60" operator="containsText" text="A">
      <formula>NOT(ISERROR(SEARCH("A",W6)))</formula>
    </cfRule>
    <cfRule type="containsText" dxfId="564" priority="61" operator="containsText" text="M">
      <formula>NOT(ISERROR(SEARCH("M",W6)))</formula>
    </cfRule>
  </conditionalFormatting>
  <conditionalFormatting sqref="W6:W7">
    <cfRule type="containsText" dxfId="563" priority="47" operator="containsText" text="STN">
      <formula>NOT(ISERROR(SEARCH("STN",W6)))</formula>
    </cfRule>
    <cfRule type="containsText" dxfId="562" priority="48" operator="containsText" text="STN">
      <formula>NOT(ISERROR(SEARCH("STN",W6)))</formula>
    </cfRule>
    <cfRule type="containsText" dxfId="561" priority="49" operator="containsText" text="STM">
      <formula>NOT(ISERROR(SEARCH("STM",W6)))</formula>
    </cfRule>
    <cfRule type="containsText" dxfId="560" priority="50" operator="containsText" text="M">
      <formula>NOT(ISERROR(SEARCH("M",W6)))</formula>
    </cfRule>
    <cfRule type="containsText" dxfId="559" priority="51" operator="containsText" text="STM1">
      <formula>NOT(ISERROR(SEARCH("STM1",W6)))</formula>
    </cfRule>
    <cfRule type="containsText" dxfId="558" priority="52" operator="containsText" text="M">
      <formula>NOT(ISERROR(SEARCH("M",W6)))</formula>
    </cfRule>
    <cfRule type="containsText" dxfId="557" priority="53" operator="containsText" text="STM">
      <formula>NOT(ISERROR(SEARCH("STM",W6)))</formula>
    </cfRule>
    <cfRule type="containsText" dxfId="556" priority="54" operator="containsText" text="STM">
      <formula>NOT(ISERROR(SEARCH("STM",W6)))</formula>
    </cfRule>
  </conditionalFormatting>
  <conditionalFormatting sqref="N14">
    <cfRule type="containsText" dxfId="555" priority="1" operator="containsText" text="STN">
      <formula>NOT(ISERROR(SEARCH("STN",N14)))</formula>
    </cfRule>
    <cfRule type="containsText" dxfId="554" priority="2" operator="containsText" text="STN">
      <formula>NOT(ISERROR(SEARCH("STN",N14)))</formula>
    </cfRule>
    <cfRule type="containsText" dxfId="553" priority="3" operator="containsText" text="STM">
      <formula>NOT(ISERROR(SEARCH("STM",N14)))</formula>
    </cfRule>
    <cfRule type="containsText" dxfId="552" priority="4" operator="containsText" text="M">
      <formula>NOT(ISERROR(SEARCH("M",N14)))</formula>
    </cfRule>
    <cfRule type="containsText" dxfId="551" priority="5" operator="containsText" text="STM1">
      <formula>NOT(ISERROR(SEARCH("STM1",N14)))</formula>
    </cfRule>
    <cfRule type="containsText" dxfId="550" priority="6" operator="containsText" text="M">
      <formula>NOT(ISERROR(SEARCH("M",N14)))</formula>
    </cfRule>
    <cfRule type="containsText" dxfId="549" priority="7" operator="containsText" text="STM">
      <formula>NOT(ISERROR(SEARCH("STM",N14)))</formula>
    </cfRule>
    <cfRule type="containsText" dxfId="548" priority="8" operator="containsText" text="STM">
      <formula>NOT(ISERROR(SEARCH("STM",N14)))</formula>
    </cfRule>
  </conditionalFormatting>
  <conditionalFormatting sqref="M14">
    <cfRule type="containsText" dxfId="547" priority="9" operator="containsText" text="STN">
      <formula>NOT(ISERROR(SEARCH("STN",M14)))</formula>
    </cfRule>
    <cfRule type="containsText" dxfId="546" priority="10" operator="containsText" text="STN">
      <formula>NOT(ISERROR(SEARCH("STN",M14)))</formula>
    </cfRule>
    <cfRule type="containsText" dxfId="545" priority="11" operator="containsText" text="STM">
      <formula>NOT(ISERROR(SEARCH("STM",M14)))</formula>
    </cfRule>
    <cfRule type="containsText" dxfId="544" priority="12" operator="containsText" text="M">
      <formula>NOT(ISERROR(SEARCH("M",M14)))</formula>
    </cfRule>
    <cfRule type="containsText" dxfId="543" priority="13" operator="containsText" text="STM1">
      <formula>NOT(ISERROR(SEARCH("STM1",M14)))</formula>
    </cfRule>
    <cfRule type="containsText" dxfId="542" priority="14" operator="containsText" text="M">
      <formula>NOT(ISERROR(SEARCH("M",M14)))</formula>
    </cfRule>
    <cfRule type="containsText" dxfId="541" priority="15" operator="containsText" text="STM">
      <formula>NOT(ISERROR(SEARCH("STM",M14)))</formula>
    </cfRule>
    <cfRule type="containsText" dxfId="540" priority="16" operator="containsText" text="STM">
      <formula>NOT(ISERROR(SEARCH("STM",M14)))</formula>
    </cfRule>
  </conditionalFormatting>
  <conditionalFormatting sqref="K16:L17 Y16:Z17 R16:S17 AF16:AG17">
    <cfRule type="dataBar" priority="1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{0CFA9A09-FF35-46BF-BE50-AA1CE6D3E5EE}</x14:id>
        </ext>
      </extLst>
    </cfRule>
  </conditionalFormatting>
  <conditionalFormatting sqref="E16:E17">
    <cfRule type="dataBar" priority="14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{23B2980E-5AED-4043-A7E3-B9205E11CF75}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FA9A09-FF35-46BF-BE50-AA1CE6D3E5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K16:L17 Y16:Z17 R16:S17 AF16:AG17</xm:sqref>
        </x14:conditionalFormatting>
        <x14:conditionalFormatting xmlns:xm="http://schemas.microsoft.com/office/excel/2006/main">
          <x14:cfRule type="dataBar" id="{23B2980E-5AED-4043-A7E3-B9205E11C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E16:E17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376F-1769-4D1F-A583-C62FA78445F3}">
  <dimension ref="B2:AO38"/>
  <sheetViews>
    <sheetView zoomScale="70" zoomScaleNormal="70" workbookViewId="0">
      <selection activeCell="AB42" sqref="AB42"/>
    </sheetView>
  </sheetViews>
  <sheetFormatPr defaultRowHeight="15.75" x14ac:dyDescent="0.25"/>
  <cols>
    <col min="1" max="1" width="3.42578125" style="1" customWidth="1"/>
    <col min="2" max="2" width="12.85546875" style="1" customWidth="1"/>
    <col min="3" max="3" width="15.42578125" style="3" customWidth="1"/>
    <col min="4" max="4" width="2.28515625" style="1" customWidth="1"/>
    <col min="5" max="35" width="10.7109375" style="1" customWidth="1"/>
    <col min="36" max="36" width="4.28515625" style="1" customWidth="1"/>
    <col min="37" max="16384" width="9.140625" style="1"/>
  </cols>
  <sheetData>
    <row r="2" spans="2:41" ht="39" customHeight="1" x14ac:dyDescent="0.5">
      <c r="E2" s="39" t="s">
        <v>112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K2" s="36" t="s">
        <v>63</v>
      </c>
      <c r="AL2" s="36" t="s">
        <v>64</v>
      </c>
      <c r="AM2" s="36" t="s">
        <v>67</v>
      </c>
      <c r="AN2" s="36" t="s">
        <v>65</v>
      </c>
      <c r="AO2" s="36" t="s">
        <v>66</v>
      </c>
    </row>
    <row r="3" spans="2:41" ht="39" x14ac:dyDescent="0.3">
      <c r="B3" s="41" t="s">
        <v>56</v>
      </c>
      <c r="C3" s="42"/>
      <c r="E3" s="13" t="s">
        <v>51</v>
      </c>
      <c r="F3" s="13" t="s">
        <v>52</v>
      </c>
      <c r="G3" s="13" t="s">
        <v>46</v>
      </c>
      <c r="H3" s="13" t="s">
        <v>47</v>
      </c>
      <c r="I3" s="13" t="s">
        <v>48</v>
      </c>
      <c r="J3" s="13" t="s">
        <v>49</v>
      </c>
      <c r="K3" s="13" t="s">
        <v>50</v>
      </c>
      <c r="L3" s="13" t="s">
        <v>51</v>
      </c>
      <c r="M3" s="13" t="s">
        <v>52</v>
      </c>
      <c r="N3" s="13" t="s">
        <v>46</v>
      </c>
      <c r="O3" s="13" t="s">
        <v>47</v>
      </c>
      <c r="P3" s="13" t="s">
        <v>48</v>
      </c>
      <c r="Q3" s="13" t="s">
        <v>49</v>
      </c>
      <c r="R3" s="13" t="s">
        <v>50</v>
      </c>
      <c r="S3" s="13" t="s">
        <v>51</v>
      </c>
      <c r="T3" s="13" t="s">
        <v>52</v>
      </c>
      <c r="U3" s="13" t="s">
        <v>46</v>
      </c>
      <c r="V3" s="13" t="s">
        <v>47</v>
      </c>
      <c r="W3" s="13" t="s">
        <v>48</v>
      </c>
      <c r="X3" s="13" t="s">
        <v>49</v>
      </c>
      <c r="Y3" s="13" t="s">
        <v>50</v>
      </c>
      <c r="Z3" s="13" t="s">
        <v>51</v>
      </c>
      <c r="AA3" s="13" t="s">
        <v>52</v>
      </c>
      <c r="AB3" s="13" t="s">
        <v>46</v>
      </c>
      <c r="AC3" s="14" t="s">
        <v>47</v>
      </c>
      <c r="AD3" s="13" t="s">
        <v>48</v>
      </c>
      <c r="AE3" s="13" t="s">
        <v>49</v>
      </c>
      <c r="AF3" s="13" t="s">
        <v>50</v>
      </c>
      <c r="AG3" s="13" t="s">
        <v>51</v>
      </c>
      <c r="AH3" s="13" t="s">
        <v>52</v>
      </c>
      <c r="AI3" s="15"/>
      <c r="AK3" s="37"/>
      <c r="AL3" s="37"/>
      <c r="AM3" s="37"/>
      <c r="AN3" s="37"/>
      <c r="AO3" s="37"/>
    </row>
    <row r="4" spans="2:41" ht="18.75" x14ac:dyDescent="0.3">
      <c r="B4" s="43"/>
      <c r="C4" s="44"/>
      <c r="E4" s="28">
        <v>1</v>
      </c>
      <c r="F4" s="28">
        <v>2</v>
      </c>
      <c r="G4" s="28">
        <v>3</v>
      </c>
      <c r="H4" s="28">
        <v>4</v>
      </c>
      <c r="I4" s="28">
        <v>5</v>
      </c>
      <c r="J4" s="28">
        <v>6</v>
      </c>
      <c r="K4" s="28">
        <v>7</v>
      </c>
      <c r="L4" s="28">
        <v>8</v>
      </c>
      <c r="M4" s="28">
        <v>9</v>
      </c>
      <c r="N4" s="28">
        <v>10</v>
      </c>
      <c r="O4" s="28">
        <v>11</v>
      </c>
      <c r="P4" s="28">
        <v>12</v>
      </c>
      <c r="Q4" s="28">
        <v>13</v>
      </c>
      <c r="R4" s="28">
        <v>14</v>
      </c>
      <c r="S4" s="28">
        <v>15</v>
      </c>
      <c r="T4" s="28">
        <v>16</v>
      </c>
      <c r="U4" s="28">
        <v>17</v>
      </c>
      <c r="V4" s="28">
        <v>18</v>
      </c>
      <c r="W4" s="28">
        <v>19</v>
      </c>
      <c r="X4" s="28">
        <v>20</v>
      </c>
      <c r="Y4" s="28">
        <v>21</v>
      </c>
      <c r="Z4" s="28">
        <v>22</v>
      </c>
      <c r="AA4" s="28">
        <v>23</v>
      </c>
      <c r="AB4" s="28">
        <v>24</v>
      </c>
      <c r="AC4" s="28">
        <v>25</v>
      </c>
      <c r="AD4" s="28">
        <v>26</v>
      </c>
      <c r="AE4" s="28">
        <v>27</v>
      </c>
      <c r="AF4" s="28">
        <v>28</v>
      </c>
      <c r="AG4" s="28">
        <v>29</v>
      </c>
      <c r="AH4" s="28">
        <v>30</v>
      </c>
      <c r="AI4" s="31"/>
      <c r="AK4" s="38"/>
      <c r="AL4" s="38"/>
      <c r="AM4" s="38"/>
      <c r="AN4" s="38"/>
      <c r="AO4" s="38"/>
    </row>
    <row r="5" spans="2:41" ht="18.75" x14ac:dyDescent="0.25">
      <c r="B5" s="58" t="s">
        <v>91</v>
      </c>
      <c r="C5" s="58"/>
      <c r="E5" s="29" t="s">
        <v>131</v>
      </c>
      <c r="F5" s="27" t="s">
        <v>125</v>
      </c>
      <c r="G5" s="30" t="s">
        <v>126</v>
      </c>
      <c r="H5" s="27" t="s">
        <v>127</v>
      </c>
      <c r="I5" s="27" t="s">
        <v>127</v>
      </c>
      <c r="J5" s="27" t="s">
        <v>5</v>
      </c>
      <c r="K5" s="27" t="s">
        <v>6</v>
      </c>
      <c r="L5" s="27" t="s">
        <v>7</v>
      </c>
      <c r="M5" s="29" t="s">
        <v>131</v>
      </c>
      <c r="N5" s="27" t="s">
        <v>125</v>
      </c>
      <c r="O5" s="30" t="s">
        <v>126</v>
      </c>
      <c r="P5" s="27" t="s">
        <v>127</v>
      </c>
      <c r="Q5" s="27" t="s">
        <v>127</v>
      </c>
      <c r="R5" s="27" t="s">
        <v>5</v>
      </c>
      <c r="S5" s="27" t="s">
        <v>6</v>
      </c>
      <c r="T5" s="27" t="s">
        <v>7</v>
      </c>
      <c r="U5" s="29" t="s">
        <v>131</v>
      </c>
      <c r="V5" s="27" t="s">
        <v>125</v>
      </c>
      <c r="W5" s="30" t="s">
        <v>126</v>
      </c>
      <c r="X5" s="27" t="s">
        <v>127</v>
      </c>
      <c r="Y5" s="27" t="s">
        <v>127</v>
      </c>
      <c r="Z5" s="27" t="s">
        <v>5</v>
      </c>
      <c r="AA5" s="27" t="s">
        <v>6</v>
      </c>
      <c r="AB5" s="27" t="s">
        <v>7</v>
      </c>
      <c r="AC5" s="27" t="s">
        <v>125</v>
      </c>
      <c r="AD5" s="27" t="s">
        <v>125</v>
      </c>
      <c r="AE5" s="27" t="s">
        <v>132</v>
      </c>
      <c r="AF5" s="30" t="s">
        <v>126</v>
      </c>
      <c r="AG5" s="27" t="s">
        <v>127</v>
      </c>
      <c r="AH5" s="27" t="s">
        <v>5</v>
      </c>
      <c r="AI5" s="2"/>
      <c r="AK5" s="26">
        <f>COUNTIF($E5:$AI5,"ST*")</f>
        <v>4</v>
      </c>
      <c r="AL5" s="26">
        <f>COUNTIF($E5:$AI5,"M*")</f>
        <v>5</v>
      </c>
      <c r="AM5" s="26">
        <f>COUNTIF($E5:$AI5,"A*")</f>
        <v>4</v>
      </c>
      <c r="AN5" s="26">
        <f>COUNTIF($E5:$AI5,"N*")</f>
        <v>7</v>
      </c>
      <c r="AO5" s="26">
        <f>COUNTIF($E5:$AI5,"O*")</f>
        <v>10</v>
      </c>
    </row>
    <row r="6" spans="2:41" ht="18.75" x14ac:dyDescent="0.25">
      <c r="B6" s="58" t="s">
        <v>90</v>
      </c>
      <c r="C6" s="58"/>
      <c r="E6" s="30" t="s">
        <v>126</v>
      </c>
      <c r="F6" s="27" t="s">
        <v>132</v>
      </c>
      <c r="G6" s="27" t="s">
        <v>127</v>
      </c>
      <c r="H6" s="27" t="s">
        <v>127</v>
      </c>
      <c r="I6" s="27" t="s">
        <v>5</v>
      </c>
      <c r="J6" s="27" t="s">
        <v>6</v>
      </c>
      <c r="K6" s="27" t="s">
        <v>7</v>
      </c>
      <c r="L6" s="27" t="s">
        <v>131</v>
      </c>
      <c r="M6" s="30" t="s">
        <v>126</v>
      </c>
      <c r="N6" s="30" t="s">
        <v>126</v>
      </c>
      <c r="O6" s="27" t="s">
        <v>127</v>
      </c>
      <c r="P6" s="27" t="s">
        <v>127</v>
      </c>
      <c r="Q6" s="27" t="s">
        <v>5</v>
      </c>
      <c r="R6" s="27" t="s">
        <v>6</v>
      </c>
      <c r="S6" s="27" t="s">
        <v>7</v>
      </c>
      <c r="T6" s="27" t="s">
        <v>131</v>
      </c>
      <c r="U6" s="30" t="s">
        <v>126</v>
      </c>
      <c r="V6" s="30" t="s">
        <v>126</v>
      </c>
      <c r="W6" s="27" t="s">
        <v>127</v>
      </c>
      <c r="X6" s="27" t="s">
        <v>127</v>
      </c>
      <c r="Y6" s="27" t="s">
        <v>5</v>
      </c>
      <c r="Z6" s="27" t="s">
        <v>6</v>
      </c>
      <c r="AA6" s="27" t="s">
        <v>7</v>
      </c>
      <c r="AB6" s="27" t="s">
        <v>131</v>
      </c>
      <c r="AC6" s="30" t="s">
        <v>126</v>
      </c>
      <c r="AD6" s="30" t="s">
        <v>126</v>
      </c>
      <c r="AE6" s="27" t="s">
        <v>127</v>
      </c>
      <c r="AF6" s="27" t="s">
        <v>127</v>
      </c>
      <c r="AG6" s="27" t="s">
        <v>5</v>
      </c>
      <c r="AH6" s="27" t="s">
        <v>6</v>
      </c>
      <c r="AI6" s="2"/>
      <c r="AK6" s="26">
        <f t="shared" ref="AK6:AK13" si="0">COUNTIF($E6:$AI6,"ST*")</f>
        <v>4</v>
      </c>
      <c r="AL6" s="26">
        <f t="shared" ref="AL6:AL13" si="1">COUNTIF($E6:$AI6,"M*")</f>
        <v>0</v>
      </c>
      <c r="AM6" s="26">
        <f t="shared" ref="AM6:AM13" si="2">COUNTIF($E6:$AI6,"A*")</f>
        <v>7</v>
      </c>
      <c r="AN6" s="26">
        <f t="shared" ref="AN6:AN13" si="3">COUNTIF($E6:$AI6,"N*")</f>
        <v>8</v>
      </c>
      <c r="AO6" s="26">
        <f t="shared" ref="AO6:AO13" si="4">COUNTIF($E6:$AI6,"O*")</f>
        <v>11</v>
      </c>
    </row>
    <row r="7" spans="2:41" ht="18.75" x14ac:dyDescent="0.25">
      <c r="B7" s="58" t="s">
        <v>92</v>
      </c>
      <c r="C7" s="58"/>
      <c r="E7" s="27" t="s">
        <v>132</v>
      </c>
      <c r="F7" s="27" t="s">
        <v>127</v>
      </c>
      <c r="G7" s="27" t="s">
        <v>127</v>
      </c>
      <c r="H7" s="27" t="s">
        <v>5</v>
      </c>
      <c r="I7" s="27" t="s">
        <v>6</v>
      </c>
      <c r="J7" s="27" t="s">
        <v>7</v>
      </c>
      <c r="K7" s="27" t="s">
        <v>131</v>
      </c>
      <c r="L7" s="30" t="s">
        <v>126</v>
      </c>
      <c r="M7" s="30" t="s">
        <v>126</v>
      </c>
      <c r="N7" s="27" t="s">
        <v>133</v>
      </c>
      <c r="O7" s="27" t="s">
        <v>127</v>
      </c>
      <c r="P7" s="27" t="s">
        <v>5</v>
      </c>
      <c r="Q7" s="27" t="s">
        <v>6</v>
      </c>
      <c r="R7" s="27" t="s">
        <v>7</v>
      </c>
      <c r="S7" s="27" t="s">
        <v>131</v>
      </c>
      <c r="T7" s="27" t="s">
        <v>125</v>
      </c>
      <c r="U7" s="30" t="s">
        <v>126</v>
      </c>
      <c r="V7" s="27" t="s">
        <v>127</v>
      </c>
      <c r="W7" s="27" t="s">
        <v>127</v>
      </c>
      <c r="X7" s="27" t="s">
        <v>5</v>
      </c>
      <c r="Y7" s="27" t="s">
        <v>6</v>
      </c>
      <c r="Z7" s="27" t="s">
        <v>7</v>
      </c>
      <c r="AA7" s="27" t="s">
        <v>125</v>
      </c>
      <c r="AB7" s="27" t="s">
        <v>131</v>
      </c>
      <c r="AC7" s="30" t="s">
        <v>126</v>
      </c>
      <c r="AD7" s="27" t="s">
        <v>127</v>
      </c>
      <c r="AE7" s="27" t="s">
        <v>127</v>
      </c>
      <c r="AF7" s="27" t="s">
        <v>5</v>
      </c>
      <c r="AG7" s="27" t="s">
        <v>6</v>
      </c>
      <c r="AH7" s="27" t="s">
        <v>7</v>
      </c>
      <c r="AI7" s="2"/>
      <c r="AK7" s="26">
        <f t="shared" si="0"/>
        <v>5</v>
      </c>
      <c r="AL7" s="26">
        <f t="shared" si="1"/>
        <v>2</v>
      </c>
      <c r="AM7" s="26">
        <f t="shared" si="2"/>
        <v>4</v>
      </c>
      <c r="AN7" s="26">
        <f t="shared" si="3"/>
        <v>7</v>
      </c>
      <c r="AO7" s="26">
        <f t="shared" si="4"/>
        <v>12</v>
      </c>
    </row>
    <row r="8" spans="2:41" ht="18.75" x14ac:dyDescent="0.25">
      <c r="B8" s="58" t="s">
        <v>100</v>
      </c>
      <c r="C8" s="58"/>
      <c r="E8" s="27" t="s">
        <v>127</v>
      </c>
      <c r="F8" s="27" t="s">
        <v>127</v>
      </c>
      <c r="G8" s="27" t="s">
        <v>5</v>
      </c>
      <c r="H8" s="27" t="s">
        <v>6</v>
      </c>
      <c r="I8" s="27" t="s">
        <v>7</v>
      </c>
      <c r="J8" s="27" t="s">
        <v>125</v>
      </c>
      <c r="K8" s="30" t="s">
        <v>126</v>
      </c>
      <c r="L8" s="27" t="s">
        <v>132</v>
      </c>
      <c r="M8" s="27" t="s">
        <v>127</v>
      </c>
      <c r="N8" s="27" t="s">
        <v>127</v>
      </c>
      <c r="O8" s="27" t="s">
        <v>5</v>
      </c>
      <c r="P8" s="27" t="s">
        <v>6</v>
      </c>
      <c r="Q8" s="27" t="s">
        <v>7</v>
      </c>
      <c r="R8" s="27" t="s">
        <v>125</v>
      </c>
      <c r="S8" s="27" t="s">
        <v>125</v>
      </c>
      <c r="T8" s="30" t="s">
        <v>126</v>
      </c>
      <c r="U8" s="27" t="s">
        <v>127</v>
      </c>
      <c r="V8" s="27" t="s">
        <v>127</v>
      </c>
      <c r="W8" s="27" t="s">
        <v>5</v>
      </c>
      <c r="X8" s="27" t="s">
        <v>6</v>
      </c>
      <c r="Y8" s="27" t="s">
        <v>7</v>
      </c>
      <c r="Z8" s="27" t="s">
        <v>125</v>
      </c>
      <c r="AA8" s="27" t="s">
        <v>125</v>
      </c>
      <c r="AB8" s="30" t="s">
        <v>126</v>
      </c>
      <c r="AC8" s="27" t="s">
        <v>133</v>
      </c>
      <c r="AD8" s="27" t="s">
        <v>127</v>
      </c>
      <c r="AE8" s="27" t="s">
        <v>5</v>
      </c>
      <c r="AF8" s="27" t="s">
        <v>6</v>
      </c>
      <c r="AG8" s="27" t="s">
        <v>7</v>
      </c>
      <c r="AH8" s="27" t="s">
        <v>125</v>
      </c>
      <c r="AI8" s="2"/>
      <c r="AK8" s="26">
        <f t="shared" si="0"/>
        <v>2</v>
      </c>
      <c r="AL8" s="26">
        <f t="shared" si="1"/>
        <v>6</v>
      </c>
      <c r="AM8" s="26">
        <f t="shared" si="2"/>
        <v>3</v>
      </c>
      <c r="AN8" s="26">
        <f t="shared" si="3"/>
        <v>7</v>
      </c>
      <c r="AO8" s="26">
        <f t="shared" si="4"/>
        <v>12</v>
      </c>
    </row>
    <row r="9" spans="2:41" ht="18.75" x14ac:dyDescent="0.25">
      <c r="B9" s="58" t="s">
        <v>101</v>
      </c>
      <c r="C9" s="58"/>
      <c r="E9" s="27" t="s">
        <v>127</v>
      </c>
      <c r="F9" s="27" t="s">
        <v>5</v>
      </c>
      <c r="G9" s="27" t="s">
        <v>6</v>
      </c>
      <c r="H9" s="27" t="s">
        <v>7</v>
      </c>
      <c r="I9" s="27" t="s">
        <v>131</v>
      </c>
      <c r="J9" s="30" t="s">
        <v>126</v>
      </c>
      <c r="K9" s="27" t="s">
        <v>127</v>
      </c>
      <c r="L9" s="27" t="s">
        <v>127</v>
      </c>
      <c r="M9" s="27" t="s">
        <v>127</v>
      </c>
      <c r="N9" s="27" t="s">
        <v>5</v>
      </c>
      <c r="O9" s="27" t="s">
        <v>6</v>
      </c>
      <c r="P9" s="27" t="s">
        <v>7</v>
      </c>
      <c r="Q9" s="27" t="s">
        <v>131</v>
      </c>
      <c r="R9" s="27" t="s">
        <v>125</v>
      </c>
      <c r="S9" s="30" t="s">
        <v>126</v>
      </c>
      <c r="T9" s="27" t="s">
        <v>127</v>
      </c>
      <c r="U9" s="27" t="s">
        <v>127</v>
      </c>
      <c r="V9" s="27" t="s">
        <v>5</v>
      </c>
      <c r="W9" s="27" t="s">
        <v>6</v>
      </c>
      <c r="X9" s="27" t="s">
        <v>7</v>
      </c>
      <c r="Y9" s="27" t="s">
        <v>131</v>
      </c>
      <c r="Z9" s="27" t="s">
        <v>125</v>
      </c>
      <c r="AA9" s="30" t="s">
        <v>126</v>
      </c>
      <c r="AB9" s="27" t="s">
        <v>127</v>
      </c>
      <c r="AC9" s="27" t="s">
        <v>127</v>
      </c>
      <c r="AD9" s="27" t="s">
        <v>5</v>
      </c>
      <c r="AE9" s="27" t="s">
        <v>6</v>
      </c>
      <c r="AF9" s="27" t="s">
        <v>7</v>
      </c>
      <c r="AG9" s="27" t="s">
        <v>125</v>
      </c>
      <c r="AH9" s="27" t="s">
        <v>125</v>
      </c>
      <c r="AI9" s="2"/>
      <c r="AK9" s="26">
        <f t="shared" si="0"/>
        <v>3</v>
      </c>
      <c r="AL9" s="26">
        <f t="shared" si="1"/>
        <v>4</v>
      </c>
      <c r="AM9" s="26">
        <f t="shared" si="2"/>
        <v>3</v>
      </c>
      <c r="AN9" s="26">
        <f t="shared" si="3"/>
        <v>8</v>
      </c>
      <c r="AO9" s="26">
        <f t="shared" si="4"/>
        <v>12</v>
      </c>
    </row>
    <row r="10" spans="2:41" ht="18.75" x14ac:dyDescent="0.25">
      <c r="B10" s="58" t="s">
        <v>102</v>
      </c>
      <c r="C10" s="58"/>
      <c r="E10" s="27" t="s">
        <v>5</v>
      </c>
      <c r="F10" s="27" t="s">
        <v>6</v>
      </c>
      <c r="G10" s="27" t="s">
        <v>7</v>
      </c>
      <c r="H10" s="27" t="s">
        <v>125</v>
      </c>
      <c r="I10" s="30" t="s">
        <v>126</v>
      </c>
      <c r="J10" s="27" t="s">
        <v>133</v>
      </c>
      <c r="K10" s="27" t="s">
        <v>127</v>
      </c>
      <c r="L10" s="27" t="s">
        <v>127</v>
      </c>
      <c r="M10" s="27" t="s">
        <v>5</v>
      </c>
      <c r="N10" s="27" t="s">
        <v>6</v>
      </c>
      <c r="O10" s="27" t="s">
        <v>7</v>
      </c>
      <c r="P10" s="27" t="s">
        <v>125</v>
      </c>
      <c r="Q10" s="30" t="s">
        <v>126</v>
      </c>
      <c r="R10" s="30" t="s">
        <v>126</v>
      </c>
      <c r="S10" s="27" t="s">
        <v>133</v>
      </c>
      <c r="T10" s="27" t="s">
        <v>127</v>
      </c>
      <c r="U10" s="27" t="s">
        <v>5</v>
      </c>
      <c r="V10" s="27" t="s">
        <v>6</v>
      </c>
      <c r="W10" s="27" t="s">
        <v>7</v>
      </c>
      <c r="X10" s="27" t="s">
        <v>125</v>
      </c>
      <c r="Y10" s="30" t="s">
        <v>126</v>
      </c>
      <c r="Z10" s="30" t="s">
        <v>126</v>
      </c>
      <c r="AA10" s="27" t="s">
        <v>127</v>
      </c>
      <c r="AB10" s="27" t="s">
        <v>127</v>
      </c>
      <c r="AC10" s="27" t="s">
        <v>5</v>
      </c>
      <c r="AD10" s="27" t="s">
        <v>6</v>
      </c>
      <c r="AE10" s="27" t="s">
        <v>7</v>
      </c>
      <c r="AF10" s="27" t="s">
        <v>125</v>
      </c>
      <c r="AG10" s="30" t="s">
        <v>126</v>
      </c>
      <c r="AH10" s="27" t="s">
        <v>133</v>
      </c>
      <c r="AI10" s="2"/>
      <c r="AK10" s="26">
        <f t="shared" si="0"/>
        <v>3</v>
      </c>
      <c r="AL10" s="26">
        <f t="shared" si="1"/>
        <v>4</v>
      </c>
      <c r="AM10" s="26">
        <f t="shared" si="2"/>
        <v>6</v>
      </c>
      <c r="AN10" s="26">
        <f t="shared" si="3"/>
        <v>5</v>
      </c>
      <c r="AO10" s="26">
        <f t="shared" si="4"/>
        <v>12</v>
      </c>
    </row>
    <row r="11" spans="2:41" ht="18.75" x14ac:dyDescent="0.25">
      <c r="B11" s="58" t="s">
        <v>103</v>
      </c>
      <c r="C11" s="58"/>
      <c r="E11" s="27" t="s">
        <v>6</v>
      </c>
      <c r="F11" s="27" t="s">
        <v>7</v>
      </c>
      <c r="G11" s="27" t="s">
        <v>125</v>
      </c>
      <c r="H11" s="27" t="s">
        <v>131</v>
      </c>
      <c r="I11" s="30" t="s">
        <v>126</v>
      </c>
      <c r="J11" s="27" t="s">
        <v>127</v>
      </c>
      <c r="K11" s="27" t="s">
        <v>127</v>
      </c>
      <c r="L11" s="27" t="s">
        <v>5</v>
      </c>
      <c r="M11" s="27" t="s">
        <v>6</v>
      </c>
      <c r="N11" s="27" t="s">
        <v>7</v>
      </c>
      <c r="O11" s="27" t="s">
        <v>131</v>
      </c>
      <c r="P11" s="30" t="s">
        <v>126</v>
      </c>
      <c r="Q11" s="27" t="s">
        <v>127</v>
      </c>
      <c r="R11" s="27" t="s">
        <v>127</v>
      </c>
      <c r="S11" s="27" t="s">
        <v>127</v>
      </c>
      <c r="T11" s="27" t="s">
        <v>5</v>
      </c>
      <c r="U11" s="27" t="s">
        <v>6</v>
      </c>
      <c r="V11" s="27" t="s">
        <v>7</v>
      </c>
      <c r="W11" s="27" t="s">
        <v>125</v>
      </c>
      <c r="X11" s="30" t="s">
        <v>126</v>
      </c>
      <c r="Y11" s="30" t="s">
        <v>126</v>
      </c>
      <c r="Z11" s="27" t="s">
        <v>127</v>
      </c>
      <c r="AA11" s="27" t="s">
        <v>127</v>
      </c>
      <c r="AB11" s="27" t="s">
        <v>5</v>
      </c>
      <c r="AC11" s="27" t="s">
        <v>6</v>
      </c>
      <c r="AD11" s="27" t="s">
        <v>7</v>
      </c>
      <c r="AE11" s="27" t="s">
        <v>125</v>
      </c>
      <c r="AF11" s="27" t="s">
        <v>125</v>
      </c>
      <c r="AG11" s="30" t="s">
        <v>126</v>
      </c>
      <c r="AH11" s="27" t="s">
        <v>127</v>
      </c>
      <c r="AI11" s="2"/>
      <c r="AK11" s="26">
        <f t="shared" si="0"/>
        <v>2</v>
      </c>
      <c r="AL11" s="26">
        <f t="shared" si="1"/>
        <v>4</v>
      </c>
      <c r="AM11" s="26">
        <f t="shared" si="2"/>
        <v>5</v>
      </c>
      <c r="AN11" s="26">
        <f t="shared" si="3"/>
        <v>8</v>
      </c>
      <c r="AO11" s="26">
        <f t="shared" si="4"/>
        <v>11</v>
      </c>
    </row>
    <row r="12" spans="2:41" ht="18.75" x14ac:dyDescent="0.25">
      <c r="B12" s="58" t="s">
        <v>108</v>
      </c>
      <c r="C12" s="58"/>
      <c r="E12" s="27" t="s">
        <v>7</v>
      </c>
      <c r="F12" s="33" t="s">
        <v>135</v>
      </c>
      <c r="G12" s="30" t="s">
        <v>126</v>
      </c>
      <c r="H12" s="30" t="s">
        <v>126</v>
      </c>
      <c r="I12" s="27" t="s">
        <v>127</v>
      </c>
      <c r="J12" s="27" t="s">
        <v>127</v>
      </c>
      <c r="K12" s="27" t="s">
        <v>5</v>
      </c>
      <c r="L12" s="27" t="s">
        <v>6</v>
      </c>
      <c r="M12" s="27" t="s">
        <v>7</v>
      </c>
      <c r="N12" s="27" t="s">
        <v>125</v>
      </c>
      <c r="O12" s="27" t="s">
        <v>132</v>
      </c>
      <c r="P12" s="30" t="s">
        <v>126</v>
      </c>
      <c r="Q12" s="27" t="s">
        <v>127</v>
      </c>
      <c r="R12" s="27" t="s">
        <v>127</v>
      </c>
      <c r="S12" s="27" t="s">
        <v>5</v>
      </c>
      <c r="T12" s="27" t="s">
        <v>6</v>
      </c>
      <c r="U12" s="27" t="s">
        <v>7</v>
      </c>
      <c r="V12" s="27" t="s">
        <v>125</v>
      </c>
      <c r="W12" s="27" t="s">
        <v>132</v>
      </c>
      <c r="X12" s="30" t="s">
        <v>126</v>
      </c>
      <c r="Y12" s="27" t="s">
        <v>127</v>
      </c>
      <c r="Z12" s="27" t="s">
        <v>127</v>
      </c>
      <c r="AA12" s="27" t="s">
        <v>5</v>
      </c>
      <c r="AB12" s="27" t="s">
        <v>6</v>
      </c>
      <c r="AC12" s="27" t="s">
        <v>7</v>
      </c>
      <c r="AD12" s="27" t="s">
        <v>131</v>
      </c>
      <c r="AE12" s="30" t="s">
        <v>126</v>
      </c>
      <c r="AF12" s="30" t="s">
        <v>126</v>
      </c>
      <c r="AG12" s="27" t="s">
        <v>127</v>
      </c>
      <c r="AH12" s="27" t="s">
        <v>127</v>
      </c>
      <c r="AI12" s="2"/>
      <c r="AK12" s="26">
        <f t="shared" si="0"/>
        <v>3</v>
      </c>
      <c r="AL12" s="26">
        <f t="shared" si="1"/>
        <v>2</v>
      </c>
      <c r="AM12" s="26">
        <f t="shared" si="2"/>
        <v>6</v>
      </c>
      <c r="AN12" s="26">
        <f t="shared" si="3"/>
        <v>8</v>
      </c>
      <c r="AO12" s="26">
        <f t="shared" si="4"/>
        <v>10</v>
      </c>
    </row>
    <row r="13" spans="2:41" ht="18.75" x14ac:dyDescent="0.25">
      <c r="B13" s="58" t="s">
        <v>104</v>
      </c>
      <c r="C13" s="58"/>
      <c r="E13" s="34" t="s">
        <v>135</v>
      </c>
      <c r="F13" s="34" t="s">
        <v>135</v>
      </c>
      <c r="G13" s="30" t="s">
        <v>126</v>
      </c>
      <c r="H13" s="27" t="s">
        <v>127</v>
      </c>
      <c r="I13" s="27" t="s">
        <v>127</v>
      </c>
      <c r="J13" s="27" t="s">
        <v>5</v>
      </c>
      <c r="K13" s="27" t="s">
        <v>6</v>
      </c>
      <c r="L13" s="27" t="s">
        <v>7</v>
      </c>
      <c r="M13" s="27" t="s">
        <v>125</v>
      </c>
      <c r="N13" s="27" t="s">
        <v>132</v>
      </c>
      <c r="O13" s="30" t="s">
        <v>126</v>
      </c>
      <c r="P13" s="27" t="s">
        <v>127</v>
      </c>
      <c r="Q13" s="27" t="s">
        <v>127</v>
      </c>
      <c r="R13" s="27" t="s">
        <v>5</v>
      </c>
      <c r="S13" s="27" t="s">
        <v>6</v>
      </c>
      <c r="T13" s="27" t="s">
        <v>7</v>
      </c>
      <c r="U13" s="27" t="s">
        <v>125</v>
      </c>
      <c r="V13" s="27" t="s">
        <v>132</v>
      </c>
      <c r="W13" s="30" t="s">
        <v>126</v>
      </c>
      <c r="X13" s="27" t="s">
        <v>127</v>
      </c>
      <c r="Y13" s="27" t="s">
        <v>127</v>
      </c>
      <c r="Z13" s="27" t="s">
        <v>5</v>
      </c>
      <c r="AA13" s="27" t="s">
        <v>6</v>
      </c>
      <c r="AB13" s="27" t="s">
        <v>7</v>
      </c>
      <c r="AC13" s="27" t="s">
        <v>131</v>
      </c>
      <c r="AD13" s="30" t="s">
        <v>126</v>
      </c>
      <c r="AE13" s="30" t="s">
        <v>126</v>
      </c>
      <c r="AF13" s="27" t="s">
        <v>127</v>
      </c>
      <c r="AG13" s="27" t="s">
        <v>127</v>
      </c>
      <c r="AH13" s="27" t="s">
        <v>5</v>
      </c>
      <c r="AI13" s="2"/>
      <c r="AK13" s="26">
        <f t="shared" si="0"/>
        <v>3</v>
      </c>
      <c r="AL13" s="26">
        <f t="shared" si="1"/>
        <v>2</v>
      </c>
      <c r="AM13" s="26">
        <f t="shared" si="2"/>
        <v>5</v>
      </c>
      <c r="AN13" s="26">
        <f t="shared" si="3"/>
        <v>8</v>
      </c>
      <c r="AO13" s="26">
        <f t="shared" si="4"/>
        <v>10</v>
      </c>
    </row>
    <row r="14" spans="2:41" ht="18.75" x14ac:dyDescent="0.25">
      <c r="B14" s="58" t="s">
        <v>105</v>
      </c>
      <c r="C14" s="58"/>
      <c r="E14" s="35" t="s">
        <v>136</v>
      </c>
      <c r="F14" s="35" t="s">
        <v>136</v>
      </c>
      <c r="G14" s="35" t="s">
        <v>136</v>
      </c>
      <c r="H14" s="27" t="s">
        <v>127</v>
      </c>
      <c r="I14" s="27" t="s">
        <v>5</v>
      </c>
      <c r="J14" s="27" t="s">
        <v>6</v>
      </c>
      <c r="K14" s="27" t="s">
        <v>7</v>
      </c>
      <c r="L14" s="27" t="s">
        <v>125</v>
      </c>
      <c r="M14" s="27" t="s">
        <v>131</v>
      </c>
      <c r="N14" s="30" t="s">
        <v>126</v>
      </c>
      <c r="O14" s="27" t="s">
        <v>127</v>
      </c>
      <c r="P14" s="27" t="s">
        <v>127</v>
      </c>
      <c r="Q14" s="27" t="s">
        <v>5</v>
      </c>
      <c r="R14" s="27" t="s">
        <v>6</v>
      </c>
      <c r="S14" s="27" t="s">
        <v>7</v>
      </c>
      <c r="T14" s="27" t="s">
        <v>125</v>
      </c>
      <c r="U14" s="27" t="s">
        <v>131</v>
      </c>
      <c r="V14" s="30" t="s">
        <v>126</v>
      </c>
      <c r="W14" s="27" t="s">
        <v>127</v>
      </c>
      <c r="X14" s="27" t="s">
        <v>127</v>
      </c>
      <c r="Y14" s="27" t="s">
        <v>5</v>
      </c>
      <c r="Z14" s="27" t="s">
        <v>6</v>
      </c>
      <c r="AA14" s="27" t="s">
        <v>7</v>
      </c>
      <c r="AB14" s="27" t="s">
        <v>125</v>
      </c>
      <c r="AC14" s="27" t="s">
        <v>125</v>
      </c>
      <c r="AD14" s="30" t="s">
        <v>126</v>
      </c>
      <c r="AE14" s="27" t="s">
        <v>133</v>
      </c>
      <c r="AF14" s="27" t="s">
        <v>127</v>
      </c>
      <c r="AG14" s="27" t="s">
        <v>5</v>
      </c>
      <c r="AH14" s="27" t="s">
        <v>6</v>
      </c>
      <c r="AI14" s="2"/>
      <c r="AK14" s="26"/>
      <c r="AL14" s="26"/>
      <c r="AM14" s="26"/>
      <c r="AN14" s="26"/>
      <c r="AO14" s="26"/>
    </row>
    <row r="15" spans="2:41" ht="18.75" x14ac:dyDescent="0.25">
      <c r="B15" s="66" t="s">
        <v>106</v>
      </c>
      <c r="C15" s="67"/>
      <c r="E15" s="27" t="s">
        <v>132</v>
      </c>
      <c r="F15" s="27" t="s">
        <v>127</v>
      </c>
      <c r="G15" s="27" t="s">
        <v>127</v>
      </c>
      <c r="H15" s="27" t="s">
        <v>5</v>
      </c>
      <c r="I15" s="27" t="s">
        <v>6</v>
      </c>
      <c r="J15" s="27" t="s">
        <v>7</v>
      </c>
      <c r="K15" s="27" t="s">
        <v>125</v>
      </c>
      <c r="L15" s="27" t="s">
        <v>131</v>
      </c>
      <c r="M15" s="30" t="s">
        <v>126</v>
      </c>
      <c r="N15" s="27" t="s">
        <v>127</v>
      </c>
      <c r="O15" s="27" t="s">
        <v>127</v>
      </c>
      <c r="P15" s="27" t="s">
        <v>5</v>
      </c>
      <c r="Q15" s="27" t="s">
        <v>6</v>
      </c>
      <c r="R15" s="27" t="s">
        <v>7</v>
      </c>
      <c r="S15" s="27" t="s">
        <v>125</v>
      </c>
      <c r="T15" s="27" t="s">
        <v>131</v>
      </c>
      <c r="U15" s="30" t="s">
        <v>126</v>
      </c>
      <c r="V15" s="27" t="s">
        <v>127</v>
      </c>
      <c r="W15" s="27" t="s">
        <v>127</v>
      </c>
      <c r="X15" s="27" t="s">
        <v>5</v>
      </c>
      <c r="Y15" s="27" t="s">
        <v>6</v>
      </c>
      <c r="Z15" s="27" t="s">
        <v>7</v>
      </c>
      <c r="AA15" s="27" t="s">
        <v>131</v>
      </c>
      <c r="AB15" s="27" t="s">
        <v>125</v>
      </c>
      <c r="AC15" s="30" t="s">
        <v>126</v>
      </c>
      <c r="AD15" s="27" t="s">
        <v>133</v>
      </c>
      <c r="AE15" s="27" t="s">
        <v>127</v>
      </c>
      <c r="AF15" s="27" t="s">
        <v>5</v>
      </c>
      <c r="AG15" s="27" t="s">
        <v>6</v>
      </c>
      <c r="AH15" s="27" t="s">
        <v>7</v>
      </c>
      <c r="AI15" s="2"/>
      <c r="AK15" s="26"/>
      <c r="AL15" s="26"/>
      <c r="AM15" s="26"/>
      <c r="AN15" s="26"/>
      <c r="AO15" s="26"/>
    </row>
    <row r="16" spans="2:41" ht="18.75" x14ac:dyDescent="0.25">
      <c r="B16" s="66" t="s">
        <v>107</v>
      </c>
      <c r="C16" s="67"/>
      <c r="E16" s="27" t="s">
        <v>125</v>
      </c>
      <c r="F16" s="27" t="s">
        <v>127</v>
      </c>
      <c r="G16" s="27" t="s">
        <v>5</v>
      </c>
      <c r="H16" s="27" t="s">
        <v>6</v>
      </c>
      <c r="I16" s="27" t="s">
        <v>7</v>
      </c>
      <c r="J16" s="27" t="s">
        <v>125</v>
      </c>
      <c r="K16" s="27" t="s">
        <v>125</v>
      </c>
      <c r="L16" s="30" t="s">
        <v>126</v>
      </c>
      <c r="M16" s="27" t="s">
        <v>133</v>
      </c>
      <c r="N16" s="27" t="s">
        <v>127</v>
      </c>
      <c r="O16" s="27" t="s">
        <v>5</v>
      </c>
      <c r="P16" s="27" t="s">
        <v>6</v>
      </c>
      <c r="Q16" s="27" t="s">
        <v>7</v>
      </c>
      <c r="R16" s="27" t="s">
        <v>125</v>
      </c>
      <c r="S16" s="30" t="s">
        <v>126</v>
      </c>
      <c r="T16" s="27" t="s">
        <v>132</v>
      </c>
      <c r="U16" s="27" t="s">
        <v>127</v>
      </c>
      <c r="V16" s="27" t="s">
        <v>127</v>
      </c>
      <c r="W16" s="27" t="s">
        <v>5</v>
      </c>
      <c r="X16" s="27" t="s">
        <v>6</v>
      </c>
      <c r="Y16" s="27" t="s">
        <v>7</v>
      </c>
      <c r="Z16" s="27" t="s">
        <v>125</v>
      </c>
      <c r="AA16" s="30" t="s">
        <v>126</v>
      </c>
      <c r="AB16" s="27" t="s">
        <v>132</v>
      </c>
      <c r="AC16" s="27" t="s">
        <v>127</v>
      </c>
      <c r="AD16" s="27" t="s">
        <v>127</v>
      </c>
      <c r="AE16" s="27" t="s">
        <v>5</v>
      </c>
      <c r="AF16" s="27" t="s">
        <v>6</v>
      </c>
      <c r="AG16" s="27" t="s">
        <v>7</v>
      </c>
      <c r="AH16" s="27" t="s">
        <v>131</v>
      </c>
      <c r="AI16" s="2"/>
      <c r="AK16" s="26"/>
      <c r="AL16" s="26"/>
      <c r="AM16" s="26"/>
      <c r="AN16" s="26"/>
      <c r="AO16" s="26"/>
    </row>
    <row r="17" spans="2:41" ht="18.75" x14ac:dyDescent="0.25">
      <c r="B17" s="66" t="s">
        <v>109</v>
      </c>
      <c r="C17" s="67"/>
      <c r="E17" s="34" t="s">
        <v>135</v>
      </c>
      <c r="F17" s="27" t="s">
        <v>5</v>
      </c>
      <c r="G17" s="27" t="s">
        <v>6</v>
      </c>
      <c r="H17" s="27" t="s">
        <v>7</v>
      </c>
      <c r="I17" s="27" t="s">
        <v>125</v>
      </c>
      <c r="J17" s="27" t="s">
        <v>125</v>
      </c>
      <c r="K17" s="30" t="s">
        <v>126</v>
      </c>
      <c r="L17" s="27" t="s">
        <v>127</v>
      </c>
      <c r="M17" s="27" t="s">
        <v>127</v>
      </c>
      <c r="N17" s="27" t="s">
        <v>5</v>
      </c>
      <c r="O17" s="27" t="s">
        <v>6</v>
      </c>
      <c r="P17" s="27" t="s">
        <v>7</v>
      </c>
      <c r="Q17" s="27" t="s">
        <v>125</v>
      </c>
      <c r="R17" s="27" t="s">
        <v>132</v>
      </c>
      <c r="S17" s="30" t="s">
        <v>126</v>
      </c>
      <c r="T17" s="27" t="s">
        <v>127</v>
      </c>
      <c r="U17" s="27" t="s">
        <v>127</v>
      </c>
      <c r="V17" s="27" t="s">
        <v>5</v>
      </c>
      <c r="W17" s="27" t="s">
        <v>6</v>
      </c>
      <c r="X17" s="27" t="s">
        <v>7</v>
      </c>
      <c r="Y17" s="27" t="s">
        <v>125</v>
      </c>
      <c r="Z17" s="30" t="s">
        <v>126</v>
      </c>
      <c r="AA17" s="30" t="s">
        <v>126</v>
      </c>
      <c r="AB17" s="27" t="s">
        <v>133</v>
      </c>
      <c r="AC17" s="27" t="s">
        <v>127</v>
      </c>
      <c r="AD17" s="27" t="s">
        <v>5</v>
      </c>
      <c r="AE17" s="27" t="s">
        <v>6</v>
      </c>
      <c r="AF17" s="27" t="s">
        <v>7</v>
      </c>
      <c r="AG17" s="27" t="s">
        <v>131</v>
      </c>
      <c r="AH17" s="30" t="s">
        <v>126</v>
      </c>
      <c r="AI17" s="2"/>
      <c r="AK17" s="26"/>
      <c r="AL17" s="26"/>
      <c r="AM17" s="26"/>
      <c r="AN17" s="26"/>
      <c r="AO17" s="26"/>
    </row>
    <row r="18" spans="2:41" ht="18.75" x14ac:dyDescent="0.25">
      <c r="B18" s="58" t="s">
        <v>110</v>
      </c>
      <c r="C18" s="58"/>
      <c r="E18" s="27" t="s">
        <v>5</v>
      </c>
      <c r="F18" s="27" t="s">
        <v>6</v>
      </c>
      <c r="G18" s="27" t="s">
        <v>7</v>
      </c>
      <c r="H18" s="27" t="s">
        <v>125</v>
      </c>
      <c r="I18" s="30" t="s">
        <v>126</v>
      </c>
      <c r="J18" s="30" t="s">
        <v>126</v>
      </c>
      <c r="K18" s="30" t="s">
        <v>126</v>
      </c>
      <c r="L18" s="27" t="s">
        <v>127</v>
      </c>
      <c r="M18" s="27" t="s">
        <v>5</v>
      </c>
      <c r="N18" s="27" t="s">
        <v>6</v>
      </c>
      <c r="O18" s="27" t="s">
        <v>7</v>
      </c>
      <c r="P18" s="27" t="s">
        <v>125</v>
      </c>
      <c r="Q18" s="30" t="s">
        <v>126</v>
      </c>
      <c r="R18" s="27" t="s">
        <v>133</v>
      </c>
      <c r="S18" s="27" t="s">
        <v>127</v>
      </c>
      <c r="T18" s="27" t="s">
        <v>127</v>
      </c>
      <c r="U18" s="27" t="s">
        <v>5</v>
      </c>
      <c r="V18" s="27" t="s">
        <v>6</v>
      </c>
      <c r="W18" s="27" t="s">
        <v>7</v>
      </c>
      <c r="X18" s="27" t="s">
        <v>125</v>
      </c>
      <c r="Y18" s="27" t="s">
        <v>131</v>
      </c>
      <c r="Z18" s="27" t="s">
        <v>127</v>
      </c>
      <c r="AA18" s="27" t="s">
        <v>127</v>
      </c>
      <c r="AB18" s="27" t="s">
        <v>127</v>
      </c>
      <c r="AC18" s="27" t="s">
        <v>5</v>
      </c>
      <c r="AD18" s="27" t="s">
        <v>6</v>
      </c>
      <c r="AE18" s="27" t="s">
        <v>7</v>
      </c>
      <c r="AF18" s="27" t="s">
        <v>125</v>
      </c>
      <c r="AG18" s="27" t="s">
        <v>131</v>
      </c>
      <c r="AH18" s="30" t="s">
        <v>126</v>
      </c>
      <c r="AI18" s="2"/>
    </row>
    <row r="19" spans="2:41" ht="18.75" x14ac:dyDescent="0.25">
      <c r="B19" s="58" t="s">
        <v>111</v>
      </c>
      <c r="C19" s="58"/>
      <c r="E19" s="27" t="s">
        <v>6</v>
      </c>
      <c r="F19" s="27" t="s">
        <v>7</v>
      </c>
      <c r="G19" s="34" t="s">
        <v>135</v>
      </c>
      <c r="H19" s="27" t="s">
        <v>132</v>
      </c>
      <c r="I19" s="30" t="s">
        <v>126</v>
      </c>
      <c r="J19" s="27" t="s">
        <v>127</v>
      </c>
      <c r="K19" s="27" t="s">
        <v>127</v>
      </c>
      <c r="L19" s="27" t="s">
        <v>5</v>
      </c>
      <c r="M19" s="27" t="s">
        <v>6</v>
      </c>
      <c r="N19" s="27" t="s">
        <v>7</v>
      </c>
      <c r="O19" s="27" t="s">
        <v>125</v>
      </c>
      <c r="P19" s="27" t="s">
        <v>132</v>
      </c>
      <c r="Q19" s="30" t="s">
        <v>126</v>
      </c>
      <c r="R19" s="27" t="s">
        <v>127</v>
      </c>
      <c r="S19" s="27" t="s">
        <v>127</v>
      </c>
      <c r="T19" s="27" t="s">
        <v>5</v>
      </c>
      <c r="U19" s="27" t="s">
        <v>6</v>
      </c>
      <c r="V19" s="27" t="s">
        <v>7</v>
      </c>
      <c r="W19" s="27" t="s">
        <v>125</v>
      </c>
      <c r="X19" s="27" t="s">
        <v>132</v>
      </c>
      <c r="Y19" s="30" t="s">
        <v>126</v>
      </c>
      <c r="Z19" s="27" t="s">
        <v>127</v>
      </c>
      <c r="AA19" s="27" t="s">
        <v>127</v>
      </c>
      <c r="AB19" s="27" t="s">
        <v>5</v>
      </c>
      <c r="AC19" s="27" t="s">
        <v>6</v>
      </c>
      <c r="AD19" s="27" t="s">
        <v>7</v>
      </c>
      <c r="AE19" s="27" t="s">
        <v>125</v>
      </c>
      <c r="AF19" s="27" t="s">
        <v>132</v>
      </c>
      <c r="AG19" s="30" t="s">
        <v>126</v>
      </c>
      <c r="AH19" s="27" t="s">
        <v>127</v>
      </c>
      <c r="AI19" s="2"/>
    </row>
    <row r="20" spans="2:41" ht="18.75" x14ac:dyDescent="0.25">
      <c r="B20" s="68" t="s">
        <v>93</v>
      </c>
      <c r="C20" s="68"/>
      <c r="E20" s="27" t="s">
        <v>5</v>
      </c>
      <c r="F20" s="27" t="s">
        <v>125</v>
      </c>
      <c r="G20" s="27" t="s">
        <v>125</v>
      </c>
      <c r="H20" s="27" t="s">
        <v>125</v>
      </c>
      <c r="I20" s="30" t="s">
        <v>130</v>
      </c>
      <c r="J20" s="30" t="s">
        <v>130</v>
      </c>
      <c r="K20" s="27" t="s">
        <v>5</v>
      </c>
      <c r="L20" s="27" t="s">
        <v>6</v>
      </c>
      <c r="M20" s="30" t="s">
        <v>130</v>
      </c>
      <c r="N20" s="30" t="s">
        <v>130</v>
      </c>
      <c r="O20" s="30" t="s">
        <v>130</v>
      </c>
      <c r="P20" s="27" t="s">
        <v>125</v>
      </c>
      <c r="Q20" s="27" t="s">
        <v>125</v>
      </c>
      <c r="R20" s="27" t="s">
        <v>5</v>
      </c>
      <c r="S20" s="27" t="s">
        <v>6</v>
      </c>
      <c r="T20" s="27" t="s">
        <v>125</v>
      </c>
      <c r="U20" s="27" t="s">
        <v>125</v>
      </c>
      <c r="V20" s="27" t="s">
        <v>125</v>
      </c>
      <c r="W20" s="30" t="s">
        <v>130</v>
      </c>
      <c r="X20" s="30" t="s">
        <v>130</v>
      </c>
      <c r="Y20" s="27" t="s">
        <v>5</v>
      </c>
      <c r="Z20" s="27" t="s">
        <v>6</v>
      </c>
      <c r="AA20" s="30" t="s">
        <v>130</v>
      </c>
      <c r="AB20" s="30" t="s">
        <v>130</v>
      </c>
      <c r="AC20" s="30" t="s">
        <v>130</v>
      </c>
      <c r="AD20" s="27" t="s">
        <v>125</v>
      </c>
      <c r="AE20" s="27" t="s">
        <v>125</v>
      </c>
      <c r="AF20" s="27" t="s">
        <v>5</v>
      </c>
      <c r="AG20" s="27" t="s">
        <v>6</v>
      </c>
      <c r="AH20" s="27" t="s">
        <v>125</v>
      </c>
      <c r="AI20" s="2"/>
    </row>
    <row r="21" spans="2:41" ht="18.75" x14ac:dyDescent="0.25">
      <c r="B21" s="68" t="s">
        <v>94</v>
      </c>
      <c r="C21" s="68"/>
      <c r="E21" s="27" t="s">
        <v>5</v>
      </c>
      <c r="F21" s="27" t="s">
        <v>125</v>
      </c>
      <c r="G21" s="27" t="s">
        <v>125</v>
      </c>
      <c r="H21" s="27" t="s">
        <v>125</v>
      </c>
      <c r="I21" s="30" t="s">
        <v>129</v>
      </c>
      <c r="J21" s="30" t="s">
        <v>129</v>
      </c>
      <c r="K21" s="27" t="s">
        <v>5</v>
      </c>
      <c r="L21" s="27" t="s">
        <v>6</v>
      </c>
      <c r="M21" s="30" t="s">
        <v>129</v>
      </c>
      <c r="N21" s="30" t="s">
        <v>129</v>
      </c>
      <c r="O21" s="30" t="s">
        <v>129</v>
      </c>
      <c r="P21" s="27" t="s">
        <v>125</v>
      </c>
      <c r="Q21" s="27" t="s">
        <v>125</v>
      </c>
      <c r="R21" s="27" t="s">
        <v>5</v>
      </c>
      <c r="S21" s="27" t="s">
        <v>6</v>
      </c>
      <c r="T21" s="27" t="s">
        <v>125</v>
      </c>
      <c r="U21" s="27" t="s">
        <v>125</v>
      </c>
      <c r="V21" s="27" t="s">
        <v>125</v>
      </c>
      <c r="W21" s="30" t="s">
        <v>129</v>
      </c>
      <c r="X21" s="30" t="s">
        <v>129</v>
      </c>
      <c r="Y21" s="27" t="s">
        <v>5</v>
      </c>
      <c r="Z21" s="27" t="s">
        <v>6</v>
      </c>
      <c r="AA21" s="30" t="s">
        <v>129</v>
      </c>
      <c r="AB21" s="30" t="s">
        <v>129</v>
      </c>
      <c r="AC21" s="30" t="s">
        <v>129</v>
      </c>
      <c r="AD21" s="27" t="s">
        <v>125</v>
      </c>
      <c r="AE21" s="27" t="s">
        <v>125</v>
      </c>
      <c r="AF21" s="27" t="s">
        <v>5</v>
      </c>
      <c r="AG21" s="27" t="s">
        <v>6</v>
      </c>
      <c r="AH21" s="27" t="s">
        <v>125</v>
      </c>
      <c r="AI21" s="2"/>
    </row>
    <row r="22" spans="2:41" ht="18.75" x14ac:dyDescent="0.25">
      <c r="B22" s="68" t="s">
        <v>95</v>
      </c>
      <c r="C22" s="68"/>
      <c r="E22" s="27" t="s">
        <v>5</v>
      </c>
      <c r="F22" s="30" t="s">
        <v>126</v>
      </c>
      <c r="G22" s="30" t="s">
        <v>126</v>
      </c>
      <c r="H22" s="30" t="s">
        <v>126</v>
      </c>
      <c r="I22" s="27" t="s">
        <v>125</v>
      </c>
      <c r="J22" s="27" t="s">
        <v>125</v>
      </c>
      <c r="K22" s="27" t="s">
        <v>5</v>
      </c>
      <c r="L22" s="27" t="s">
        <v>6</v>
      </c>
      <c r="M22" s="27" t="s">
        <v>125</v>
      </c>
      <c r="N22" s="27" t="s">
        <v>125</v>
      </c>
      <c r="O22" s="27" t="s">
        <v>125</v>
      </c>
      <c r="P22" s="30" t="s">
        <v>126</v>
      </c>
      <c r="Q22" s="30" t="s">
        <v>126</v>
      </c>
      <c r="R22" s="27" t="s">
        <v>5</v>
      </c>
      <c r="S22" s="27" t="s">
        <v>6</v>
      </c>
      <c r="T22" s="30" t="s">
        <v>126</v>
      </c>
      <c r="U22" s="30" t="s">
        <v>126</v>
      </c>
      <c r="V22" s="30" t="s">
        <v>126</v>
      </c>
      <c r="W22" s="27" t="s">
        <v>125</v>
      </c>
      <c r="X22" s="27" t="s">
        <v>125</v>
      </c>
      <c r="Y22" s="27" t="s">
        <v>5</v>
      </c>
      <c r="Z22" s="27" t="s">
        <v>6</v>
      </c>
      <c r="AA22" s="27" t="s">
        <v>125</v>
      </c>
      <c r="AB22" s="27" t="s">
        <v>125</v>
      </c>
      <c r="AC22" s="27" t="s">
        <v>125</v>
      </c>
      <c r="AD22" s="30" t="s">
        <v>126</v>
      </c>
      <c r="AE22" s="30" t="s">
        <v>126</v>
      </c>
      <c r="AF22" s="27" t="s">
        <v>5</v>
      </c>
      <c r="AG22" s="27" t="s">
        <v>6</v>
      </c>
      <c r="AH22" s="30" t="s">
        <v>126</v>
      </c>
      <c r="AI22" s="2"/>
    </row>
    <row r="23" spans="2:41" ht="18.75" x14ac:dyDescent="0.25">
      <c r="B23" s="68" t="s">
        <v>96</v>
      </c>
      <c r="C23" s="68"/>
      <c r="E23" s="27" t="s">
        <v>5</v>
      </c>
      <c r="F23" s="30" t="s">
        <v>129</v>
      </c>
      <c r="G23" s="30" t="s">
        <v>129</v>
      </c>
      <c r="H23" s="30" t="s">
        <v>129</v>
      </c>
      <c r="I23" s="27" t="s">
        <v>128</v>
      </c>
      <c r="J23" s="27" t="s">
        <v>128</v>
      </c>
      <c r="K23" s="27" t="s">
        <v>5</v>
      </c>
      <c r="L23" s="27" t="s">
        <v>6</v>
      </c>
      <c r="M23" s="27" t="s">
        <v>128</v>
      </c>
      <c r="N23" s="27" t="s">
        <v>128</v>
      </c>
      <c r="O23" s="27" t="s">
        <v>128</v>
      </c>
      <c r="P23" s="30" t="s">
        <v>129</v>
      </c>
      <c r="Q23" s="30" t="s">
        <v>129</v>
      </c>
      <c r="R23" s="27" t="s">
        <v>5</v>
      </c>
      <c r="S23" s="27" t="s">
        <v>6</v>
      </c>
      <c r="T23" s="30" t="s">
        <v>129</v>
      </c>
      <c r="U23" s="30" t="s">
        <v>129</v>
      </c>
      <c r="V23" s="30" t="s">
        <v>129</v>
      </c>
      <c r="W23" s="27" t="s">
        <v>128</v>
      </c>
      <c r="X23" s="27" t="s">
        <v>128</v>
      </c>
      <c r="Y23" s="27" t="s">
        <v>5</v>
      </c>
      <c r="Z23" s="27" t="s">
        <v>6</v>
      </c>
      <c r="AA23" s="27" t="s">
        <v>128</v>
      </c>
      <c r="AB23" s="27" t="s">
        <v>128</v>
      </c>
      <c r="AC23" s="27" t="s">
        <v>128</v>
      </c>
      <c r="AD23" s="30" t="s">
        <v>129</v>
      </c>
      <c r="AE23" s="30" t="s">
        <v>129</v>
      </c>
      <c r="AF23" s="27" t="s">
        <v>5</v>
      </c>
      <c r="AG23" s="27" t="s">
        <v>6</v>
      </c>
      <c r="AH23" s="30" t="s">
        <v>129</v>
      </c>
      <c r="AI23" s="2"/>
    </row>
    <row r="24" spans="2:41" ht="18.75" x14ac:dyDescent="0.25">
      <c r="B24" s="69" t="s">
        <v>97</v>
      </c>
      <c r="C24" s="70"/>
      <c r="E24" s="27" t="s">
        <v>5</v>
      </c>
      <c r="F24" s="30" t="s">
        <v>129</v>
      </c>
      <c r="G24" s="30" t="s">
        <v>129</v>
      </c>
      <c r="H24" s="30" t="s">
        <v>129</v>
      </c>
      <c r="I24" s="30" t="s">
        <v>129</v>
      </c>
      <c r="J24" s="30" t="s">
        <v>129</v>
      </c>
      <c r="K24" s="27" t="s">
        <v>5</v>
      </c>
      <c r="L24" s="27" t="s">
        <v>6</v>
      </c>
      <c r="M24" s="27" t="s">
        <v>125</v>
      </c>
      <c r="N24" s="27" t="s">
        <v>125</v>
      </c>
      <c r="O24" s="27" t="s">
        <v>125</v>
      </c>
      <c r="P24" s="27" t="s">
        <v>125</v>
      </c>
      <c r="Q24" s="27" t="s">
        <v>125</v>
      </c>
      <c r="R24" s="27" t="s">
        <v>5</v>
      </c>
      <c r="S24" s="27" t="s">
        <v>6</v>
      </c>
      <c r="T24" s="30" t="s">
        <v>129</v>
      </c>
      <c r="U24" s="30" t="s">
        <v>129</v>
      </c>
      <c r="V24" s="30" t="s">
        <v>129</v>
      </c>
      <c r="W24" s="30" t="s">
        <v>129</v>
      </c>
      <c r="X24" s="30" t="s">
        <v>129</v>
      </c>
      <c r="Y24" s="27" t="s">
        <v>5</v>
      </c>
      <c r="Z24" s="27" t="s">
        <v>6</v>
      </c>
      <c r="AA24" s="27" t="s">
        <v>125</v>
      </c>
      <c r="AB24" s="27" t="s">
        <v>125</v>
      </c>
      <c r="AC24" s="27" t="s">
        <v>125</v>
      </c>
      <c r="AD24" s="27" t="s">
        <v>125</v>
      </c>
      <c r="AE24" s="27" t="s">
        <v>125</v>
      </c>
      <c r="AF24" s="27" t="s">
        <v>5</v>
      </c>
      <c r="AG24" s="27" t="s">
        <v>6</v>
      </c>
      <c r="AH24" s="30" t="s">
        <v>129</v>
      </c>
      <c r="AI24" s="2"/>
    </row>
    <row r="25" spans="2:41" ht="18.75" x14ac:dyDescent="0.25">
      <c r="B25" s="69" t="s">
        <v>98</v>
      </c>
      <c r="C25" s="70"/>
      <c r="E25" s="27" t="s">
        <v>5</v>
      </c>
      <c r="F25" s="27" t="s">
        <v>125</v>
      </c>
      <c r="G25" s="27" t="s">
        <v>125</v>
      </c>
      <c r="H25" s="27" t="s">
        <v>125</v>
      </c>
      <c r="I25" s="27" t="s">
        <v>125</v>
      </c>
      <c r="J25" s="27" t="s">
        <v>125</v>
      </c>
      <c r="K25" s="27" t="s">
        <v>5</v>
      </c>
      <c r="L25" s="27" t="s">
        <v>6</v>
      </c>
      <c r="M25" s="30" t="s">
        <v>130</v>
      </c>
      <c r="N25" s="30" t="s">
        <v>130</v>
      </c>
      <c r="O25" s="27" t="s">
        <v>125</v>
      </c>
      <c r="P25" s="27" t="s">
        <v>125</v>
      </c>
      <c r="Q25" s="27" t="s">
        <v>125</v>
      </c>
      <c r="R25" s="27" t="s">
        <v>5</v>
      </c>
      <c r="S25" s="27" t="s">
        <v>6</v>
      </c>
      <c r="T25" s="30" t="s">
        <v>130</v>
      </c>
      <c r="U25" s="30" t="s">
        <v>130</v>
      </c>
      <c r="V25" s="30" t="s">
        <v>130</v>
      </c>
      <c r="W25" s="30" t="s">
        <v>130</v>
      </c>
      <c r="X25" s="30" t="s">
        <v>130</v>
      </c>
      <c r="Y25" s="27" t="s">
        <v>5</v>
      </c>
      <c r="Z25" s="27" t="s">
        <v>6</v>
      </c>
      <c r="AA25" s="27" t="s">
        <v>125</v>
      </c>
      <c r="AB25" s="27" t="s">
        <v>125</v>
      </c>
      <c r="AC25" s="27" t="s">
        <v>125</v>
      </c>
      <c r="AD25" s="27" t="s">
        <v>125</v>
      </c>
      <c r="AE25" s="27" t="s">
        <v>125</v>
      </c>
      <c r="AF25" s="27" t="s">
        <v>5</v>
      </c>
      <c r="AG25" s="27" t="s">
        <v>6</v>
      </c>
      <c r="AH25" s="30" t="s">
        <v>130</v>
      </c>
      <c r="AI25" s="2"/>
    </row>
    <row r="26" spans="2:41" ht="18.75" x14ac:dyDescent="0.25">
      <c r="B26" s="69" t="s">
        <v>99</v>
      </c>
      <c r="C26" s="70"/>
      <c r="E26" s="27" t="s">
        <v>5</v>
      </c>
      <c r="F26" s="27" t="s">
        <v>125</v>
      </c>
      <c r="G26" s="27" t="s">
        <v>125</v>
      </c>
      <c r="H26" s="27" t="s">
        <v>125</v>
      </c>
      <c r="I26" s="27" t="s">
        <v>125</v>
      </c>
      <c r="J26" s="27" t="s">
        <v>125</v>
      </c>
      <c r="K26" s="27" t="s">
        <v>5</v>
      </c>
      <c r="L26" s="27" t="s">
        <v>6</v>
      </c>
      <c r="M26" s="30" t="s">
        <v>126</v>
      </c>
      <c r="N26" s="30" t="s">
        <v>126</v>
      </c>
      <c r="O26" s="30" t="s">
        <v>126</v>
      </c>
      <c r="P26" s="30" t="s">
        <v>126</v>
      </c>
      <c r="Q26" s="30" t="s">
        <v>126</v>
      </c>
      <c r="R26" s="27" t="s">
        <v>5</v>
      </c>
      <c r="S26" s="27" t="s">
        <v>6</v>
      </c>
      <c r="T26" s="27" t="s">
        <v>125</v>
      </c>
      <c r="U26" s="27" t="s">
        <v>125</v>
      </c>
      <c r="V26" s="27" t="s">
        <v>125</v>
      </c>
      <c r="W26" s="27" t="s">
        <v>125</v>
      </c>
      <c r="X26" s="27" t="s">
        <v>125</v>
      </c>
      <c r="Y26" s="27" t="s">
        <v>5</v>
      </c>
      <c r="Z26" s="27" t="s">
        <v>6</v>
      </c>
      <c r="AA26" s="30" t="s">
        <v>126</v>
      </c>
      <c r="AB26" s="30" t="s">
        <v>126</v>
      </c>
      <c r="AC26" s="30" t="s">
        <v>126</v>
      </c>
      <c r="AD26" s="30" t="s">
        <v>126</v>
      </c>
      <c r="AE26" s="30" t="s">
        <v>126</v>
      </c>
      <c r="AF26" s="27" t="s">
        <v>5</v>
      </c>
      <c r="AG26" s="27" t="s">
        <v>6</v>
      </c>
      <c r="AH26" s="27" t="s">
        <v>125</v>
      </c>
      <c r="AI26" s="2"/>
    </row>
    <row r="27" spans="2:41" x14ac:dyDescent="0.25">
      <c r="B27" s="59"/>
      <c r="C27" s="60"/>
      <c r="E27" s="3" t="s">
        <v>45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2:41" x14ac:dyDescent="0.25">
      <c r="B28" s="59"/>
      <c r="C28" s="60"/>
    </row>
    <row r="29" spans="2:41" ht="18.75" x14ac:dyDescent="0.3">
      <c r="B29" s="62" t="s">
        <v>41</v>
      </c>
      <c r="C29" s="63"/>
      <c r="D29" s="20"/>
      <c r="E29" s="21">
        <v>3</v>
      </c>
      <c r="F29" s="21">
        <v>5</v>
      </c>
      <c r="G29" s="21">
        <v>5</v>
      </c>
      <c r="H29" s="21">
        <v>7</v>
      </c>
      <c r="I29" s="21">
        <v>6</v>
      </c>
      <c r="J29" s="28">
        <v>7</v>
      </c>
      <c r="K29" s="28">
        <v>3</v>
      </c>
      <c r="L29" s="28">
        <v>3</v>
      </c>
      <c r="M29" s="28">
        <v>6</v>
      </c>
      <c r="N29" s="28">
        <v>5</v>
      </c>
      <c r="O29" s="28">
        <v>5</v>
      </c>
      <c r="P29" s="28">
        <v>5</v>
      </c>
      <c r="Q29" s="28">
        <v>5</v>
      </c>
      <c r="R29" s="28">
        <v>3</v>
      </c>
      <c r="S29" s="28">
        <v>3</v>
      </c>
      <c r="T29" s="28">
        <v>8</v>
      </c>
      <c r="U29" s="28">
        <v>7</v>
      </c>
      <c r="V29" s="28">
        <v>6</v>
      </c>
      <c r="W29" s="28">
        <v>6</v>
      </c>
      <c r="X29" s="28">
        <v>6</v>
      </c>
      <c r="Y29" s="28">
        <v>3</v>
      </c>
      <c r="Z29" s="28">
        <f>COUNTIF(Z$5:Z$17,"M*")</f>
        <v>3</v>
      </c>
      <c r="AA29" s="28">
        <v>6</v>
      </c>
      <c r="AB29" s="28">
        <v>7</v>
      </c>
      <c r="AC29" s="28">
        <v>6</v>
      </c>
      <c r="AD29" s="28">
        <v>5</v>
      </c>
      <c r="AE29" s="28">
        <v>5</v>
      </c>
      <c r="AF29" s="28">
        <v>3</v>
      </c>
      <c r="AG29" s="28">
        <v>3</v>
      </c>
      <c r="AH29" s="21">
        <v>7</v>
      </c>
      <c r="AI29" s="21" t="s">
        <v>45</v>
      </c>
    </row>
    <row r="30" spans="2:41" ht="18.75" x14ac:dyDescent="0.3">
      <c r="B30" s="62" t="s">
        <v>42</v>
      </c>
      <c r="C30" s="63"/>
      <c r="D30" s="20"/>
      <c r="E30" s="21">
        <v>3</v>
      </c>
      <c r="F30" s="21">
        <v>5</v>
      </c>
      <c r="G30" s="21">
        <v>6</v>
      </c>
      <c r="H30" s="21">
        <v>5</v>
      </c>
      <c r="I30" s="21">
        <v>7</v>
      </c>
      <c r="J30" s="28">
        <v>5</v>
      </c>
      <c r="K30" s="28">
        <v>3</v>
      </c>
      <c r="L30" s="28">
        <v>3</v>
      </c>
      <c r="M30" s="28">
        <v>7</v>
      </c>
      <c r="N30" s="28">
        <v>7</v>
      </c>
      <c r="O30" s="28">
        <v>7</v>
      </c>
      <c r="P30" s="28">
        <v>7</v>
      </c>
      <c r="Q30" s="28">
        <v>7</v>
      </c>
      <c r="R30" s="28">
        <v>2</v>
      </c>
      <c r="S30" s="28">
        <v>3</v>
      </c>
      <c r="T30" s="28">
        <v>5</v>
      </c>
      <c r="U30" s="28">
        <v>6</v>
      </c>
      <c r="V30" s="28">
        <v>6</v>
      </c>
      <c r="W30" s="28">
        <v>6</v>
      </c>
      <c r="X30" s="28">
        <v>5</v>
      </c>
      <c r="Y30" s="28">
        <v>3</v>
      </c>
      <c r="Z30" s="28">
        <f>COUNTIF(Z$5:Z$17,"A*")</f>
        <v>2</v>
      </c>
      <c r="AA30" s="28">
        <v>7</v>
      </c>
      <c r="AB30" s="28">
        <v>6</v>
      </c>
      <c r="AC30" s="28">
        <v>7</v>
      </c>
      <c r="AD30" s="28">
        <v>7</v>
      </c>
      <c r="AE30" s="28">
        <v>7</v>
      </c>
      <c r="AF30" s="28">
        <v>3</v>
      </c>
      <c r="AG30" s="28">
        <v>3</v>
      </c>
      <c r="AH30" s="21">
        <v>5</v>
      </c>
      <c r="AI30" s="21" t="s">
        <v>45</v>
      </c>
    </row>
    <row r="31" spans="2:41" ht="18.75" x14ac:dyDescent="0.3">
      <c r="B31" s="62" t="s">
        <v>8</v>
      </c>
      <c r="C31" s="63"/>
      <c r="D31" s="20"/>
      <c r="E31" s="21">
        <f>COUNTIF(E$5:E$17,"N*")</f>
        <v>2</v>
      </c>
      <c r="F31" s="21">
        <v>4</v>
      </c>
      <c r="G31" s="21">
        <f>COUNTIF(G$5:G$17,"N*")</f>
        <v>3</v>
      </c>
      <c r="H31" s="21">
        <v>4</v>
      </c>
      <c r="I31" s="21">
        <f>COUNTIF(I$5:I$17,"N*")</f>
        <v>3</v>
      </c>
      <c r="J31" s="21">
        <v>4</v>
      </c>
      <c r="K31" s="21">
        <v>4</v>
      </c>
      <c r="L31" s="21">
        <v>4</v>
      </c>
      <c r="M31" s="21">
        <v>4</v>
      </c>
      <c r="N31" s="21">
        <v>4</v>
      </c>
      <c r="O31" s="21">
        <f>COUNTIF(O$5:O$17,"N*")</f>
        <v>4</v>
      </c>
      <c r="P31" s="21">
        <f>COUNTIF(P$5:P$17,"N*")</f>
        <v>4</v>
      </c>
      <c r="Q31" s="21">
        <f>COUNTIF(Q$5:Q$17,"N*")</f>
        <v>4</v>
      </c>
      <c r="R31" s="21">
        <v>4</v>
      </c>
      <c r="S31" s="21">
        <v>4</v>
      </c>
      <c r="T31" s="21">
        <v>4</v>
      </c>
      <c r="U31" s="21">
        <v>4</v>
      </c>
      <c r="V31" s="21">
        <f>COUNTIF(V$5:V$17,"N*")</f>
        <v>4</v>
      </c>
      <c r="W31" s="21">
        <v>4</v>
      </c>
      <c r="X31" s="21">
        <v>4</v>
      </c>
      <c r="Y31" s="21">
        <v>3</v>
      </c>
      <c r="Z31" s="21">
        <v>4</v>
      </c>
      <c r="AA31" s="21">
        <v>4</v>
      </c>
      <c r="AB31" s="21">
        <v>4</v>
      </c>
      <c r="AC31" s="21">
        <v>4</v>
      </c>
      <c r="AD31" s="21">
        <v>4</v>
      </c>
      <c r="AE31" s="21">
        <v>4</v>
      </c>
      <c r="AF31" s="21">
        <v>3</v>
      </c>
      <c r="AG31" s="21">
        <f>COUNTIF(AG$5:AG$17,"N*")</f>
        <v>3</v>
      </c>
      <c r="AH31" s="21">
        <v>4</v>
      </c>
      <c r="AI31" s="21" t="s">
        <v>45</v>
      </c>
    </row>
    <row r="32" spans="2:41" ht="18.75" x14ac:dyDescent="0.3">
      <c r="B32" s="62" t="s">
        <v>9</v>
      </c>
      <c r="C32" s="63"/>
      <c r="D32" s="20"/>
      <c r="E32" s="21">
        <v>12</v>
      </c>
      <c r="F32" s="21">
        <v>6</v>
      </c>
      <c r="G32" s="21">
        <v>6</v>
      </c>
      <c r="H32" s="21">
        <v>6</v>
      </c>
      <c r="I32" s="21">
        <f>COUNTIF(I$5:I$17,"O*")</f>
        <v>6</v>
      </c>
      <c r="J32" s="21">
        <f>COUNTIF(J$5:J$17,"O*")</f>
        <v>6</v>
      </c>
      <c r="K32" s="21">
        <v>12</v>
      </c>
      <c r="L32" s="21">
        <v>12</v>
      </c>
      <c r="M32" s="21">
        <v>5</v>
      </c>
      <c r="N32" s="21">
        <v>6</v>
      </c>
      <c r="O32" s="21">
        <v>6</v>
      </c>
      <c r="P32" s="21">
        <f>COUNTIF(P$5:P$17,"O*")</f>
        <v>6</v>
      </c>
      <c r="Q32" s="21">
        <f>COUNTIF(Q$5:Q$17,"O*")</f>
        <v>6</v>
      </c>
      <c r="R32" s="21">
        <v>13</v>
      </c>
      <c r="S32" s="21">
        <v>12</v>
      </c>
      <c r="T32" s="21">
        <v>5</v>
      </c>
      <c r="U32" s="21">
        <v>5</v>
      </c>
      <c r="V32" s="21">
        <v>5</v>
      </c>
      <c r="W32" s="21">
        <v>6</v>
      </c>
      <c r="X32" s="21">
        <v>6</v>
      </c>
      <c r="Y32" s="21">
        <v>13</v>
      </c>
      <c r="Z32" s="21">
        <v>13</v>
      </c>
      <c r="AA32" s="21">
        <f>COUNTIF(AA$5:AA$17,"O*")</f>
        <v>5</v>
      </c>
      <c r="AB32" s="21">
        <v>5</v>
      </c>
      <c r="AC32" s="21">
        <v>2</v>
      </c>
      <c r="AD32" s="21">
        <v>6</v>
      </c>
      <c r="AE32" s="21">
        <v>6</v>
      </c>
      <c r="AF32" s="21">
        <v>13</v>
      </c>
      <c r="AG32" s="21">
        <v>13</v>
      </c>
      <c r="AH32" s="21">
        <v>6</v>
      </c>
      <c r="AI32" s="21" t="s">
        <v>45</v>
      </c>
    </row>
    <row r="33" spans="2:35" ht="18.75" x14ac:dyDescent="0.3">
      <c r="B33" s="62" t="s">
        <v>57</v>
      </c>
      <c r="C33" s="63"/>
      <c r="D33" s="20"/>
      <c r="E33" s="21">
        <f>COUNTIF(E$5:E$17,"ST*")</f>
        <v>3</v>
      </c>
      <c r="F33" s="21">
        <v>2</v>
      </c>
      <c r="G33" s="21">
        <f>COUNTIF(G$5:G$17,"ST*")</f>
        <v>0</v>
      </c>
      <c r="H33" s="21">
        <v>2</v>
      </c>
      <c r="I33" s="21">
        <f>COUNTIF(I$5:I$17,"ST*")</f>
        <v>1</v>
      </c>
      <c r="J33" s="21">
        <f>COUNTIF(J$5:J$17,"ST*")</f>
        <v>1</v>
      </c>
      <c r="K33" s="21">
        <f>COUNTIF(K$5:K$17,"ST*")</f>
        <v>1</v>
      </c>
      <c r="L33" s="21">
        <v>2</v>
      </c>
      <c r="M33" s="21">
        <f>COUNTIF(M$5:M$17,"ST*")</f>
        <v>3</v>
      </c>
      <c r="N33" s="21">
        <f>COUNTIF(N$5:N$17,"ST*")</f>
        <v>2</v>
      </c>
      <c r="O33" s="21">
        <f>COUNTIF(O$5:O$17,"ST*")</f>
        <v>2</v>
      </c>
      <c r="P33" s="21">
        <v>1</v>
      </c>
      <c r="Q33" s="21">
        <f>COUNTIF(Q$5:Q$17,"ST*")</f>
        <v>1</v>
      </c>
      <c r="R33" s="21">
        <f>COUNTIF(R$5:R$17,"ST*")</f>
        <v>1</v>
      </c>
      <c r="S33" s="21">
        <f>COUNTIF(S$5:S$17,"ST*")</f>
        <v>2</v>
      </c>
      <c r="T33" s="21">
        <f>COUNTIF(T$5:T$17,"ST*")</f>
        <v>3</v>
      </c>
      <c r="U33" s="21">
        <v>4</v>
      </c>
      <c r="V33" s="21">
        <f>COUNTIF(V$5:V$17,"ST*")</f>
        <v>1</v>
      </c>
      <c r="W33" s="21">
        <f>COUNTIF(W$5:W$17,"ST*")</f>
        <v>1</v>
      </c>
      <c r="X33" s="21">
        <v>1</v>
      </c>
      <c r="Y33" s="21">
        <f>COUNTIF(Y$5:Y$17,"ST*")</f>
        <v>1</v>
      </c>
      <c r="Z33" s="21">
        <f>COUNTIF(Z$5:Z$17,"ST*")</f>
        <v>0</v>
      </c>
      <c r="AA33" s="21">
        <f>COUNTIF(AA$5:AA$17,"ST*")</f>
        <v>1</v>
      </c>
      <c r="AB33" s="21">
        <f>COUNTIF(AB$5:AB$17,"ST*")</f>
        <v>4</v>
      </c>
      <c r="AC33" s="21">
        <v>2</v>
      </c>
      <c r="AD33" s="21">
        <v>2</v>
      </c>
      <c r="AE33" s="21">
        <f>COUNTIF(AE$5:AE$17,"ST*")</f>
        <v>2</v>
      </c>
      <c r="AF33" s="21">
        <v>1</v>
      </c>
      <c r="AG33" s="21">
        <v>2</v>
      </c>
      <c r="AH33" s="21">
        <v>2</v>
      </c>
      <c r="AI33" s="21" t="s">
        <v>45</v>
      </c>
    </row>
    <row r="34" spans="2:35" ht="18.75" x14ac:dyDescent="0.3">
      <c r="B34" s="71" t="s">
        <v>55</v>
      </c>
      <c r="C34" s="72"/>
      <c r="D34" s="22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 t="s">
        <v>45</v>
      </c>
    </row>
    <row r="35" spans="2:35" ht="18.75" x14ac:dyDescent="0.3">
      <c r="B35" s="65"/>
      <c r="C35" s="65"/>
      <c r="D35" s="20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</row>
    <row r="36" spans="2:35" ht="18.75" x14ac:dyDescent="0.3">
      <c r="B36" s="62" t="s">
        <v>53</v>
      </c>
      <c r="C36" s="63"/>
      <c r="D36" s="20"/>
      <c r="E36" s="25">
        <f>SUM(E29:E31)</f>
        <v>8</v>
      </c>
      <c r="F36" s="25">
        <f t="shared" ref="F36:AH36" si="5">SUM(F29:F31)</f>
        <v>14</v>
      </c>
      <c r="G36" s="25">
        <f t="shared" si="5"/>
        <v>14</v>
      </c>
      <c r="H36" s="25">
        <f t="shared" si="5"/>
        <v>16</v>
      </c>
      <c r="I36" s="25">
        <f t="shared" si="5"/>
        <v>16</v>
      </c>
      <c r="J36" s="25">
        <f t="shared" si="5"/>
        <v>16</v>
      </c>
      <c r="K36" s="25">
        <f t="shared" si="5"/>
        <v>10</v>
      </c>
      <c r="L36" s="25">
        <f t="shared" si="5"/>
        <v>10</v>
      </c>
      <c r="M36" s="25">
        <f t="shared" si="5"/>
        <v>17</v>
      </c>
      <c r="N36" s="25">
        <f t="shared" si="5"/>
        <v>16</v>
      </c>
      <c r="O36" s="25">
        <f t="shared" si="5"/>
        <v>16</v>
      </c>
      <c r="P36" s="25">
        <f t="shared" si="5"/>
        <v>16</v>
      </c>
      <c r="Q36" s="25">
        <f t="shared" si="5"/>
        <v>16</v>
      </c>
      <c r="R36" s="25">
        <f t="shared" si="5"/>
        <v>9</v>
      </c>
      <c r="S36" s="25">
        <f t="shared" si="5"/>
        <v>10</v>
      </c>
      <c r="T36" s="25">
        <f t="shared" si="5"/>
        <v>17</v>
      </c>
      <c r="U36" s="25">
        <f t="shared" si="5"/>
        <v>17</v>
      </c>
      <c r="V36" s="25">
        <f t="shared" si="5"/>
        <v>16</v>
      </c>
      <c r="W36" s="25">
        <f t="shared" si="5"/>
        <v>16</v>
      </c>
      <c r="X36" s="25">
        <f t="shared" si="5"/>
        <v>15</v>
      </c>
      <c r="Y36" s="25">
        <f t="shared" si="5"/>
        <v>9</v>
      </c>
      <c r="Z36" s="25">
        <f t="shared" si="5"/>
        <v>9</v>
      </c>
      <c r="AA36" s="25">
        <f t="shared" si="5"/>
        <v>17</v>
      </c>
      <c r="AB36" s="25">
        <f t="shared" si="5"/>
        <v>17</v>
      </c>
      <c r="AC36" s="25">
        <f t="shared" si="5"/>
        <v>17</v>
      </c>
      <c r="AD36" s="25">
        <f t="shared" si="5"/>
        <v>16</v>
      </c>
      <c r="AE36" s="25">
        <f t="shared" si="5"/>
        <v>16</v>
      </c>
      <c r="AF36" s="25">
        <f t="shared" si="5"/>
        <v>9</v>
      </c>
      <c r="AG36" s="25">
        <f t="shared" si="5"/>
        <v>9</v>
      </c>
      <c r="AH36" s="25">
        <f t="shared" si="5"/>
        <v>16</v>
      </c>
      <c r="AI36" s="25" t="s">
        <v>45</v>
      </c>
    </row>
    <row r="37" spans="2:35" ht="18.75" x14ac:dyDescent="0.3">
      <c r="B37" s="62" t="s">
        <v>40</v>
      </c>
      <c r="C37" s="63"/>
      <c r="D37" s="20"/>
      <c r="E37" s="21">
        <v>7</v>
      </c>
      <c r="F37" s="21">
        <v>7</v>
      </c>
      <c r="G37" s="21">
        <v>7</v>
      </c>
      <c r="H37" s="21">
        <v>7</v>
      </c>
      <c r="I37" s="21">
        <v>7</v>
      </c>
      <c r="J37" s="21">
        <v>7</v>
      </c>
      <c r="K37" s="21">
        <v>7</v>
      </c>
      <c r="L37" s="21">
        <v>7</v>
      </c>
      <c r="M37" s="21">
        <v>7</v>
      </c>
      <c r="N37" s="21">
        <v>7</v>
      </c>
      <c r="O37" s="21">
        <v>7</v>
      </c>
      <c r="P37" s="21">
        <v>7</v>
      </c>
      <c r="Q37" s="21">
        <v>7</v>
      </c>
      <c r="R37" s="21">
        <v>7</v>
      </c>
      <c r="S37" s="21">
        <v>7</v>
      </c>
      <c r="T37" s="21">
        <v>7</v>
      </c>
      <c r="U37" s="21">
        <v>7</v>
      </c>
      <c r="V37" s="21">
        <v>7</v>
      </c>
      <c r="W37" s="21">
        <v>7</v>
      </c>
      <c r="X37" s="21">
        <v>7</v>
      </c>
      <c r="Y37" s="21">
        <v>7</v>
      </c>
      <c r="Z37" s="21">
        <v>7</v>
      </c>
      <c r="AA37" s="21">
        <v>7</v>
      </c>
      <c r="AB37" s="21">
        <v>7</v>
      </c>
      <c r="AC37" s="21">
        <v>7</v>
      </c>
      <c r="AD37" s="21">
        <v>7</v>
      </c>
      <c r="AE37" s="21">
        <v>7</v>
      </c>
      <c r="AF37" s="21">
        <v>7</v>
      </c>
      <c r="AG37" s="21">
        <v>7</v>
      </c>
      <c r="AH37" s="21">
        <v>7</v>
      </c>
      <c r="AI37" s="21" t="s">
        <v>45</v>
      </c>
    </row>
    <row r="38" spans="2:35" ht="18.75" x14ac:dyDescent="0.3">
      <c r="B38" s="61" t="s">
        <v>54</v>
      </c>
      <c r="C38" s="61"/>
      <c r="D38" s="20"/>
      <c r="E38" s="21">
        <v>22</v>
      </c>
      <c r="F38" s="21">
        <v>13</v>
      </c>
      <c r="G38" s="21">
        <v>13</v>
      </c>
      <c r="H38" s="21">
        <v>13</v>
      </c>
      <c r="I38" s="21">
        <v>13</v>
      </c>
      <c r="J38" s="21">
        <v>13</v>
      </c>
      <c r="K38" s="21">
        <v>13</v>
      </c>
      <c r="L38" s="21">
        <v>13</v>
      </c>
      <c r="M38" s="21">
        <v>13</v>
      </c>
      <c r="N38" s="21">
        <v>13</v>
      </c>
      <c r="O38" s="21">
        <v>13</v>
      </c>
      <c r="P38" s="21">
        <v>13</v>
      </c>
      <c r="Q38" s="21">
        <v>13</v>
      </c>
      <c r="R38" s="21">
        <v>13</v>
      </c>
      <c r="S38" s="21">
        <v>13</v>
      </c>
      <c r="T38" s="21">
        <v>13</v>
      </c>
      <c r="U38" s="21">
        <v>13</v>
      </c>
      <c r="V38" s="21">
        <v>13</v>
      </c>
      <c r="W38" s="21">
        <v>13</v>
      </c>
      <c r="X38" s="21">
        <v>13</v>
      </c>
      <c r="Y38" s="21">
        <v>13</v>
      </c>
      <c r="Z38" s="21">
        <v>13</v>
      </c>
      <c r="AA38" s="21">
        <v>13</v>
      </c>
      <c r="AB38" s="21">
        <v>13</v>
      </c>
      <c r="AC38" s="21">
        <v>13</v>
      </c>
      <c r="AD38" s="21">
        <v>13</v>
      </c>
      <c r="AE38" s="21">
        <v>13</v>
      </c>
      <c r="AF38" s="21">
        <v>13</v>
      </c>
      <c r="AG38" s="21">
        <v>13</v>
      </c>
      <c r="AH38" s="21">
        <v>13</v>
      </c>
      <c r="AI38" s="21" t="s">
        <v>45</v>
      </c>
    </row>
  </sheetData>
  <mergeCells count="39">
    <mergeCell ref="B38:C38"/>
    <mergeCell ref="B14:C14"/>
    <mergeCell ref="B32:C32"/>
    <mergeCell ref="B33:C33"/>
    <mergeCell ref="B34:C34"/>
    <mergeCell ref="B19:C19"/>
    <mergeCell ref="E35:AI35"/>
    <mergeCell ref="B36:C36"/>
    <mergeCell ref="B37:C37"/>
    <mergeCell ref="B16:C16"/>
    <mergeCell ref="B17:C17"/>
    <mergeCell ref="B29:C29"/>
    <mergeCell ref="B30:C30"/>
    <mergeCell ref="B31:C31"/>
    <mergeCell ref="B18:C18"/>
    <mergeCell ref="B25:C25"/>
    <mergeCell ref="B26:C26"/>
    <mergeCell ref="B24:C24"/>
    <mergeCell ref="B23:C23"/>
    <mergeCell ref="B22:C22"/>
    <mergeCell ref="B21:C21"/>
    <mergeCell ref="B20:C20"/>
    <mergeCell ref="B10:C10"/>
    <mergeCell ref="B11:C11"/>
    <mergeCell ref="B12:C12"/>
    <mergeCell ref="B13:C13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20:E26">
    <cfRule type="containsText" dxfId="539" priority="1224" operator="containsText" text="STM1">
      <formula>NOT(ISERROR(SEARCH("STM1",E20)))</formula>
    </cfRule>
    <cfRule type="containsText" dxfId="538" priority="1225" operator="containsText" text="STA">
      <formula>NOT(ISERROR(SEARCH("STA",E20)))</formula>
    </cfRule>
    <cfRule type="containsText" dxfId="537" priority="1226" operator="containsText" text="STM1">
      <formula>NOT(ISERROR(SEARCH("STM1",E20)))</formula>
    </cfRule>
    <cfRule type="containsText" dxfId="536" priority="1227" operator="containsText" text="O">
      <formula>NOT(ISERROR(SEARCH("O",E20)))</formula>
    </cfRule>
    <cfRule type="containsText" dxfId="535" priority="1228" operator="containsText" text="N">
      <formula>NOT(ISERROR(SEARCH("N",E20)))</formula>
    </cfRule>
    <cfRule type="containsText" dxfId="534" priority="1229" operator="containsText" text="A">
      <formula>NOT(ISERROR(SEARCH("A",E20)))</formula>
    </cfRule>
    <cfRule type="containsText" dxfId="533" priority="1230" operator="containsText" text="M">
      <formula>NOT(ISERROR(SEARCH("M",E20)))</formula>
    </cfRule>
  </conditionalFormatting>
  <conditionalFormatting sqref="E20:E26">
    <cfRule type="containsText" dxfId="532" priority="1216" operator="containsText" text="STN">
      <formula>NOT(ISERROR(SEARCH("STN",E20)))</formula>
    </cfRule>
    <cfRule type="containsText" dxfId="531" priority="1217" operator="containsText" text="STN">
      <formula>NOT(ISERROR(SEARCH("STN",E20)))</formula>
    </cfRule>
    <cfRule type="containsText" dxfId="530" priority="1218" operator="containsText" text="STM">
      <formula>NOT(ISERROR(SEARCH("STM",E20)))</formula>
    </cfRule>
    <cfRule type="containsText" dxfId="529" priority="1219" operator="containsText" text="M">
      <formula>NOT(ISERROR(SEARCH("M",E20)))</formula>
    </cfRule>
    <cfRule type="containsText" dxfId="528" priority="1220" operator="containsText" text="STM1">
      <formula>NOT(ISERROR(SEARCH("STM1",E20)))</formula>
    </cfRule>
    <cfRule type="containsText" dxfId="527" priority="1221" operator="containsText" text="M">
      <formula>NOT(ISERROR(SEARCH("M",E20)))</formula>
    </cfRule>
    <cfRule type="containsText" dxfId="526" priority="1222" operator="containsText" text="STM">
      <formula>NOT(ISERROR(SEARCH("STM",E20)))</formula>
    </cfRule>
    <cfRule type="containsText" dxfId="525" priority="1223" operator="containsText" text="STM">
      <formula>NOT(ISERROR(SEARCH("STM",E20)))</formula>
    </cfRule>
  </conditionalFormatting>
  <conditionalFormatting sqref="K20:L26">
    <cfRule type="containsText" dxfId="524" priority="1194" operator="containsText" text="STM1">
      <formula>NOT(ISERROR(SEARCH("STM1",K20)))</formula>
    </cfRule>
    <cfRule type="containsText" dxfId="523" priority="1195" operator="containsText" text="STA">
      <formula>NOT(ISERROR(SEARCH("STA",K20)))</formula>
    </cfRule>
    <cfRule type="containsText" dxfId="522" priority="1196" operator="containsText" text="STM1">
      <formula>NOT(ISERROR(SEARCH("STM1",K20)))</formula>
    </cfRule>
    <cfRule type="containsText" dxfId="521" priority="1197" operator="containsText" text="O">
      <formula>NOT(ISERROR(SEARCH("O",K20)))</formula>
    </cfRule>
    <cfRule type="containsText" dxfId="520" priority="1198" operator="containsText" text="N">
      <formula>NOT(ISERROR(SEARCH("N",K20)))</formula>
    </cfRule>
    <cfRule type="containsText" dxfId="519" priority="1199" operator="containsText" text="A">
      <formula>NOT(ISERROR(SEARCH("A",K20)))</formula>
    </cfRule>
    <cfRule type="containsText" dxfId="518" priority="1200" operator="containsText" text="M">
      <formula>NOT(ISERROR(SEARCH("M",K20)))</formula>
    </cfRule>
  </conditionalFormatting>
  <conditionalFormatting sqref="K20:L26">
    <cfRule type="containsText" dxfId="517" priority="1186" operator="containsText" text="STN">
      <formula>NOT(ISERROR(SEARCH("STN",K20)))</formula>
    </cfRule>
    <cfRule type="containsText" dxfId="516" priority="1187" operator="containsText" text="STN">
      <formula>NOT(ISERROR(SEARCH("STN",K20)))</formula>
    </cfRule>
    <cfRule type="containsText" dxfId="515" priority="1188" operator="containsText" text="STM">
      <formula>NOT(ISERROR(SEARCH("STM",K20)))</formula>
    </cfRule>
    <cfRule type="containsText" dxfId="514" priority="1189" operator="containsText" text="M">
      <formula>NOT(ISERROR(SEARCH("M",K20)))</formula>
    </cfRule>
    <cfRule type="containsText" dxfId="513" priority="1190" operator="containsText" text="STM1">
      <formula>NOT(ISERROR(SEARCH("STM1",K20)))</formula>
    </cfRule>
    <cfRule type="containsText" dxfId="512" priority="1191" operator="containsText" text="M">
      <formula>NOT(ISERROR(SEARCH("M",K20)))</formula>
    </cfRule>
    <cfRule type="containsText" dxfId="511" priority="1192" operator="containsText" text="STM">
      <formula>NOT(ISERROR(SEARCH("STM",K20)))</formula>
    </cfRule>
    <cfRule type="containsText" dxfId="510" priority="1193" operator="containsText" text="STM">
      <formula>NOT(ISERROR(SEARCH("STM",K20)))</formula>
    </cfRule>
  </conditionalFormatting>
  <conditionalFormatting sqref="R20:S26">
    <cfRule type="containsText" dxfId="509" priority="1164" operator="containsText" text="STM1">
      <formula>NOT(ISERROR(SEARCH("STM1",R20)))</formula>
    </cfRule>
    <cfRule type="containsText" dxfId="508" priority="1165" operator="containsText" text="STA">
      <formula>NOT(ISERROR(SEARCH("STA",R20)))</formula>
    </cfRule>
    <cfRule type="containsText" dxfId="507" priority="1166" operator="containsText" text="STM1">
      <formula>NOT(ISERROR(SEARCH("STM1",R20)))</formula>
    </cfRule>
    <cfRule type="containsText" dxfId="506" priority="1167" operator="containsText" text="O">
      <formula>NOT(ISERROR(SEARCH("O",R20)))</formula>
    </cfRule>
    <cfRule type="containsText" dxfId="505" priority="1168" operator="containsText" text="N">
      <formula>NOT(ISERROR(SEARCH("N",R20)))</formula>
    </cfRule>
    <cfRule type="containsText" dxfId="504" priority="1169" operator="containsText" text="A">
      <formula>NOT(ISERROR(SEARCH("A",R20)))</formula>
    </cfRule>
    <cfRule type="containsText" dxfId="503" priority="1170" operator="containsText" text="M">
      <formula>NOT(ISERROR(SEARCH("M",R20)))</formula>
    </cfRule>
  </conditionalFormatting>
  <conditionalFormatting sqref="R20:S26">
    <cfRule type="containsText" dxfId="502" priority="1156" operator="containsText" text="STN">
      <formula>NOT(ISERROR(SEARCH("STN",R20)))</formula>
    </cfRule>
    <cfRule type="containsText" dxfId="501" priority="1157" operator="containsText" text="STN">
      <formula>NOT(ISERROR(SEARCH("STN",R20)))</formula>
    </cfRule>
    <cfRule type="containsText" dxfId="500" priority="1158" operator="containsText" text="STM">
      <formula>NOT(ISERROR(SEARCH("STM",R20)))</formula>
    </cfRule>
    <cfRule type="containsText" dxfId="499" priority="1159" operator="containsText" text="M">
      <formula>NOT(ISERROR(SEARCH("M",R20)))</formula>
    </cfRule>
    <cfRule type="containsText" dxfId="498" priority="1160" operator="containsText" text="STM1">
      <formula>NOT(ISERROR(SEARCH("STM1",R20)))</formula>
    </cfRule>
    <cfRule type="containsText" dxfId="497" priority="1161" operator="containsText" text="M">
      <formula>NOT(ISERROR(SEARCH("M",R20)))</formula>
    </cfRule>
    <cfRule type="containsText" dxfId="496" priority="1162" operator="containsText" text="STM">
      <formula>NOT(ISERROR(SEARCH("STM",R20)))</formula>
    </cfRule>
    <cfRule type="containsText" dxfId="495" priority="1163" operator="containsText" text="STM">
      <formula>NOT(ISERROR(SEARCH("STM",R20)))</formula>
    </cfRule>
  </conditionalFormatting>
  <conditionalFormatting sqref="Y20:Z26">
    <cfRule type="containsText" dxfId="494" priority="1149" operator="containsText" text="STM1">
      <formula>NOT(ISERROR(SEARCH("STM1",Y20)))</formula>
    </cfRule>
    <cfRule type="containsText" dxfId="493" priority="1150" operator="containsText" text="STA">
      <formula>NOT(ISERROR(SEARCH("STA",Y20)))</formula>
    </cfRule>
    <cfRule type="containsText" dxfId="492" priority="1151" operator="containsText" text="STM1">
      <formula>NOT(ISERROR(SEARCH("STM1",Y20)))</formula>
    </cfRule>
    <cfRule type="containsText" dxfId="491" priority="1152" operator="containsText" text="O">
      <formula>NOT(ISERROR(SEARCH("O",Y20)))</formula>
    </cfRule>
    <cfRule type="containsText" dxfId="490" priority="1153" operator="containsText" text="N">
      <formula>NOT(ISERROR(SEARCH("N",Y20)))</formula>
    </cfRule>
    <cfRule type="containsText" dxfId="489" priority="1154" operator="containsText" text="A">
      <formula>NOT(ISERROR(SEARCH("A",Y20)))</formula>
    </cfRule>
    <cfRule type="containsText" dxfId="488" priority="1155" operator="containsText" text="M">
      <formula>NOT(ISERROR(SEARCH("M",Y20)))</formula>
    </cfRule>
  </conditionalFormatting>
  <conditionalFormatting sqref="Y20:Z26">
    <cfRule type="containsText" dxfId="487" priority="1141" operator="containsText" text="STN">
      <formula>NOT(ISERROR(SEARCH("STN",Y20)))</formula>
    </cfRule>
    <cfRule type="containsText" dxfId="486" priority="1142" operator="containsText" text="STN">
      <formula>NOT(ISERROR(SEARCH("STN",Y20)))</formula>
    </cfRule>
    <cfRule type="containsText" dxfId="485" priority="1143" operator="containsText" text="STM">
      <formula>NOT(ISERROR(SEARCH("STM",Y20)))</formula>
    </cfRule>
    <cfRule type="containsText" dxfId="484" priority="1144" operator="containsText" text="M">
      <formula>NOT(ISERROR(SEARCH("M",Y20)))</formula>
    </cfRule>
    <cfRule type="containsText" dxfId="483" priority="1145" operator="containsText" text="STM1">
      <formula>NOT(ISERROR(SEARCH("STM1",Y20)))</formula>
    </cfRule>
    <cfRule type="containsText" dxfId="482" priority="1146" operator="containsText" text="M">
      <formula>NOT(ISERROR(SEARCH("M",Y20)))</formula>
    </cfRule>
    <cfRule type="containsText" dxfId="481" priority="1147" operator="containsText" text="STM">
      <formula>NOT(ISERROR(SEARCH("STM",Y20)))</formula>
    </cfRule>
    <cfRule type="containsText" dxfId="480" priority="1148" operator="containsText" text="STM">
      <formula>NOT(ISERROR(SEARCH("STM",Y20)))</formula>
    </cfRule>
  </conditionalFormatting>
  <conditionalFormatting sqref="AF20:AG26">
    <cfRule type="containsText" dxfId="479" priority="1134" operator="containsText" text="STM1">
      <formula>NOT(ISERROR(SEARCH("STM1",AF20)))</formula>
    </cfRule>
    <cfRule type="containsText" dxfId="478" priority="1135" operator="containsText" text="STA">
      <formula>NOT(ISERROR(SEARCH("STA",AF20)))</formula>
    </cfRule>
    <cfRule type="containsText" dxfId="477" priority="1136" operator="containsText" text="STM1">
      <formula>NOT(ISERROR(SEARCH("STM1",AF20)))</formula>
    </cfRule>
    <cfRule type="containsText" dxfId="476" priority="1137" operator="containsText" text="O">
      <formula>NOT(ISERROR(SEARCH("O",AF20)))</formula>
    </cfRule>
    <cfRule type="containsText" dxfId="475" priority="1138" operator="containsText" text="N">
      <formula>NOT(ISERROR(SEARCH("N",AF20)))</formula>
    </cfRule>
    <cfRule type="containsText" dxfId="474" priority="1139" operator="containsText" text="A">
      <formula>NOT(ISERROR(SEARCH("A",AF20)))</formula>
    </cfRule>
    <cfRule type="containsText" dxfId="473" priority="1140" operator="containsText" text="M">
      <formula>NOT(ISERROR(SEARCH("M",AF20)))</formula>
    </cfRule>
  </conditionalFormatting>
  <conditionalFormatting sqref="AF20:AG26">
    <cfRule type="containsText" dxfId="472" priority="1126" operator="containsText" text="STN">
      <formula>NOT(ISERROR(SEARCH("STN",AF20)))</formula>
    </cfRule>
    <cfRule type="containsText" dxfId="471" priority="1127" operator="containsText" text="STN">
      <formula>NOT(ISERROR(SEARCH("STN",AF20)))</formula>
    </cfRule>
    <cfRule type="containsText" dxfId="470" priority="1128" operator="containsText" text="STM">
      <formula>NOT(ISERROR(SEARCH("STM",AF20)))</formula>
    </cfRule>
    <cfRule type="containsText" dxfId="469" priority="1129" operator="containsText" text="M">
      <formula>NOT(ISERROR(SEARCH("M",AF20)))</formula>
    </cfRule>
    <cfRule type="containsText" dxfId="468" priority="1130" operator="containsText" text="STM1">
      <formula>NOT(ISERROR(SEARCH("STM1",AF20)))</formula>
    </cfRule>
    <cfRule type="containsText" dxfId="467" priority="1131" operator="containsText" text="M">
      <formula>NOT(ISERROR(SEARCH("M",AF20)))</formula>
    </cfRule>
    <cfRule type="containsText" dxfId="466" priority="1132" operator="containsText" text="STM">
      <formula>NOT(ISERROR(SEARCH("STM",AF20)))</formula>
    </cfRule>
    <cfRule type="containsText" dxfId="465" priority="1133" operator="containsText" text="STM">
      <formula>NOT(ISERROR(SEARCH("STM",AF20)))</formula>
    </cfRule>
  </conditionalFormatting>
  <conditionalFormatting sqref="I23:J23">
    <cfRule type="containsText" dxfId="464" priority="1104" operator="containsText" text="STM1">
      <formula>NOT(ISERROR(SEARCH("STM1",I23)))</formula>
    </cfRule>
    <cfRule type="containsText" dxfId="463" priority="1105" operator="containsText" text="STA">
      <formula>NOT(ISERROR(SEARCH("STA",I23)))</formula>
    </cfRule>
    <cfRule type="containsText" dxfId="462" priority="1106" operator="containsText" text="STM1">
      <formula>NOT(ISERROR(SEARCH("STM1",I23)))</formula>
    </cfRule>
    <cfRule type="containsText" dxfId="461" priority="1107" operator="containsText" text="O">
      <formula>NOT(ISERROR(SEARCH("O",I23)))</formula>
    </cfRule>
    <cfRule type="containsText" dxfId="460" priority="1108" operator="containsText" text="N">
      <formula>NOT(ISERROR(SEARCH("N",I23)))</formula>
    </cfRule>
    <cfRule type="containsText" dxfId="459" priority="1109" operator="containsText" text="A">
      <formula>NOT(ISERROR(SEARCH("A",I23)))</formula>
    </cfRule>
    <cfRule type="containsText" dxfId="458" priority="1110" operator="containsText" text="M">
      <formula>NOT(ISERROR(SEARCH("M",I23)))</formula>
    </cfRule>
  </conditionalFormatting>
  <conditionalFormatting sqref="I23:J23">
    <cfRule type="containsText" dxfId="457" priority="1096" operator="containsText" text="STN">
      <formula>NOT(ISERROR(SEARCH("STN",I23)))</formula>
    </cfRule>
    <cfRule type="containsText" dxfId="456" priority="1097" operator="containsText" text="STN">
      <formula>NOT(ISERROR(SEARCH("STN",I23)))</formula>
    </cfRule>
    <cfRule type="containsText" dxfId="455" priority="1098" operator="containsText" text="STM">
      <formula>NOT(ISERROR(SEARCH("STM",I23)))</formula>
    </cfRule>
    <cfRule type="containsText" dxfId="454" priority="1099" operator="containsText" text="M">
      <formula>NOT(ISERROR(SEARCH("M",I23)))</formula>
    </cfRule>
    <cfRule type="containsText" dxfId="453" priority="1100" operator="containsText" text="STM1">
      <formula>NOT(ISERROR(SEARCH("STM1",I23)))</formula>
    </cfRule>
    <cfRule type="containsText" dxfId="452" priority="1101" operator="containsText" text="M">
      <formula>NOT(ISERROR(SEARCH("M",I23)))</formula>
    </cfRule>
    <cfRule type="containsText" dxfId="451" priority="1102" operator="containsText" text="STM">
      <formula>NOT(ISERROR(SEARCH("STM",I23)))</formula>
    </cfRule>
    <cfRule type="containsText" dxfId="450" priority="1103" operator="containsText" text="STM">
      <formula>NOT(ISERROR(SEARCH("STM",I23)))</formula>
    </cfRule>
  </conditionalFormatting>
  <conditionalFormatting sqref="F5 H5:L5 R5:T5 Z5:AB5 AE5 AH5 E10:H11 E12 E18:H18 F6:L6 O6:T6 W6:AB6 AE6:AH6 AD7:AH7 V7:AB7 N7:T7 E7:K7 E8:J8 L8:S8 U8:AA8 AC8:AH8 AB9:AH9 T9:Z9 K9:R9 E9:I9 J10:P10 S10:X10 AA10:AF10 AH10:AH11 Z11:AD11 J11:O11 I12:O12 Q11:W12 Y12:AD12 AG12:AH12 AF13:AH13 X13:AC13 P13:V13 H13:N13 H14:M14 O14:U14 W14:AC14 AE14:AH14 AD15:AH15 V15:AB15 N15:T15 E15:L15 M16:R16 T16:Z16 AB16:AH16 AB17:AG17 R18:AG18 L18:P18 J19:P19 R19:X19 Z19:AF19 AH19 F17:J17 L17:R17 T17:Y17 E16:K16 E19:F19 H19">
    <cfRule type="containsText" dxfId="449" priority="489" operator="containsText" text="STM1">
      <formula>NOT(ISERROR(SEARCH("STM1",E5)))</formula>
    </cfRule>
    <cfRule type="containsText" dxfId="448" priority="490" operator="containsText" text="STA">
      <formula>NOT(ISERROR(SEARCH("STA",E5)))</formula>
    </cfRule>
    <cfRule type="containsText" dxfId="447" priority="491" operator="containsText" text="STM1">
      <formula>NOT(ISERROR(SEARCH("STM1",E5)))</formula>
    </cfRule>
    <cfRule type="containsText" dxfId="446" priority="492" operator="containsText" text="O">
      <formula>NOT(ISERROR(SEARCH("O",E5)))</formula>
    </cfRule>
    <cfRule type="containsText" dxfId="445" priority="493" operator="containsText" text="N">
      <formula>NOT(ISERROR(SEARCH("N",E5)))</formula>
    </cfRule>
    <cfRule type="containsText" dxfId="444" priority="494" operator="containsText" text="A">
      <formula>NOT(ISERROR(SEARCH("A",E5)))</formula>
    </cfRule>
    <cfRule type="containsText" dxfId="443" priority="495" operator="containsText" text="M">
      <formula>NOT(ISERROR(SEARCH("M",E5)))</formula>
    </cfRule>
  </conditionalFormatting>
  <conditionalFormatting sqref="E5:F5 H5:L5 R5:T5 Z5:AB5 AE5 AH5 E10:H11 E12 E18:H18 F6:L6 O6:T6 W6:AB6 AE6:AH6 AD7:AH7 V7:AB7 N7:T7 E7:K7 E8:J8 L8:S8 U8:AA8 AC8:AH8 AB9:AH9 T9:Z9 K9:R9 E9:I9 J10:P10 S10:X10 AA10:AF10 AH10:AH11 Z11:AD11 J11:O11 I12:O12 Q11:W12 Y12:AD12 AG12:AH12 AF13:AH13 X13:AC13 P13:V13 H13:N13 H14:M14 O14:U14 W14:AC14 AE14:AH14 AD15:AH15 V15:AB15 N15:T15 E15:L15 M16:R16 T16:Z16 AB16:AH16 AB17:AG17 R18:AG18 L18:P18 J19:P19 R19:X19 Z19:AF19 AH19 F17:J17 L17:R17 T17:Y17 E16:K16 E19:F19 H19">
    <cfRule type="containsText" dxfId="442" priority="481" operator="containsText" text="STN">
      <formula>NOT(ISERROR(SEARCH("STN",E5)))</formula>
    </cfRule>
    <cfRule type="containsText" dxfId="441" priority="482" operator="containsText" text="STN">
      <formula>NOT(ISERROR(SEARCH("STN",E5)))</formula>
    </cfRule>
    <cfRule type="containsText" dxfId="440" priority="483" operator="containsText" text="STM">
      <formula>NOT(ISERROR(SEARCH("STM",E5)))</formula>
    </cfRule>
    <cfRule type="containsText" dxfId="439" priority="484" operator="containsText" text="M">
      <formula>NOT(ISERROR(SEARCH("M",E5)))</formula>
    </cfRule>
    <cfRule type="containsText" dxfId="438" priority="485" operator="containsText" text="STM1">
      <formula>NOT(ISERROR(SEARCH("STM1",E5)))</formula>
    </cfRule>
    <cfRule type="containsText" dxfId="437" priority="486" operator="containsText" text="M">
      <formula>NOT(ISERROR(SEARCH("M",E5)))</formula>
    </cfRule>
    <cfRule type="containsText" dxfId="436" priority="487" operator="containsText" text="STM">
      <formula>NOT(ISERROR(SEARCH("STM",E5)))</formula>
    </cfRule>
    <cfRule type="containsText" dxfId="435" priority="488" operator="containsText" text="STM">
      <formula>NOT(ISERROR(SEARCH("STM",E5)))</formula>
    </cfRule>
  </conditionalFormatting>
  <conditionalFormatting sqref="N5 P5:Q5">
    <cfRule type="containsText" dxfId="434" priority="444" operator="containsText" text="STM1">
      <formula>NOT(ISERROR(SEARCH("STM1",N5)))</formula>
    </cfRule>
    <cfRule type="containsText" dxfId="433" priority="445" operator="containsText" text="STA">
      <formula>NOT(ISERROR(SEARCH("STA",N5)))</formula>
    </cfRule>
    <cfRule type="containsText" dxfId="432" priority="446" operator="containsText" text="STM1">
      <formula>NOT(ISERROR(SEARCH("STM1",N5)))</formula>
    </cfRule>
    <cfRule type="containsText" dxfId="431" priority="447" operator="containsText" text="O">
      <formula>NOT(ISERROR(SEARCH("O",N5)))</formula>
    </cfRule>
    <cfRule type="containsText" dxfId="430" priority="448" operator="containsText" text="N">
      <formula>NOT(ISERROR(SEARCH("N",N5)))</formula>
    </cfRule>
    <cfRule type="containsText" dxfId="429" priority="449" operator="containsText" text="A">
      <formula>NOT(ISERROR(SEARCH("A",N5)))</formula>
    </cfRule>
    <cfRule type="containsText" dxfId="428" priority="450" operator="containsText" text="M">
      <formula>NOT(ISERROR(SEARCH("M",N5)))</formula>
    </cfRule>
  </conditionalFormatting>
  <conditionalFormatting sqref="M5:N5 P5:Q5">
    <cfRule type="containsText" dxfId="427" priority="436" operator="containsText" text="STN">
      <formula>NOT(ISERROR(SEARCH("STN",M5)))</formula>
    </cfRule>
    <cfRule type="containsText" dxfId="426" priority="437" operator="containsText" text="STN">
      <formula>NOT(ISERROR(SEARCH("STN",M5)))</formula>
    </cfRule>
    <cfRule type="containsText" dxfId="425" priority="438" operator="containsText" text="STM">
      <formula>NOT(ISERROR(SEARCH("STM",M5)))</formula>
    </cfRule>
    <cfRule type="containsText" dxfId="424" priority="439" operator="containsText" text="M">
      <formula>NOT(ISERROR(SEARCH("M",M5)))</formula>
    </cfRule>
    <cfRule type="containsText" dxfId="423" priority="440" operator="containsText" text="STM1">
      <formula>NOT(ISERROR(SEARCH("STM1",M5)))</formula>
    </cfRule>
    <cfRule type="containsText" dxfId="422" priority="441" operator="containsText" text="M">
      <formula>NOT(ISERROR(SEARCH("M",M5)))</formula>
    </cfRule>
    <cfRule type="containsText" dxfId="421" priority="442" operator="containsText" text="STM">
      <formula>NOT(ISERROR(SEARCH("STM",M5)))</formula>
    </cfRule>
    <cfRule type="containsText" dxfId="420" priority="443" operator="containsText" text="STM">
      <formula>NOT(ISERROR(SEARCH("STM",M5)))</formula>
    </cfRule>
  </conditionalFormatting>
  <conditionalFormatting sqref="V5 X5:Y5">
    <cfRule type="containsText" dxfId="419" priority="429" operator="containsText" text="STM1">
      <formula>NOT(ISERROR(SEARCH("STM1",V5)))</formula>
    </cfRule>
    <cfRule type="containsText" dxfId="418" priority="430" operator="containsText" text="STA">
      <formula>NOT(ISERROR(SEARCH("STA",V5)))</formula>
    </cfRule>
    <cfRule type="containsText" dxfId="417" priority="431" operator="containsText" text="STM1">
      <formula>NOT(ISERROR(SEARCH("STM1",V5)))</formula>
    </cfRule>
    <cfRule type="containsText" dxfId="416" priority="432" operator="containsText" text="O">
      <formula>NOT(ISERROR(SEARCH("O",V5)))</formula>
    </cfRule>
    <cfRule type="containsText" dxfId="415" priority="433" operator="containsText" text="N">
      <formula>NOT(ISERROR(SEARCH("N",V5)))</formula>
    </cfRule>
    <cfRule type="containsText" dxfId="414" priority="434" operator="containsText" text="A">
      <formula>NOT(ISERROR(SEARCH("A",V5)))</formula>
    </cfRule>
    <cfRule type="containsText" dxfId="413" priority="435" operator="containsText" text="M">
      <formula>NOT(ISERROR(SEARCH("M",V5)))</formula>
    </cfRule>
  </conditionalFormatting>
  <conditionalFormatting sqref="U5:V5 X5:Y5">
    <cfRule type="containsText" dxfId="412" priority="421" operator="containsText" text="STN">
      <formula>NOT(ISERROR(SEARCH("STN",U5)))</formula>
    </cfRule>
    <cfRule type="containsText" dxfId="411" priority="422" operator="containsText" text="STN">
      <formula>NOT(ISERROR(SEARCH("STN",U5)))</formula>
    </cfRule>
    <cfRule type="containsText" dxfId="410" priority="423" operator="containsText" text="STM">
      <formula>NOT(ISERROR(SEARCH("STM",U5)))</formula>
    </cfRule>
    <cfRule type="containsText" dxfId="409" priority="424" operator="containsText" text="M">
      <formula>NOT(ISERROR(SEARCH("M",U5)))</formula>
    </cfRule>
    <cfRule type="containsText" dxfId="408" priority="425" operator="containsText" text="STM1">
      <formula>NOT(ISERROR(SEARCH("STM1",U5)))</formula>
    </cfRule>
    <cfRule type="containsText" dxfId="407" priority="426" operator="containsText" text="M">
      <formula>NOT(ISERROR(SEARCH("M",U5)))</formula>
    </cfRule>
    <cfRule type="containsText" dxfId="406" priority="427" operator="containsText" text="STM">
      <formula>NOT(ISERROR(SEARCH("STM",U5)))</formula>
    </cfRule>
    <cfRule type="containsText" dxfId="405" priority="428" operator="containsText" text="STM">
      <formula>NOT(ISERROR(SEARCH("STM",U5)))</formula>
    </cfRule>
  </conditionalFormatting>
  <conditionalFormatting sqref="AC5:AD5">
    <cfRule type="containsText" dxfId="404" priority="414" operator="containsText" text="STM1">
      <formula>NOT(ISERROR(SEARCH("STM1",AC5)))</formula>
    </cfRule>
    <cfRule type="containsText" dxfId="403" priority="415" operator="containsText" text="STA">
      <formula>NOT(ISERROR(SEARCH("STA",AC5)))</formula>
    </cfRule>
    <cfRule type="containsText" dxfId="402" priority="416" operator="containsText" text="STM1">
      <formula>NOT(ISERROR(SEARCH("STM1",AC5)))</formula>
    </cfRule>
    <cfRule type="containsText" dxfId="401" priority="417" operator="containsText" text="O">
      <formula>NOT(ISERROR(SEARCH("O",AC5)))</formula>
    </cfRule>
    <cfRule type="containsText" dxfId="400" priority="418" operator="containsText" text="N">
      <formula>NOT(ISERROR(SEARCH("N",AC5)))</formula>
    </cfRule>
    <cfRule type="containsText" dxfId="399" priority="419" operator="containsText" text="A">
      <formula>NOT(ISERROR(SEARCH("A",AC5)))</formula>
    </cfRule>
    <cfRule type="containsText" dxfId="398" priority="420" operator="containsText" text="M">
      <formula>NOT(ISERROR(SEARCH("M",AC5)))</formula>
    </cfRule>
  </conditionalFormatting>
  <conditionalFormatting sqref="AC5:AD5">
    <cfRule type="containsText" dxfId="397" priority="406" operator="containsText" text="STN">
      <formula>NOT(ISERROR(SEARCH("STN",AC5)))</formula>
    </cfRule>
    <cfRule type="containsText" dxfId="396" priority="407" operator="containsText" text="STN">
      <formula>NOT(ISERROR(SEARCH("STN",AC5)))</formula>
    </cfRule>
    <cfRule type="containsText" dxfId="395" priority="408" operator="containsText" text="STM">
      <formula>NOT(ISERROR(SEARCH("STM",AC5)))</formula>
    </cfRule>
    <cfRule type="containsText" dxfId="394" priority="409" operator="containsText" text="M">
      <formula>NOT(ISERROR(SEARCH("M",AC5)))</formula>
    </cfRule>
    <cfRule type="containsText" dxfId="393" priority="410" operator="containsText" text="STM1">
      <formula>NOT(ISERROR(SEARCH("STM1",AC5)))</formula>
    </cfRule>
    <cfRule type="containsText" dxfId="392" priority="411" operator="containsText" text="M">
      <formula>NOT(ISERROR(SEARCH("M",AC5)))</formula>
    </cfRule>
    <cfRule type="containsText" dxfId="391" priority="412" operator="containsText" text="STM">
      <formula>NOT(ISERROR(SEARCH("STM",AC5)))</formula>
    </cfRule>
    <cfRule type="containsText" dxfId="390" priority="413" operator="containsText" text="STM">
      <formula>NOT(ISERROR(SEARCH("STM",AC5)))</formula>
    </cfRule>
  </conditionalFormatting>
  <conditionalFormatting sqref="AG5">
    <cfRule type="containsText" dxfId="389" priority="399" operator="containsText" text="STM1">
      <formula>NOT(ISERROR(SEARCH("STM1",AG5)))</formula>
    </cfRule>
    <cfRule type="containsText" dxfId="388" priority="400" operator="containsText" text="STA">
      <formula>NOT(ISERROR(SEARCH("STA",AG5)))</formula>
    </cfRule>
    <cfRule type="containsText" dxfId="387" priority="401" operator="containsText" text="STM1">
      <formula>NOT(ISERROR(SEARCH("STM1",AG5)))</formula>
    </cfRule>
    <cfRule type="containsText" dxfId="386" priority="402" operator="containsText" text="O">
      <formula>NOT(ISERROR(SEARCH("O",AG5)))</formula>
    </cfRule>
    <cfRule type="containsText" dxfId="385" priority="403" operator="containsText" text="N">
      <formula>NOT(ISERROR(SEARCH("N",AG5)))</formula>
    </cfRule>
    <cfRule type="containsText" dxfId="384" priority="404" operator="containsText" text="A">
      <formula>NOT(ISERROR(SEARCH("A",AG5)))</formula>
    </cfRule>
    <cfRule type="containsText" dxfId="383" priority="405" operator="containsText" text="M">
      <formula>NOT(ISERROR(SEARCH("M",AG5)))</formula>
    </cfRule>
  </conditionalFormatting>
  <conditionalFormatting sqref="AG5">
    <cfRule type="containsText" dxfId="382" priority="391" operator="containsText" text="STN">
      <formula>NOT(ISERROR(SEARCH("STN",AG5)))</formula>
    </cfRule>
    <cfRule type="containsText" dxfId="381" priority="392" operator="containsText" text="STN">
      <formula>NOT(ISERROR(SEARCH("STN",AG5)))</formula>
    </cfRule>
    <cfRule type="containsText" dxfId="380" priority="393" operator="containsText" text="STM">
      <formula>NOT(ISERROR(SEARCH("STM",AG5)))</formula>
    </cfRule>
    <cfRule type="containsText" dxfId="379" priority="394" operator="containsText" text="M">
      <formula>NOT(ISERROR(SEARCH("M",AG5)))</formula>
    </cfRule>
    <cfRule type="containsText" dxfId="378" priority="395" operator="containsText" text="STM1">
      <formula>NOT(ISERROR(SEARCH("STM1",AG5)))</formula>
    </cfRule>
    <cfRule type="containsText" dxfId="377" priority="396" operator="containsText" text="M">
      <formula>NOT(ISERROR(SEARCH("M",AG5)))</formula>
    </cfRule>
    <cfRule type="containsText" dxfId="376" priority="397" operator="containsText" text="STM">
      <formula>NOT(ISERROR(SEARCH("STM",AG5)))</formula>
    </cfRule>
    <cfRule type="containsText" dxfId="375" priority="398" operator="containsText" text="STM">
      <formula>NOT(ISERROR(SEARCH("STM",AG5)))</formula>
    </cfRule>
  </conditionalFormatting>
  <conditionalFormatting sqref="AE11:AF11">
    <cfRule type="containsText" dxfId="374" priority="384" operator="containsText" text="STM1">
      <formula>NOT(ISERROR(SEARCH("STM1",AE11)))</formula>
    </cfRule>
    <cfRule type="containsText" dxfId="373" priority="385" operator="containsText" text="STA">
      <formula>NOT(ISERROR(SEARCH("STA",AE11)))</formula>
    </cfRule>
    <cfRule type="containsText" dxfId="372" priority="386" operator="containsText" text="STM1">
      <formula>NOT(ISERROR(SEARCH("STM1",AE11)))</formula>
    </cfRule>
    <cfRule type="containsText" dxfId="371" priority="387" operator="containsText" text="O">
      <formula>NOT(ISERROR(SEARCH("O",AE11)))</formula>
    </cfRule>
    <cfRule type="containsText" dxfId="370" priority="388" operator="containsText" text="N">
      <formula>NOT(ISERROR(SEARCH("N",AE11)))</formula>
    </cfRule>
    <cfRule type="containsText" dxfId="369" priority="389" operator="containsText" text="A">
      <formula>NOT(ISERROR(SEARCH("A",AE11)))</formula>
    </cfRule>
    <cfRule type="containsText" dxfId="368" priority="390" operator="containsText" text="M">
      <formula>NOT(ISERROR(SEARCH("M",AE11)))</formula>
    </cfRule>
  </conditionalFormatting>
  <conditionalFormatting sqref="AE11:AF11">
    <cfRule type="containsText" dxfId="367" priority="376" operator="containsText" text="STN">
      <formula>NOT(ISERROR(SEARCH("STN",AE11)))</formula>
    </cfRule>
    <cfRule type="containsText" dxfId="366" priority="377" operator="containsText" text="STN">
      <formula>NOT(ISERROR(SEARCH("STN",AE11)))</formula>
    </cfRule>
    <cfRule type="containsText" dxfId="365" priority="378" operator="containsText" text="STM">
      <formula>NOT(ISERROR(SEARCH("STM",AE11)))</formula>
    </cfRule>
    <cfRule type="containsText" dxfId="364" priority="379" operator="containsText" text="M">
      <formula>NOT(ISERROR(SEARCH("M",AE11)))</formula>
    </cfRule>
    <cfRule type="containsText" dxfId="363" priority="380" operator="containsText" text="STM1">
      <formula>NOT(ISERROR(SEARCH("STM1",AE11)))</formula>
    </cfRule>
    <cfRule type="containsText" dxfId="362" priority="381" operator="containsText" text="M">
      <formula>NOT(ISERROR(SEARCH("M",AE11)))</formula>
    </cfRule>
    <cfRule type="containsText" dxfId="361" priority="382" operator="containsText" text="STM">
      <formula>NOT(ISERROR(SEARCH("STM",AE11)))</formula>
    </cfRule>
    <cfRule type="containsText" dxfId="360" priority="383" operator="containsText" text="STM">
      <formula>NOT(ISERROR(SEARCH("STM",AE11)))</formula>
    </cfRule>
  </conditionalFormatting>
  <conditionalFormatting sqref="F20:H20">
    <cfRule type="containsText" dxfId="359" priority="369" operator="containsText" text="STM1">
      <formula>NOT(ISERROR(SEARCH("STM1",F20)))</formula>
    </cfRule>
    <cfRule type="containsText" dxfId="358" priority="370" operator="containsText" text="STA">
      <formula>NOT(ISERROR(SEARCH("STA",F20)))</formula>
    </cfRule>
    <cfRule type="containsText" dxfId="357" priority="371" operator="containsText" text="STM1">
      <formula>NOT(ISERROR(SEARCH("STM1",F20)))</formula>
    </cfRule>
    <cfRule type="containsText" dxfId="356" priority="372" operator="containsText" text="O">
      <formula>NOT(ISERROR(SEARCH("O",F20)))</formula>
    </cfRule>
    <cfRule type="containsText" dxfId="355" priority="373" operator="containsText" text="N">
      <formula>NOT(ISERROR(SEARCH("N",F20)))</formula>
    </cfRule>
    <cfRule type="containsText" dxfId="354" priority="374" operator="containsText" text="A">
      <formula>NOT(ISERROR(SEARCH("A",F20)))</formula>
    </cfRule>
    <cfRule type="containsText" dxfId="353" priority="375" operator="containsText" text="M">
      <formula>NOT(ISERROR(SEARCH("M",F20)))</formula>
    </cfRule>
  </conditionalFormatting>
  <conditionalFormatting sqref="F20:H20">
    <cfRule type="containsText" dxfId="352" priority="361" operator="containsText" text="STN">
      <formula>NOT(ISERROR(SEARCH("STN",F20)))</formula>
    </cfRule>
    <cfRule type="containsText" dxfId="351" priority="362" operator="containsText" text="STN">
      <formula>NOT(ISERROR(SEARCH("STN",F20)))</formula>
    </cfRule>
    <cfRule type="containsText" dxfId="350" priority="363" operator="containsText" text="STM">
      <formula>NOT(ISERROR(SEARCH("STM",F20)))</formula>
    </cfRule>
    <cfRule type="containsText" dxfId="349" priority="364" operator="containsText" text="M">
      <formula>NOT(ISERROR(SEARCH("M",F20)))</formula>
    </cfRule>
    <cfRule type="containsText" dxfId="348" priority="365" operator="containsText" text="STM1">
      <formula>NOT(ISERROR(SEARCH("STM1",F20)))</formula>
    </cfRule>
    <cfRule type="containsText" dxfId="347" priority="366" operator="containsText" text="M">
      <formula>NOT(ISERROR(SEARCH("M",F20)))</formula>
    </cfRule>
    <cfRule type="containsText" dxfId="346" priority="367" operator="containsText" text="STM">
      <formula>NOT(ISERROR(SEARCH("STM",F20)))</formula>
    </cfRule>
    <cfRule type="containsText" dxfId="345" priority="368" operator="containsText" text="STM">
      <formula>NOT(ISERROR(SEARCH("STM",F20)))</formula>
    </cfRule>
  </conditionalFormatting>
  <conditionalFormatting sqref="P20:Q20">
    <cfRule type="containsText" dxfId="344" priority="354" operator="containsText" text="STM1">
      <formula>NOT(ISERROR(SEARCH("STM1",P20)))</formula>
    </cfRule>
    <cfRule type="containsText" dxfId="343" priority="355" operator="containsText" text="STA">
      <formula>NOT(ISERROR(SEARCH("STA",P20)))</formula>
    </cfRule>
    <cfRule type="containsText" dxfId="342" priority="356" operator="containsText" text="STM1">
      <formula>NOT(ISERROR(SEARCH("STM1",P20)))</formula>
    </cfRule>
    <cfRule type="containsText" dxfId="341" priority="357" operator="containsText" text="O">
      <formula>NOT(ISERROR(SEARCH("O",P20)))</formula>
    </cfRule>
    <cfRule type="containsText" dxfId="340" priority="358" operator="containsText" text="N">
      <formula>NOT(ISERROR(SEARCH("N",P20)))</formula>
    </cfRule>
    <cfRule type="containsText" dxfId="339" priority="359" operator="containsText" text="A">
      <formula>NOT(ISERROR(SEARCH("A",P20)))</formula>
    </cfRule>
    <cfRule type="containsText" dxfId="338" priority="360" operator="containsText" text="M">
      <formula>NOT(ISERROR(SEARCH("M",P20)))</formula>
    </cfRule>
  </conditionalFormatting>
  <conditionalFormatting sqref="P20:Q20">
    <cfRule type="containsText" dxfId="337" priority="346" operator="containsText" text="STN">
      <formula>NOT(ISERROR(SEARCH("STN",P20)))</formula>
    </cfRule>
    <cfRule type="containsText" dxfId="336" priority="347" operator="containsText" text="STN">
      <formula>NOT(ISERROR(SEARCH("STN",P20)))</formula>
    </cfRule>
    <cfRule type="containsText" dxfId="335" priority="348" operator="containsText" text="STM">
      <formula>NOT(ISERROR(SEARCH("STM",P20)))</formula>
    </cfRule>
    <cfRule type="containsText" dxfId="334" priority="349" operator="containsText" text="M">
      <formula>NOT(ISERROR(SEARCH("M",P20)))</formula>
    </cfRule>
    <cfRule type="containsText" dxfId="333" priority="350" operator="containsText" text="STM1">
      <formula>NOT(ISERROR(SEARCH("STM1",P20)))</formula>
    </cfRule>
    <cfRule type="containsText" dxfId="332" priority="351" operator="containsText" text="M">
      <formula>NOT(ISERROR(SEARCH("M",P20)))</formula>
    </cfRule>
    <cfRule type="containsText" dxfId="331" priority="352" operator="containsText" text="STM">
      <formula>NOT(ISERROR(SEARCH("STM",P20)))</formula>
    </cfRule>
    <cfRule type="containsText" dxfId="330" priority="353" operator="containsText" text="STM">
      <formula>NOT(ISERROR(SEARCH("STM",P20)))</formula>
    </cfRule>
  </conditionalFormatting>
  <conditionalFormatting sqref="T20:V20">
    <cfRule type="containsText" dxfId="329" priority="339" operator="containsText" text="STM1">
      <formula>NOT(ISERROR(SEARCH("STM1",T20)))</formula>
    </cfRule>
    <cfRule type="containsText" dxfId="328" priority="340" operator="containsText" text="STA">
      <formula>NOT(ISERROR(SEARCH("STA",T20)))</formula>
    </cfRule>
    <cfRule type="containsText" dxfId="327" priority="341" operator="containsText" text="STM1">
      <formula>NOT(ISERROR(SEARCH("STM1",T20)))</formula>
    </cfRule>
    <cfRule type="containsText" dxfId="326" priority="342" operator="containsText" text="O">
      <formula>NOT(ISERROR(SEARCH("O",T20)))</formula>
    </cfRule>
    <cfRule type="containsText" dxfId="325" priority="343" operator="containsText" text="N">
      <formula>NOT(ISERROR(SEARCH("N",T20)))</formula>
    </cfRule>
    <cfRule type="containsText" dxfId="324" priority="344" operator="containsText" text="A">
      <formula>NOT(ISERROR(SEARCH("A",T20)))</formula>
    </cfRule>
    <cfRule type="containsText" dxfId="323" priority="345" operator="containsText" text="M">
      <formula>NOT(ISERROR(SEARCH("M",T20)))</formula>
    </cfRule>
  </conditionalFormatting>
  <conditionalFormatting sqref="T20:V20">
    <cfRule type="containsText" dxfId="322" priority="331" operator="containsText" text="STN">
      <formula>NOT(ISERROR(SEARCH("STN",T20)))</formula>
    </cfRule>
    <cfRule type="containsText" dxfId="321" priority="332" operator="containsText" text="STN">
      <formula>NOT(ISERROR(SEARCH("STN",T20)))</formula>
    </cfRule>
    <cfRule type="containsText" dxfId="320" priority="333" operator="containsText" text="STM">
      <formula>NOT(ISERROR(SEARCH("STM",T20)))</formula>
    </cfRule>
    <cfRule type="containsText" dxfId="319" priority="334" operator="containsText" text="M">
      <formula>NOT(ISERROR(SEARCH("M",T20)))</formula>
    </cfRule>
    <cfRule type="containsText" dxfId="318" priority="335" operator="containsText" text="STM1">
      <formula>NOT(ISERROR(SEARCH("STM1",T20)))</formula>
    </cfRule>
    <cfRule type="containsText" dxfId="317" priority="336" operator="containsText" text="M">
      <formula>NOT(ISERROR(SEARCH("M",T20)))</formula>
    </cfRule>
    <cfRule type="containsText" dxfId="316" priority="337" operator="containsText" text="STM">
      <formula>NOT(ISERROR(SEARCH("STM",T20)))</formula>
    </cfRule>
    <cfRule type="containsText" dxfId="315" priority="338" operator="containsText" text="STM">
      <formula>NOT(ISERROR(SEARCH("STM",T20)))</formula>
    </cfRule>
  </conditionalFormatting>
  <conditionalFormatting sqref="AD20:AE20">
    <cfRule type="containsText" dxfId="314" priority="324" operator="containsText" text="STM1">
      <formula>NOT(ISERROR(SEARCH("STM1",AD20)))</formula>
    </cfRule>
    <cfRule type="containsText" dxfId="313" priority="325" operator="containsText" text="STA">
      <formula>NOT(ISERROR(SEARCH("STA",AD20)))</formula>
    </cfRule>
    <cfRule type="containsText" dxfId="312" priority="326" operator="containsText" text="STM1">
      <formula>NOT(ISERROR(SEARCH("STM1",AD20)))</formula>
    </cfRule>
    <cfRule type="containsText" dxfId="311" priority="327" operator="containsText" text="O">
      <formula>NOT(ISERROR(SEARCH("O",AD20)))</formula>
    </cfRule>
    <cfRule type="containsText" dxfId="310" priority="328" operator="containsText" text="N">
      <formula>NOT(ISERROR(SEARCH("N",AD20)))</formula>
    </cfRule>
    <cfRule type="containsText" dxfId="309" priority="329" operator="containsText" text="A">
      <formula>NOT(ISERROR(SEARCH("A",AD20)))</formula>
    </cfRule>
    <cfRule type="containsText" dxfId="308" priority="330" operator="containsText" text="M">
      <formula>NOT(ISERROR(SEARCH("M",AD20)))</formula>
    </cfRule>
  </conditionalFormatting>
  <conditionalFormatting sqref="AD20:AE20">
    <cfRule type="containsText" dxfId="307" priority="316" operator="containsText" text="STN">
      <formula>NOT(ISERROR(SEARCH("STN",AD20)))</formula>
    </cfRule>
    <cfRule type="containsText" dxfId="306" priority="317" operator="containsText" text="STN">
      <formula>NOT(ISERROR(SEARCH("STN",AD20)))</formula>
    </cfRule>
    <cfRule type="containsText" dxfId="305" priority="318" operator="containsText" text="STM">
      <formula>NOT(ISERROR(SEARCH("STM",AD20)))</formula>
    </cfRule>
    <cfRule type="containsText" dxfId="304" priority="319" operator="containsText" text="M">
      <formula>NOT(ISERROR(SEARCH("M",AD20)))</formula>
    </cfRule>
    <cfRule type="containsText" dxfId="303" priority="320" operator="containsText" text="STM1">
      <formula>NOT(ISERROR(SEARCH("STM1",AD20)))</formula>
    </cfRule>
    <cfRule type="containsText" dxfId="302" priority="321" operator="containsText" text="M">
      <formula>NOT(ISERROR(SEARCH("M",AD20)))</formula>
    </cfRule>
    <cfRule type="containsText" dxfId="301" priority="322" operator="containsText" text="STM">
      <formula>NOT(ISERROR(SEARCH("STM",AD20)))</formula>
    </cfRule>
    <cfRule type="containsText" dxfId="300" priority="323" operator="containsText" text="STM">
      <formula>NOT(ISERROR(SEARCH("STM",AD20)))</formula>
    </cfRule>
  </conditionalFormatting>
  <conditionalFormatting sqref="AH20">
    <cfRule type="containsText" dxfId="299" priority="309" operator="containsText" text="STM1">
      <formula>NOT(ISERROR(SEARCH("STM1",AH20)))</formula>
    </cfRule>
    <cfRule type="containsText" dxfId="298" priority="310" operator="containsText" text="STA">
      <formula>NOT(ISERROR(SEARCH("STA",AH20)))</formula>
    </cfRule>
    <cfRule type="containsText" dxfId="297" priority="311" operator="containsText" text="STM1">
      <formula>NOT(ISERROR(SEARCH("STM1",AH20)))</formula>
    </cfRule>
    <cfRule type="containsText" dxfId="296" priority="312" operator="containsText" text="O">
      <formula>NOT(ISERROR(SEARCH("O",AH20)))</formula>
    </cfRule>
    <cfRule type="containsText" dxfId="295" priority="313" operator="containsText" text="N">
      <formula>NOT(ISERROR(SEARCH("N",AH20)))</formula>
    </cfRule>
    <cfRule type="containsText" dxfId="294" priority="314" operator="containsText" text="A">
      <formula>NOT(ISERROR(SEARCH("A",AH20)))</formula>
    </cfRule>
    <cfRule type="containsText" dxfId="293" priority="315" operator="containsText" text="M">
      <formula>NOT(ISERROR(SEARCH("M",AH20)))</formula>
    </cfRule>
  </conditionalFormatting>
  <conditionalFormatting sqref="AH20">
    <cfRule type="containsText" dxfId="292" priority="301" operator="containsText" text="STN">
      <formula>NOT(ISERROR(SEARCH("STN",AH20)))</formula>
    </cfRule>
    <cfRule type="containsText" dxfId="291" priority="302" operator="containsText" text="STN">
      <formula>NOT(ISERROR(SEARCH("STN",AH20)))</formula>
    </cfRule>
    <cfRule type="containsText" dxfId="290" priority="303" operator="containsText" text="STM">
      <formula>NOT(ISERROR(SEARCH("STM",AH20)))</formula>
    </cfRule>
    <cfRule type="containsText" dxfId="289" priority="304" operator="containsText" text="M">
      <formula>NOT(ISERROR(SEARCH("M",AH20)))</formula>
    </cfRule>
    <cfRule type="containsText" dxfId="288" priority="305" operator="containsText" text="STM1">
      <formula>NOT(ISERROR(SEARCH("STM1",AH20)))</formula>
    </cfRule>
    <cfRule type="containsText" dxfId="287" priority="306" operator="containsText" text="M">
      <formula>NOT(ISERROR(SEARCH("M",AH20)))</formula>
    </cfRule>
    <cfRule type="containsText" dxfId="286" priority="307" operator="containsText" text="STM">
      <formula>NOT(ISERROR(SEARCH("STM",AH20)))</formula>
    </cfRule>
    <cfRule type="containsText" dxfId="285" priority="308" operator="containsText" text="STM">
      <formula>NOT(ISERROR(SEARCH("STM",AH20)))</formula>
    </cfRule>
  </conditionalFormatting>
  <conditionalFormatting sqref="F21:H21">
    <cfRule type="containsText" dxfId="284" priority="294" operator="containsText" text="STM1">
      <formula>NOT(ISERROR(SEARCH("STM1",F21)))</formula>
    </cfRule>
    <cfRule type="containsText" dxfId="283" priority="295" operator="containsText" text="STA">
      <formula>NOT(ISERROR(SEARCH("STA",F21)))</formula>
    </cfRule>
    <cfRule type="containsText" dxfId="282" priority="296" operator="containsText" text="STM1">
      <formula>NOT(ISERROR(SEARCH("STM1",F21)))</formula>
    </cfRule>
    <cfRule type="containsText" dxfId="281" priority="297" operator="containsText" text="O">
      <formula>NOT(ISERROR(SEARCH("O",F21)))</formula>
    </cfRule>
    <cfRule type="containsText" dxfId="280" priority="298" operator="containsText" text="N">
      <formula>NOT(ISERROR(SEARCH("N",F21)))</formula>
    </cfRule>
    <cfRule type="containsText" dxfId="279" priority="299" operator="containsText" text="A">
      <formula>NOT(ISERROR(SEARCH("A",F21)))</formula>
    </cfRule>
    <cfRule type="containsText" dxfId="278" priority="300" operator="containsText" text="M">
      <formula>NOT(ISERROR(SEARCH("M",F21)))</formula>
    </cfRule>
  </conditionalFormatting>
  <conditionalFormatting sqref="F21:H21">
    <cfRule type="containsText" dxfId="277" priority="286" operator="containsText" text="STN">
      <formula>NOT(ISERROR(SEARCH("STN",F21)))</formula>
    </cfRule>
    <cfRule type="containsText" dxfId="276" priority="287" operator="containsText" text="STN">
      <formula>NOT(ISERROR(SEARCH("STN",F21)))</formula>
    </cfRule>
    <cfRule type="containsText" dxfId="275" priority="288" operator="containsText" text="STM">
      <formula>NOT(ISERROR(SEARCH("STM",F21)))</formula>
    </cfRule>
    <cfRule type="containsText" dxfId="274" priority="289" operator="containsText" text="M">
      <formula>NOT(ISERROR(SEARCH("M",F21)))</formula>
    </cfRule>
    <cfRule type="containsText" dxfId="273" priority="290" operator="containsText" text="STM1">
      <formula>NOT(ISERROR(SEARCH("STM1",F21)))</formula>
    </cfRule>
    <cfRule type="containsText" dxfId="272" priority="291" operator="containsText" text="M">
      <formula>NOT(ISERROR(SEARCH("M",F21)))</formula>
    </cfRule>
    <cfRule type="containsText" dxfId="271" priority="292" operator="containsText" text="STM">
      <formula>NOT(ISERROR(SEARCH("STM",F21)))</formula>
    </cfRule>
    <cfRule type="containsText" dxfId="270" priority="293" operator="containsText" text="STM">
      <formula>NOT(ISERROR(SEARCH("STM",F21)))</formula>
    </cfRule>
  </conditionalFormatting>
  <conditionalFormatting sqref="P21:Q21">
    <cfRule type="containsText" dxfId="269" priority="279" operator="containsText" text="STM1">
      <formula>NOT(ISERROR(SEARCH("STM1",P21)))</formula>
    </cfRule>
    <cfRule type="containsText" dxfId="268" priority="280" operator="containsText" text="STA">
      <formula>NOT(ISERROR(SEARCH("STA",P21)))</formula>
    </cfRule>
    <cfRule type="containsText" dxfId="267" priority="281" operator="containsText" text="STM1">
      <formula>NOT(ISERROR(SEARCH("STM1",P21)))</formula>
    </cfRule>
    <cfRule type="containsText" dxfId="266" priority="282" operator="containsText" text="O">
      <formula>NOT(ISERROR(SEARCH("O",P21)))</formula>
    </cfRule>
    <cfRule type="containsText" dxfId="265" priority="283" operator="containsText" text="N">
      <formula>NOT(ISERROR(SEARCH("N",P21)))</formula>
    </cfRule>
    <cfRule type="containsText" dxfId="264" priority="284" operator="containsText" text="A">
      <formula>NOT(ISERROR(SEARCH("A",P21)))</formula>
    </cfRule>
    <cfRule type="containsText" dxfId="263" priority="285" operator="containsText" text="M">
      <formula>NOT(ISERROR(SEARCH("M",P21)))</formula>
    </cfRule>
  </conditionalFormatting>
  <conditionalFormatting sqref="P21:Q21">
    <cfRule type="containsText" dxfId="262" priority="271" operator="containsText" text="STN">
      <formula>NOT(ISERROR(SEARCH("STN",P21)))</formula>
    </cfRule>
    <cfRule type="containsText" dxfId="261" priority="272" operator="containsText" text="STN">
      <formula>NOT(ISERROR(SEARCH("STN",P21)))</formula>
    </cfRule>
    <cfRule type="containsText" dxfId="260" priority="273" operator="containsText" text="STM">
      <formula>NOT(ISERROR(SEARCH("STM",P21)))</formula>
    </cfRule>
    <cfRule type="containsText" dxfId="259" priority="274" operator="containsText" text="M">
      <formula>NOT(ISERROR(SEARCH("M",P21)))</formula>
    </cfRule>
    <cfRule type="containsText" dxfId="258" priority="275" operator="containsText" text="STM1">
      <formula>NOT(ISERROR(SEARCH("STM1",P21)))</formula>
    </cfRule>
    <cfRule type="containsText" dxfId="257" priority="276" operator="containsText" text="M">
      <formula>NOT(ISERROR(SEARCH("M",P21)))</formula>
    </cfRule>
    <cfRule type="containsText" dxfId="256" priority="277" operator="containsText" text="STM">
      <formula>NOT(ISERROR(SEARCH("STM",P21)))</formula>
    </cfRule>
    <cfRule type="containsText" dxfId="255" priority="278" operator="containsText" text="STM">
      <formula>NOT(ISERROR(SEARCH("STM",P21)))</formula>
    </cfRule>
  </conditionalFormatting>
  <conditionalFormatting sqref="T21:V21">
    <cfRule type="containsText" dxfId="254" priority="264" operator="containsText" text="STM1">
      <formula>NOT(ISERROR(SEARCH("STM1",T21)))</formula>
    </cfRule>
    <cfRule type="containsText" dxfId="253" priority="265" operator="containsText" text="STA">
      <formula>NOT(ISERROR(SEARCH("STA",T21)))</formula>
    </cfRule>
    <cfRule type="containsText" dxfId="252" priority="266" operator="containsText" text="STM1">
      <formula>NOT(ISERROR(SEARCH("STM1",T21)))</formula>
    </cfRule>
    <cfRule type="containsText" dxfId="251" priority="267" operator="containsText" text="O">
      <formula>NOT(ISERROR(SEARCH("O",T21)))</formula>
    </cfRule>
    <cfRule type="containsText" dxfId="250" priority="268" operator="containsText" text="N">
      <formula>NOT(ISERROR(SEARCH("N",T21)))</formula>
    </cfRule>
    <cfRule type="containsText" dxfId="249" priority="269" operator="containsText" text="A">
      <formula>NOT(ISERROR(SEARCH("A",T21)))</formula>
    </cfRule>
    <cfRule type="containsText" dxfId="248" priority="270" operator="containsText" text="M">
      <formula>NOT(ISERROR(SEARCH("M",T21)))</formula>
    </cfRule>
  </conditionalFormatting>
  <conditionalFormatting sqref="T21:V21">
    <cfRule type="containsText" dxfId="247" priority="256" operator="containsText" text="STN">
      <formula>NOT(ISERROR(SEARCH("STN",T21)))</formula>
    </cfRule>
    <cfRule type="containsText" dxfId="246" priority="257" operator="containsText" text="STN">
      <formula>NOT(ISERROR(SEARCH("STN",T21)))</formula>
    </cfRule>
    <cfRule type="containsText" dxfId="245" priority="258" operator="containsText" text="STM">
      <formula>NOT(ISERROR(SEARCH("STM",T21)))</formula>
    </cfRule>
    <cfRule type="containsText" dxfId="244" priority="259" operator="containsText" text="M">
      <formula>NOT(ISERROR(SEARCH("M",T21)))</formula>
    </cfRule>
    <cfRule type="containsText" dxfId="243" priority="260" operator="containsText" text="STM1">
      <formula>NOT(ISERROR(SEARCH("STM1",T21)))</formula>
    </cfRule>
    <cfRule type="containsText" dxfId="242" priority="261" operator="containsText" text="M">
      <formula>NOT(ISERROR(SEARCH("M",T21)))</formula>
    </cfRule>
    <cfRule type="containsText" dxfId="241" priority="262" operator="containsText" text="STM">
      <formula>NOT(ISERROR(SEARCH("STM",T21)))</formula>
    </cfRule>
    <cfRule type="containsText" dxfId="240" priority="263" operator="containsText" text="STM">
      <formula>NOT(ISERROR(SEARCH("STM",T21)))</formula>
    </cfRule>
  </conditionalFormatting>
  <conditionalFormatting sqref="AD21:AE21">
    <cfRule type="containsText" dxfId="239" priority="249" operator="containsText" text="STM1">
      <formula>NOT(ISERROR(SEARCH("STM1",AD21)))</formula>
    </cfRule>
    <cfRule type="containsText" dxfId="238" priority="250" operator="containsText" text="STA">
      <formula>NOT(ISERROR(SEARCH("STA",AD21)))</formula>
    </cfRule>
    <cfRule type="containsText" dxfId="237" priority="251" operator="containsText" text="STM1">
      <formula>NOT(ISERROR(SEARCH("STM1",AD21)))</formula>
    </cfRule>
    <cfRule type="containsText" dxfId="236" priority="252" operator="containsText" text="O">
      <formula>NOT(ISERROR(SEARCH("O",AD21)))</formula>
    </cfRule>
    <cfRule type="containsText" dxfId="235" priority="253" operator="containsText" text="N">
      <formula>NOT(ISERROR(SEARCH("N",AD21)))</formula>
    </cfRule>
    <cfRule type="containsText" dxfId="234" priority="254" operator="containsText" text="A">
      <formula>NOT(ISERROR(SEARCH("A",AD21)))</formula>
    </cfRule>
    <cfRule type="containsText" dxfId="233" priority="255" operator="containsText" text="M">
      <formula>NOT(ISERROR(SEARCH("M",AD21)))</formula>
    </cfRule>
  </conditionalFormatting>
  <conditionalFormatting sqref="AD21:AE21">
    <cfRule type="containsText" dxfId="232" priority="241" operator="containsText" text="STN">
      <formula>NOT(ISERROR(SEARCH("STN",AD21)))</formula>
    </cfRule>
    <cfRule type="containsText" dxfId="231" priority="242" operator="containsText" text="STN">
      <formula>NOT(ISERROR(SEARCH("STN",AD21)))</formula>
    </cfRule>
    <cfRule type="containsText" dxfId="230" priority="243" operator="containsText" text="STM">
      <formula>NOT(ISERROR(SEARCH("STM",AD21)))</formula>
    </cfRule>
    <cfRule type="containsText" dxfId="229" priority="244" operator="containsText" text="M">
      <formula>NOT(ISERROR(SEARCH("M",AD21)))</formula>
    </cfRule>
    <cfRule type="containsText" dxfId="228" priority="245" operator="containsText" text="STM1">
      <formula>NOT(ISERROR(SEARCH("STM1",AD21)))</formula>
    </cfRule>
    <cfRule type="containsText" dxfId="227" priority="246" operator="containsText" text="M">
      <formula>NOT(ISERROR(SEARCH("M",AD21)))</formula>
    </cfRule>
    <cfRule type="containsText" dxfId="226" priority="247" operator="containsText" text="STM">
      <formula>NOT(ISERROR(SEARCH("STM",AD21)))</formula>
    </cfRule>
    <cfRule type="containsText" dxfId="225" priority="248" operator="containsText" text="STM">
      <formula>NOT(ISERROR(SEARCH("STM",AD21)))</formula>
    </cfRule>
  </conditionalFormatting>
  <conditionalFormatting sqref="AH21">
    <cfRule type="containsText" dxfId="224" priority="234" operator="containsText" text="STM1">
      <formula>NOT(ISERROR(SEARCH("STM1",AH21)))</formula>
    </cfRule>
    <cfRule type="containsText" dxfId="223" priority="235" operator="containsText" text="STA">
      <formula>NOT(ISERROR(SEARCH("STA",AH21)))</formula>
    </cfRule>
    <cfRule type="containsText" dxfId="222" priority="236" operator="containsText" text="STM1">
      <formula>NOT(ISERROR(SEARCH("STM1",AH21)))</formula>
    </cfRule>
    <cfRule type="containsText" dxfId="221" priority="237" operator="containsText" text="O">
      <formula>NOT(ISERROR(SEARCH("O",AH21)))</formula>
    </cfRule>
    <cfRule type="containsText" dxfId="220" priority="238" operator="containsText" text="N">
      <formula>NOT(ISERROR(SEARCH("N",AH21)))</formula>
    </cfRule>
    <cfRule type="containsText" dxfId="219" priority="239" operator="containsText" text="A">
      <formula>NOT(ISERROR(SEARCH("A",AH21)))</formula>
    </cfRule>
    <cfRule type="containsText" dxfId="218" priority="240" operator="containsText" text="M">
      <formula>NOT(ISERROR(SEARCH("M",AH21)))</formula>
    </cfRule>
  </conditionalFormatting>
  <conditionalFormatting sqref="AH21">
    <cfRule type="containsText" dxfId="217" priority="226" operator="containsText" text="STN">
      <formula>NOT(ISERROR(SEARCH("STN",AH21)))</formula>
    </cfRule>
    <cfRule type="containsText" dxfId="216" priority="227" operator="containsText" text="STN">
      <formula>NOT(ISERROR(SEARCH("STN",AH21)))</formula>
    </cfRule>
    <cfRule type="containsText" dxfId="215" priority="228" operator="containsText" text="STM">
      <formula>NOT(ISERROR(SEARCH("STM",AH21)))</formula>
    </cfRule>
    <cfRule type="containsText" dxfId="214" priority="229" operator="containsText" text="M">
      <formula>NOT(ISERROR(SEARCH("M",AH21)))</formula>
    </cfRule>
    <cfRule type="containsText" dxfId="213" priority="230" operator="containsText" text="STM1">
      <formula>NOT(ISERROR(SEARCH("STM1",AH21)))</formula>
    </cfRule>
    <cfRule type="containsText" dxfId="212" priority="231" operator="containsText" text="M">
      <formula>NOT(ISERROR(SEARCH("M",AH21)))</formula>
    </cfRule>
    <cfRule type="containsText" dxfId="211" priority="232" operator="containsText" text="STM">
      <formula>NOT(ISERROR(SEARCH("STM",AH21)))</formula>
    </cfRule>
    <cfRule type="containsText" dxfId="210" priority="233" operator="containsText" text="STM">
      <formula>NOT(ISERROR(SEARCH("STM",AH21)))</formula>
    </cfRule>
  </conditionalFormatting>
  <conditionalFormatting sqref="I22:J22">
    <cfRule type="containsText" dxfId="209" priority="219" operator="containsText" text="STM1">
      <formula>NOT(ISERROR(SEARCH("STM1",I22)))</formula>
    </cfRule>
    <cfRule type="containsText" dxfId="208" priority="220" operator="containsText" text="STA">
      <formula>NOT(ISERROR(SEARCH("STA",I22)))</formula>
    </cfRule>
    <cfRule type="containsText" dxfId="207" priority="221" operator="containsText" text="STM1">
      <formula>NOT(ISERROR(SEARCH("STM1",I22)))</formula>
    </cfRule>
    <cfRule type="containsText" dxfId="206" priority="222" operator="containsText" text="O">
      <formula>NOT(ISERROR(SEARCH("O",I22)))</formula>
    </cfRule>
    <cfRule type="containsText" dxfId="205" priority="223" operator="containsText" text="N">
      <formula>NOT(ISERROR(SEARCH("N",I22)))</formula>
    </cfRule>
    <cfRule type="containsText" dxfId="204" priority="224" operator="containsText" text="A">
      <formula>NOT(ISERROR(SEARCH("A",I22)))</formula>
    </cfRule>
    <cfRule type="containsText" dxfId="203" priority="225" operator="containsText" text="M">
      <formula>NOT(ISERROR(SEARCH("M",I22)))</formula>
    </cfRule>
  </conditionalFormatting>
  <conditionalFormatting sqref="I22:J22">
    <cfRule type="containsText" dxfId="202" priority="211" operator="containsText" text="STN">
      <formula>NOT(ISERROR(SEARCH("STN",I22)))</formula>
    </cfRule>
    <cfRule type="containsText" dxfId="201" priority="212" operator="containsText" text="STN">
      <formula>NOT(ISERROR(SEARCH("STN",I22)))</formula>
    </cfRule>
    <cfRule type="containsText" dxfId="200" priority="213" operator="containsText" text="STM">
      <formula>NOT(ISERROR(SEARCH("STM",I22)))</formula>
    </cfRule>
    <cfRule type="containsText" dxfId="199" priority="214" operator="containsText" text="M">
      <formula>NOT(ISERROR(SEARCH("M",I22)))</formula>
    </cfRule>
    <cfRule type="containsText" dxfId="198" priority="215" operator="containsText" text="STM1">
      <formula>NOT(ISERROR(SEARCH("STM1",I22)))</formula>
    </cfRule>
    <cfRule type="containsText" dxfId="197" priority="216" operator="containsText" text="M">
      <formula>NOT(ISERROR(SEARCH("M",I22)))</formula>
    </cfRule>
    <cfRule type="containsText" dxfId="196" priority="217" operator="containsText" text="STM">
      <formula>NOT(ISERROR(SEARCH("STM",I22)))</formula>
    </cfRule>
    <cfRule type="containsText" dxfId="195" priority="218" operator="containsText" text="STM">
      <formula>NOT(ISERROR(SEARCH("STM",I22)))</formula>
    </cfRule>
  </conditionalFormatting>
  <conditionalFormatting sqref="M22:O22">
    <cfRule type="containsText" dxfId="194" priority="204" operator="containsText" text="STM1">
      <formula>NOT(ISERROR(SEARCH("STM1",M22)))</formula>
    </cfRule>
    <cfRule type="containsText" dxfId="193" priority="205" operator="containsText" text="STA">
      <formula>NOT(ISERROR(SEARCH("STA",M22)))</formula>
    </cfRule>
    <cfRule type="containsText" dxfId="192" priority="206" operator="containsText" text="STM1">
      <formula>NOT(ISERROR(SEARCH("STM1",M22)))</formula>
    </cfRule>
    <cfRule type="containsText" dxfId="191" priority="207" operator="containsText" text="O">
      <formula>NOT(ISERROR(SEARCH("O",M22)))</formula>
    </cfRule>
    <cfRule type="containsText" dxfId="190" priority="208" operator="containsText" text="N">
      <formula>NOT(ISERROR(SEARCH("N",M22)))</formula>
    </cfRule>
    <cfRule type="containsText" dxfId="189" priority="209" operator="containsText" text="A">
      <formula>NOT(ISERROR(SEARCH("A",M22)))</formula>
    </cfRule>
    <cfRule type="containsText" dxfId="188" priority="210" operator="containsText" text="M">
      <formula>NOT(ISERROR(SEARCH("M",M22)))</formula>
    </cfRule>
  </conditionalFormatting>
  <conditionalFormatting sqref="M22:O22">
    <cfRule type="containsText" dxfId="187" priority="196" operator="containsText" text="STN">
      <formula>NOT(ISERROR(SEARCH("STN",M22)))</formula>
    </cfRule>
    <cfRule type="containsText" dxfId="186" priority="197" operator="containsText" text="STN">
      <formula>NOT(ISERROR(SEARCH("STN",M22)))</formula>
    </cfRule>
    <cfRule type="containsText" dxfId="185" priority="198" operator="containsText" text="STM">
      <formula>NOT(ISERROR(SEARCH("STM",M22)))</formula>
    </cfRule>
    <cfRule type="containsText" dxfId="184" priority="199" operator="containsText" text="M">
      <formula>NOT(ISERROR(SEARCH("M",M22)))</formula>
    </cfRule>
    <cfRule type="containsText" dxfId="183" priority="200" operator="containsText" text="STM1">
      <formula>NOT(ISERROR(SEARCH("STM1",M22)))</formula>
    </cfRule>
    <cfRule type="containsText" dxfId="182" priority="201" operator="containsText" text="M">
      <formula>NOT(ISERROR(SEARCH("M",M22)))</formula>
    </cfRule>
    <cfRule type="containsText" dxfId="181" priority="202" operator="containsText" text="STM">
      <formula>NOT(ISERROR(SEARCH("STM",M22)))</formula>
    </cfRule>
    <cfRule type="containsText" dxfId="180" priority="203" operator="containsText" text="STM">
      <formula>NOT(ISERROR(SEARCH("STM",M22)))</formula>
    </cfRule>
  </conditionalFormatting>
  <conditionalFormatting sqref="W22:X22">
    <cfRule type="containsText" dxfId="179" priority="189" operator="containsText" text="STM1">
      <formula>NOT(ISERROR(SEARCH("STM1",W22)))</formula>
    </cfRule>
    <cfRule type="containsText" dxfId="178" priority="190" operator="containsText" text="STA">
      <formula>NOT(ISERROR(SEARCH("STA",W22)))</formula>
    </cfRule>
    <cfRule type="containsText" dxfId="177" priority="191" operator="containsText" text="STM1">
      <formula>NOT(ISERROR(SEARCH("STM1",W22)))</formula>
    </cfRule>
    <cfRule type="containsText" dxfId="176" priority="192" operator="containsText" text="O">
      <formula>NOT(ISERROR(SEARCH("O",W22)))</formula>
    </cfRule>
    <cfRule type="containsText" dxfId="175" priority="193" operator="containsText" text="N">
      <formula>NOT(ISERROR(SEARCH("N",W22)))</formula>
    </cfRule>
    <cfRule type="containsText" dxfId="174" priority="194" operator="containsText" text="A">
      <formula>NOT(ISERROR(SEARCH("A",W22)))</formula>
    </cfRule>
    <cfRule type="containsText" dxfId="173" priority="195" operator="containsText" text="M">
      <formula>NOT(ISERROR(SEARCH("M",W22)))</formula>
    </cfRule>
  </conditionalFormatting>
  <conditionalFormatting sqref="W22:X22">
    <cfRule type="containsText" dxfId="172" priority="181" operator="containsText" text="STN">
      <formula>NOT(ISERROR(SEARCH("STN",W22)))</formula>
    </cfRule>
    <cfRule type="containsText" dxfId="171" priority="182" operator="containsText" text="STN">
      <formula>NOT(ISERROR(SEARCH("STN",W22)))</formula>
    </cfRule>
    <cfRule type="containsText" dxfId="170" priority="183" operator="containsText" text="STM">
      <formula>NOT(ISERROR(SEARCH("STM",W22)))</formula>
    </cfRule>
    <cfRule type="containsText" dxfId="169" priority="184" operator="containsText" text="M">
      <formula>NOT(ISERROR(SEARCH("M",W22)))</formula>
    </cfRule>
    <cfRule type="containsText" dxfId="168" priority="185" operator="containsText" text="STM1">
      <formula>NOT(ISERROR(SEARCH("STM1",W22)))</formula>
    </cfRule>
    <cfRule type="containsText" dxfId="167" priority="186" operator="containsText" text="M">
      <formula>NOT(ISERROR(SEARCH("M",W22)))</formula>
    </cfRule>
    <cfRule type="containsText" dxfId="166" priority="187" operator="containsText" text="STM">
      <formula>NOT(ISERROR(SEARCH("STM",W22)))</formula>
    </cfRule>
    <cfRule type="containsText" dxfId="165" priority="188" operator="containsText" text="STM">
      <formula>NOT(ISERROR(SEARCH("STM",W22)))</formula>
    </cfRule>
  </conditionalFormatting>
  <conditionalFormatting sqref="AA22:AC22">
    <cfRule type="containsText" dxfId="164" priority="174" operator="containsText" text="STM1">
      <formula>NOT(ISERROR(SEARCH("STM1",AA22)))</formula>
    </cfRule>
    <cfRule type="containsText" dxfId="163" priority="175" operator="containsText" text="STA">
      <formula>NOT(ISERROR(SEARCH("STA",AA22)))</formula>
    </cfRule>
    <cfRule type="containsText" dxfId="162" priority="176" operator="containsText" text="STM1">
      <formula>NOT(ISERROR(SEARCH("STM1",AA22)))</formula>
    </cfRule>
    <cfRule type="containsText" dxfId="161" priority="177" operator="containsText" text="O">
      <formula>NOT(ISERROR(SEARCH("O",AA22)))</formula>
    </cfRule>
    <cfRule type="containsText" dxfId="160" priority="178" operator="containsText" text="N">
      <formula>NOT(ISERROR(SEARCH("N",AA22)))</formula>
    </cfRule>
    <cfRule type="containsText" dxfId="159" priority="179" operator="containsText" text="A">
      <formula>NOT(ISERROR(SEARCH("A",AA22)))</formula>
    </cfRule>
    <cfRule type="containsText" dxfId="158" priority="180" operator="containsText" text="M">
      <formula>NOT(ISERROR(SEARCH("M",AA22)))</formula>
    </cfRule>
  </conditionalFormatting>
  <conditionalFormatting sqref="AA22:AC22">
    <cfRule type="containsText" dxfId="157" priority="166" operator="containsText" text="STN">
      <formula>NOT(ISERROR(SEARCH("STN",AA22)))</formula>
    </cfRule>
    <cfRule type="containsText" dxfId="156" priority="167" operator="containsText" text="STN">
      <formula>NOT(ISERROR(SEARCH("STN",AA22)))</formula>
    </cfRule>
    <cfRule type="containsText" dxfId="155" priority="168" operator="containsText" text="STM">
      <formula>NOT(ISERROR(SEARCH("STM",AA22)))</formula>
    </cfRule>
    <cfRule type="containsText" dxfId="154" priority="169" operator="containsText" text="M">
      <formula>NOT(ISERROR(SEARCH("M",AA22)))</formula>
    </cfRule>
    <cfRule type="containsText" dxfId="153" priority="170" operator="containsText" text="STM1">
      <formula>NOT(ISERROR(SEARCH("STM1",AA22)))</formula>
    </cfRule>
    <cfRule type="containsText" dxfId="152" priority="171" operator="containsText" text="M">
      <formula>NOT(ISERROR(SEARCH("M",AA22)))</formula>
    </cfRule>
    <cfRule type="containsText" dxfId="151" priority="172" operator="containsText" text="STM">
      <formula>NOT(ISERROR(SEARCH("STM",AA22)))</formula>
    </cfRule>
    <cfRule type="containsText" dxfId="150" priority="173" operator="containsText" text="STM">
      <formula>NOT(ISERROR(SEARCH("STM",AA22)))</formula>
    </cfRule>
  </conditionalFormatting>
  <conditionalFormatting sqref="F25:J26">
    <cfRule type="containsText" dxfId="149" priority="159" operator="containsText" text="STM1">
      <formula>NOT(ISERROR(SEARCH("STM1",F25)))</formula>
    </cfRule>
    <cfRule type="containsText" dxfId="148" priority="160" operator="containsText" text="STA">
      <formula>NOT(ISERROR(SEARCH("STA",F25)))</formula>
    </cfRule>
    <cfRule type="containsText" dxfId="147" priority="161" operator="containsText" text="STM1">
      <formula>NOT(ISERROR(SEARCH("STM1",F25)))</formula>
    </cfRule>
    <cfRule type="containsText" dxfId="146" priority="162" operator="containsText" text="O">
      <formula>NOT(ISERROR(SEARCH("O",F25)))</formula>
    </cfRule>
    <cfRule type="containsText" dxfId="145" priority="163" operator="containsText" text="N">
      <formula>NOT(ISERROR(SEARCH("N",F25)))</formula>
    </cfRule>
    <cfRule type="containsText" dxfId="144" priority="164" operator="containsText" text="A">
      <formula>NOT(ISERROR(SEARCH("A",F25)))</formula>
    </cfRule>
    <cfRule type="containsText" dxfId="143" priority="165" operator="containsText" text="M">
      <formula>NOT(ISERROR(SEARCH("M",F25)))</formula>
    </cfRule>
  </conditionalFormatting>
  <conditionalFormatting sqref="F25:J26">
    <cfRule type="containsText" dxfId="142" priority="151" operator="containsText" text="STN">
      <formula>NOT(ISERROR(SEARCH("STN",F25)))</formula>
    </cfRule>
    <cfRule type="containsText" dxfId="141" priority="152" operator="containsText" text="STN">
      <formula>NOT(ISERROR(SEARCH("STN",F25)))</formula>
    </cfRule>
    <cfRule type="containsText" dxfId="140" priority="153" operator="containsText" text="STM">
      <formula>NOT(ISERROR(SEARCH("STM",F25)))</formula>
    </cfRule>
    <cfRule type="containsText" dxfId="139" priority="154" operator="containsText" text="M">
      <formula>NOT(ISERROR(SEARCH("M",F25)))</formula>
    </cfRule>
    <cfRule type="containsText" dxfId="138" priority="155" operator="containsText" text="STM1">
      <formula>NOT(ISERROR(SEARCH("STM1",F25)))</formula>
    </cfRule>
    <cfRule type="containsText" dxfId="137" priority="156" operator="containsText" text="M">
      <formula>NOT(ISERROR(SEARCH("M",F25)))</formula>
    </cfRule>
    <cfRule type="containsText" dxfId="136" priority="157" operator="containsText" text="STM">
      <formula>NOT(ISERROR(SEARCH("STM",F25)))</formula>
    </cfRule>
    <cfRule type="containsText" dxfId="135" priority="158" operator="containsText" text="STM">
      <formula>NOT(ISERROR(SEARCH("STM",F25)))</formula>
    </cfRule>
  </conditionalFormatting>
  <conditionalFormatting sqref="M24:Q24">
    <cfRule type="containsText" dxfId="134" priority="144" operator="containsText" text="STM1">
      <formula>NOT(ISERROR(SEARCH("STM1",M24)))</formula>
    </cfRule>
    <cfRule type="containsText" dxfId="133" priority="145" operator="containsText" text="STA">
      <formula>NOT(ISERROR(SEARCH("STA",M24)))</formula>
    </cfRule>
    <cfRule type="containsText" dxfId="132" priority="146" operator="containsText" text="STM1">
      <formula>NOT(ISERROR(SEARCH("STM1",M24)))</formula>
    </cfRule>
    <cfRule type="containsText" dxfId="131" priority="147" operator="containsText" text="O">
      <formula>NOT(ISERROR(SEARCH("O",M24)))</formula>
    </cfRule>
    <cfRule type="containsText" dxfId="130" priority="148" operator="containsText" text="N">
      <formula>NOT(ISERROR(SEARCH("N",M24)))</formula>
    </cfRule>
    <cfRule type="containsText" dxfId="129" priority="149" operator="containsText" text="A">
      <formula>NOT(ISERROR(SEARCH("A",M24)))</formula>
    </cfRule>
    <cfRule type="containsText" dxfId="128" priority="150" operator="containsText" text="M">
      <formula>NOT(ISERROR(SEARCH("M",M24)))</formula>
    </cfRule>
  </conditionalFormatting>
  <conditionalFormatting sqref="M24:Q24">
    <cfRule type="containsText" dxfId="127" priority="136" operator="containsText" text="STN">
      <formula>NOT(ISERROR(SEARCH("STN",M24)))</formula>
    </cfRule>
    <cfRule type="containsText" dxfId="126" priority="137" operator="containsText" text="STN">
      <formula>NOT(ISERROR(SEARCH("STN",M24)))</formula>
    </cfRule>
    <cfRule type="containsText" dxfId="125" priority="138" operator="containsText" text="STM">
      <formula>NOT(ISERROR(SEARCH("STM",M24)))</formula>
    </cfRule>
    <cfRule type="containsText" dxfId="124" priority="139" operator="containsText" text="M">
      <formula>NOT(ISERROR(SEARCH("M",M24)))</formula>
    </cfRule>
    <cfRule type="containsText" dxfId="123" priority="140" operator="containsText" text="STM1">
      <formula>NOT(ISERROR(SEARCH("STM1",M24)))</formula>
    </cfRule>
    <cfRule type="containsText" dxfId="122" priority="141" operator="containsText" text="M">
      <formula>NOT(ISERROR(SEARCH("M",M24)))</formula>
    </cfRule>
    <cfRule type="containsText" dxfId="121" priority="142" operator="containsText" text="STM">
      <formula>NOT(ISERROR(SEARCH("STM",M24)))</formula>
    </cfRule>
    <cfRule type="containsText" dxfId="120" priority="143" operator="containsText" text="STM">
      <formula>NOT(ISERROR(SEARCH("STM",M24)))</formula>
    </cfRule>
  </conditionalFormatting>
  <conditionalFormatting sqref="T26:X26">
    <cfRule type="containsText" dxfId="119" priority="129" operator="containsText" text="STM1">
      <formula>NOT(ISERROR(SEARCH("STM1",T26)))</formula>
    </cfRule>
    <cfRule type="containsText" dxfId="118" priority="130" operator="containsText" text="STA">
      <formula>NOT(ISERROR(SEARCH("STA",T26)))</formula>
    </cfRule>
    <cfRule type="containsText" dxfId="117" priority="131" operator="containsText" text="STM1">
      <formula>NOT(ISERROR(SEARCH("STM1",T26)))</formula>
    </cfRule>
    <cfRule type="containsText" dxfId="116" priority="132" operator="containsText" text="O">
      <formula>NOT(ISERROR(SEARCH("O",T26)))</formula>
    </cfRule>
    <cfRule type="containsText" dxfId="115" priority="133" operator="containsText" text="N">
      <formula>NOT(ISERROR(SEARCH("N",T26)))</formula>
    </cfRule>
    <cfRule type="containsText" dxfId="114" priority="134" operator="containsText" text="A">
      <formula>NOT(ISERROR(SEARCH("A",T26)))</formula>
    </cfRule>
    <cfRule type="containsText" dxfId="113" priority="135" operator="containsText" text="M">
      <formula>NOT(ISERROR(SEARCH("M",T26)))</formula>
    </cfRule>
  </conditionalFormatting>
  <conditionalFormatting sqref="T26:X26">
    <cfRule type="containsText" dxfId="112" priority="121" operator="containsText" text="STN">
      <formula>NOT(ISERROR(SEARCH("STN",T26)))</formula>
    </cfRule>
    <cfRule type="containsText" dxfId="111" priority="122" operator="containsText" text="STN">
      <formula>NOT(ISERROR(SEARCH("STN",T26)))</formula>
    </cfRule>
    <cfRule type="containsText" dxfId="110" priority="123" operator="containsText" text="STM">
      <formula>NOT(ISERROR(SEARCH("STM",T26)))</formula>
    </cfRule>
    <cfRule type="containsText" dxfId="109" priority="124" operator="containsText" text="M">
      <formula>NOT(ISERROR(SEARCH("M",T26)))</formula>
    </cfRule>
    <cfRule type="containsText" dxfId="108" priority="125" operator="containsText" text="STM1">
      <formula>NOT(ISERROR(SEARCH("STM1",T26)))</formula>
    </cfRule>
    <cfRule type="containsText" dxfId="107" priority="126" operator="containsText" text="M">
      <formula>NOT(ISERROR(SEARCH("M",T26)))</formula>
    </cfRule>
    <cfRule type="containsText" dxfId="106" priority="127" operator="containsText" text="STM">
      <formula>NOT(ISERROR(SEARCH("STM",T26)))</formula>
    </cfRule>
    <cfRule type="containsText" dxfId="105" priority="128" operator="containsText" text="STM">
      <formula>NOT(ISERROR(SEARCH("STM",T26)))</formula>
    </cfRule>
  </conditionalFormatting>
  <conditionalFormatting sqref="AA24:AE24">
    <cfRule type="containsText" dxfId="104" priority="114" operator="containsText" text="STM1">
      <formula>NOT(ISERROR(SEARCH("STM1",AA24)))</formula>
    </cfRule>
    <cfRule type="containsText" dxfId="103" priority="115" operator="containsText" text="STA">
      <formula>NOT(ISERROR(SEARCH("STA",AA24)))</formula>
    </cfRule>
    <cfRule type="containsText" dxfId="102" priority="116" operator="containsText" text="STM1">
      <formula>NOT(ISERROR(SEARCH("STM1",AA24)))</formula>
    </cfRule>
    <cfRule type="containsText" dxfId="101" priority="117" operator="containsText" text="O">
      <formula>NOT(ISERROR(SEARCH("O",AA24)))</formula>
    </cfRule>
    <cfRule type="containsText" dxfId="100" priority="118" operator="containsText" text="N">
      <formula>NOT(ISERROR(SEARCH("N",AA24)))</formula>
    </cfRule>
    <cfRule type="containsText" dxfId="99" priority="119" operator="containsText" text="A">
      <formula>NOT(ISERROR(SEARCH("A",AA24)))</formula>
    </cfRule>
    <cfRule type="containsText" dxfId="98" priority="120" operator="containsText" text="M">
      <formula>NOT(ISERROR(SEARCH("M",AA24)))</formula>
    </cfRule>
  </conditionalFormatting>
  <conditionalFormatting sqref="AA24:AE24">
    <cfRule type="containsText" dxfId="97" priority="106" operator="containsText" text="STN">
      <formula>NOT(ISERROR(SEARCH("STN",AA24)))</formula>
    </cfRule>
    <cfRule type="containsText" dxfId="96" priority="107" operator="containsText" text="STN">
      <formula>NOT(ISERROR(SEARCH("STN",AA24)))</formula>
    </cfRule>
    <cfRule type="containsText" dxfId="95" priority="108" operator="containsText" text="STM">
      <formula>NOT(ISERROR(SEARCH("STM",AA24)))</formula>
    </cfRule>
    <cfRule type="containsText" dxfId="94" priority="109" operator="containsText" text="M">
      <formula>NOT(ISERROR(SEARCH("M",AA24)))</formula>
    </cfRule>
    <cfRule type="containsText" dxfId="93" priority="110" operator="containsText" text="STM1">
      <formula>NOT(ISERROR(SEARCH("STM1",AA24)))</formula>
    </cfRule>
    <cfRule type="containsText" dxfId="92" priority="111" operator="containsText" text="M">
      <formula>NOT(ISERROR(SEARCH("M",AA24)))</formula>
    </cfRule>
    <cfRule type="containsText" dxfId="91" priority="112" operator="containsText" text="STM">
      <formula>NOT(ISERROR(SEARCH("STM",AA24)))</formula>
    </cfRule>
    <cfRule type="containsText" dxfId="90" priority="113" operator="containsText" text="STM">
      <formula>NOT(ISERROR(SEARCH("STM",AA24)))</formula>
    </cfRule>
  </conditionalFormatting>
  <conditionalFormatting sqref="AH26">
    <cfRule type="containsText" dxfId="89" priority="99" operator="containsText" text="STM1">
      <formula>NOT(ISERROR(SEARCH("STM1",AH26)))</formula>
    </cfRule>
    <cfRule type="containsText" dxfId="88" priority="100" operator="containsText" text="STA">
      <formula>NOT(ISERROR(SEARCH("STA",AH26)))</formula>
    </cfRule>
    <cfRule type="containsText" dxfId="87" priority="101" operator="containsText" text="STM1">
      <formula>NOT(ISERROR(SEARCH("STM1",AH26)))</formula>
    </cfRule>
    <cfRule type="containsText" dxfId="86" priority="102" operator="containsText" text="O">
      <formula>NOT(ISERROR(SEARCH("O",AH26)))</formula>
    </cfRule>
    <cfRule type="containsText" dxfId="85" priority="103" operator="containsText" text="N">
      <formula>NOT(ISERROR(SEARCH("N",AH26)))</formula>
    </cfRule>
    <cfRule type="containsText" dxfId="84" priority="104" operator="containsText" text="A">
      <formula>NOT(ISERROR(SEARCH("A",AH26)))</formula>
    </cfRule>
    <cfRule type="containsText" dxfId="83" priority="105" operator="containsText" text="M">
      <formula>NOT(ISERROR(SEARCH("M",AH26)))</formula>
    </cfRule>
  </conditionalFormatting>
  <conditionalFormatting sqref="AH26">
    <cfRule type="containsText" dxfId="82" priority="91" operator="containsText" text="STN">
      <formula>NOT(ISERROR(SEARCH("STN",AH26)))</formula>
    </cfRule>
    <cfRule type="containsText" dxfId="81" priority="92" operator="containsText" text="STN">
      <formula>NOT(ISERROR(SEARCH("STN",AH26)))</formula>
    </cfRule>
    <cfRule type="containsText" dxfId="80" priority="93" operator="containsText" text="STM">
      <formula>NOT(ISERROR(SEARCH("STM",AH26)))</formula>
    </cfRule>
    <cfRule type="containsText" dxfId="79" priority="94" operator="containsText" text="M">
      <formula>NOT(ISERROR(SEARCH("M",AH26)))</formula>
    </cfRule>
    <cfRule type="containsText" dxfId="78" priority="95" operator="containsText" text="STM1">
      <formula>NOT(ISERROR(SEARCH("STM1",AH26)))</formula>
    </cfRule>
    <cfRule type="containsText" dxfId="77" priority="96" operator="containsText" text="M">
      <formula>NOT(ISERROR(SEARCH("M",AH26)))</formula>
    </cfRule>
    <cfRule type="containsText" dxfId="76" priority="97" operator="containsText" text="STM">
      <formula>NOT(ISERROR(SEARCH("STM",AH26)))</formula>
    </cfRule>
    <cfRule type="containsText" dxfId="75" priority="98" operator="containsText" text="STM">
      <formula>NOT(ISERROR(SEARCH("STM",AH26)))</formula>
    </cfRule>
  </conditionalFormatting>
  <conditionalFormatting sqref="M23:O23">
    <cfRule type="containsText" dxfId="74" priority="84" operator="containsText" text="STM1">
      <formula>NOT(ISERROR(SEARCH("STM1",M23)))</formula>
    </cfRule>
    <cfRule type="containsText" dxfId="73" priority="85" operator="containsText" text="STA">
      <formula>NOT(ISERROR(SEARCH("STA",M23)))</formula>
    </cfRule>
    <cfRule type="containsText" dxfId="72" priority="86" operator="containsText" text="STM1">
      <formula>NOT(ISERROR(SEARCH("STM1",M23)))</formula>
    </cfRule>
    <cfRule type="containsText" dxfId="71" priority="87" operator="containsText" text="O">
      <formula>NOT(ISERROR(SEARCH("O",M23)))</formula>
    </cfRule>
    <cfRule type="containsText" dxfId="70" priority="88" operator="containsText" text="N">
      <formula>NOT(ISERROR(SEARCH("N",M23)))</formula>
    </cfRule>
    <cfRule type="containsText" dxfId="69" priority="89" operator="containsText" text="A">
      <formula>NOT(ISERROR(SEARCH("A",M23)))</formula>
    </cfRule>
    <cfRule type="containsText" dxfId="68" priority="90" operator="containsText" text="M">
      <formula>NOT(ISERROR(SEARCH("M",M23)))</formula>
    </cfRule>
  </conditionalFormatting>
  <conditionalFormatting sqref="M23:O23">
    <cfRule type="containsText" dxfId="67" priority="76" operator="containsText" text="STN">
      <formula>NOT(ISERROR(SEARCH("STN",M23)))</formula>
    </cfRule>
    <cfRule type="containsText" dxfId="66" priority="77" operator="containsText" text="STN">
      <formula>NOT(ISERROR(SEARCH("STN",M23)))</formula>
    </cfRule>
    <cfRule type="containsText" dxfId="65" priority="78" operator="containsText" text="STM">
      <formula>NOT(ISERROR(SEARCH("STM",M23)))</formula>
    </cfRule>
    <cfRule type="containsText" dxfId="64" priority="79" operator="containsText" text="M">
      <formula>NOT(ISERROR(SEARCH("M",M23)))</formula>
    </cfRule>
    <cfRule type="containsText" dxfId="63" priority="80" operator="containsText" text="STM1">
      <formula>NOT(ISERROR(SEARCH("STM1",M23)))</formula>
    </cfRule>
    <cfRule type="containsText" dxfId="62" priority="81" operator="containsText" text="M">
      <formula>NOT(ISERROR(SEARCH("M",M23)))</formula>
    </cfRule>
    <cfRule type="containsText" dxfId="61" priority="82" operator="containsText" text="STM">
      <formula>NOT(ISERROR(SEARCH("STM",M23)))</formula>
    </cfRule>
    <cfRule type="containsText" dxfId="60" priority="83" operator="containsText" text="STM">
      <formula>NOT(ISERROR(SEARCH("STM",M23)))</formula>
    </cfRule>
  </conditionalFormatting>
  <conditionalFormatting sqref="W23:X23">
    <cfRule type="containsText" dxfId="59" priority="69" operator="containsText" text="STM1">
      <formula>NOT(ISERROR(SEARCH("STM1",W23)))</formula>
    </cfRule>
    <cfRule type="containsText" dxfId="58" priority="70" operator="containsText" text="STA">
      <formula>NOT(ISERROR(SEARCH("STA",W23)))</formula>
    </cfRule>
    <cfRule type="containsText" dxfId="57" priority="71" operator="containsText" text="STM1">
      <formula>NOT(ISERROR(SEARCH("STM1",W23)))</formula>
    </cfRule>
    <cfRule type="containsText" dxfId="56" priority="72" operator="containsText" text="O">
      <formula>NOT(ISERROR(SEARCH("O",W23)))</formula>
    </cfRule>
    <cfRule type="containsText" dxfId="55" priority="73" operator="containsText" text="N">
      <formula>NOT(ISERROR(SEARCH("N",W23)))</formula>
    </cfRule>
    <cfRule type="containsText" dxfId="54" priority="74" operator="containsText" text="A">
      <formula>NOT(ISERROR(SEARCH("A",W23)))</formula>
    </cfRule>
    <cfRule type="containsText" dxfId="53" priority="75" operator="containsText" text="M">
      <formula>NOT(ISERROR(SEARCH("M",W23)))</formula>
    </cfRule>
  </conditionalFormatting>
  <conditionalFormatting sqref="W23:X23">
    <cfRule type="containsText" dxfId="52" priority="61" operator="containsText" text="STN">
      <formula>NOT(ISERROR(SEARCH("STN",W23)))</formula>
    </cfRule>
    <cfRule type="containsText" dxfId="51" priority="62" operator="containsText" text="STN">
      <formula>NOT(ISERROR(SEARCH("STN",W23)))</formula>
    </cfRule>
    <cfRule type="containsText" dxfId="50" priority="63" operator="containsText" text="STM">
      <formula>NOT(ISERROR(SEARCH("STM",W23)))</formula>
    </cfRule>
    <cfRule type="containsText" dxfId="49" priority="64" operator="containsText" text="M">
      <formula>NOT(ISERROR(SEARCH("M",W23)))</formula>
    </cfRule>
    <cfRule type="containsText" dxfId="48" priority="65" operator="containsText" text="STM1">
      <formula>NOT(ISERROR(SEARCH("STM1",W23)))</formula>
    </cfRule>
    <cfRule type="containsText" dxfId="47" priority="66" operator="containsText" text="M">
      <formula>NOT(ISERROR(SEARCH("M",W23)))</formula>
    </cfRule>
    <cfRule type="containsText" dxfId="46" priority="67" operator="containsText" text="STM">
      <formula>NOT(ISERROR(SEARCH("STM",W23)))</formula>
    </cfRule>
    <cfRule type="containsText" dxfId="45" priority="68" operator="containsText" text="STM">
      <formula>NOT(ISERROR(SEARCH("STM",W23)))</formula>
    </cfRule>
  </conditionalFormatting>
  <conditionalFormatting sqref="AA23:AC23">
    <cfRule type="containsText" dxfId="44" priority="54" operator="containsText" text="STM1">
      <formula>NOT(ISERROR(SEARCH("STM1",AA23)))</formula>
    </cfRule>
    <cfRule type="containsText" dxfId="43" priority="55" operator="containsText" text="STA">
      <formula>NOT(ISERROR(SEARCH("STA",AA23)))</formula>
    </cfRule>
    <cfRule type="containsText" dxfId="42" priority="56" operator="containsText" text="STM1">
      <formula>NOT(ISERROR(SEARCH("STM1",AA23)))</formula>
    </cfRule>
    <cfRule type="containsText" dxfId="41" priority="57" operator="containsText" text="O">
      <formula>NOT(ISERROR(SEARCH("O",AA23)))</formula>
    </cfRule>
    <cfRule type="containsText" dxfId="40" priority="58" operator="containsText" text="N">
      <formula>NOT(ISERROR(SEARCH("N",AA23)))</formula>
    </cfRule>
    <cfRule type="containsText" dxfId="39" priority="59" operator="containsText" text="A">
      <formula>NOT(ISERROR(SEARCH("A",AA23)))</formula>
    </cfRule>
    <cfRule type="containsText" dxfId="38" priority="60" operator="containsText" text="M">
      <formula>NOT(ISERROR(SEARCH("M",AA23)))</formula>
    </cfRule>
  </conditionalFormatting>
  <conditionalFormatting sqref="AA23:AC23">
    <cfRule type="containsText" dxfId="37" priority="46" operator="containsText" text="STN">
      <formula>NOT(ISERROR(SEARCH("STN",AA23)))</formula>
    </cfRule>
    <cfRule type="containsText" dxfId="36" priority="47" operator="containsText" text="STN">
      <formula>NOT(ISERROR(SEARCH("STN",AA23)))</formula>
    </cfRule>
    <cfRule type="containsText" dxfId="35" priority="48" operator="containsText" text="STM">
      <formula>NOT(ISERROR(SEARCH("STM",AA23)))</formula>
    </cfRule>
    <cfRule type="containsText" dxfId="34" priority="49" operator="containsText" text="M">
      <formula>NOT(ISERROR(SEARCH("M",AA23)))</formula>
    </cfRule>
    <cfRule type="containsText" dxfId="33" priority="50" operator="containsText" text="STM1">
      <formula>NOT(ISERROR(SEARCH("STM1",AA23)))</formula>
    </cfRule>
    <cfRule type="containsText" dxfId="32" priority="51" operator="containsText" text="M">
      <formula>NOT(ISERROR(SEARCH("M",AA23)))</formula>
    </cfRule>
    <cfRule type="containsText" dxfId="31" priority="52" operator="containsText" text="STM">
      <formula>NOT(ISERROR(SEARCH("STM",AA23)))</formula>
    </cfRule>
    <cfRule type="containsText" dxfId="30" priority="53" operator="containsText" text="STM">
      <formula>NOT(ISERROR(SEARCH("STM",AA23)))</formula>
    </cfRule>
  </conditionalFormatting>
  <conditionalFormatting sqref="AA25:AE25">
    <cfRule type="containsText" dxfId="29" priority="1" operator="containsText" text="STN">
      <formula>NOT(ISERROR(SEARCH("STN",AA25)))</formula>
    </cfRule>
    <cfRule type="containsText" dxfId="28" priority="2" operator="containsText" text="STN">
      <formula>NOT(ISERROR(SEARCH("STN",AA25)))</formula>
    </cfRule>
    <cfRule type="containsText" dxfId="27" priority="3" operator="containsText" text="STM">
      <formula>NOT(ISERROR(SEARCH("STM",AA25)))</formula>
    </cfRule>
    <cfRule type="containsText" dxfId="26" priority="4" operator="containsText" text="M">
      <formula>NOT(ISERROR(SEARCH("M",AA25)))</formula>
    </cfRule>
    <cfRule type="containsText" dxfId="25" priority="5" operator="containsText" text="STM1">
      <formula>NOT(ISERROR(SEARCH("STM1",AA25)))</formula>
    </cfRule>
    <cfRule type="containsText" dxfId="24" priority="6" operator="containsText" text="M">
      <formula>NOT(ISERROR(SEARCH("M",AA25)))</formula>
    </cfRule>
    <cfRule type="containsText" dxfId="23" priority="7" operator="containsText" text="STM">
      <formula>NOT(ISERROR(SEARCH("STM",AA25)))</formula>
    </cfRule>
    <cfRule type="containsText" dxfId="22" priority="8" operator="containsText" text="STM">
      <formula>NOT(ISERROR(SEARCH("STM",AA25)))</formula>
    </cfRule>
  </conditionalFormatting>
  <conditionalFormatting sqref="O25:Q25">
    <cfRule type="containsText" dxfId="21" priority="24" operator="containsText" text="STM1">
      <formula>NOT(ISERROR(SEARCH("STM1",O25)))</formula>
    </cfRule>
    <cfRule type="containsText" dxfId="20" priority="25" operator="containsText" text="STA">
      <formula>NOT(ISERROR(SEARCH("STA",O25)))</formula>
    </cfRule>
    <cfRule type="containsText" dxfId="19" priority="26" operator="containsText" text="STM1">
      <formula>NOT(ISERROR(SEARCH("STM1",O25)))</formula>
    </cfRule>
    <cfRule type="containsText" dxfId="18" priority="27" operator="containsText" text="O">
      <formula>NOT(ISERROR(SEARCH("O",O25)))</formula>
    </cfRule>
    <cfRule type="containsText" dxfId="17" priority="28" operator="containsText" text="N">
      <formula>NOT(ISERROR(SEARCH("N",O25)))</formula>
    </cfRule>
    <cfRule type="containsText" dxfId="16" priority="29" operator="containsText" text="A">
      <formula>NOT(ISERROR(SEARCH("A",O25)))</formula>
    </cfRule>
    <cfRule type="containsText" dxfId="15" priority="30" operator="containsText" text="M">
      <formula>NOT(ISERROR(SEARCH("M",O25)))</formula>
    </cfRule>
  </conditionalFormatting>
  <conditionalFormatting sqref="O25:Q25">
    <cfRule type="containsText" dxfId="14" priority="16" operator="containsText" text="STN">
      <formula>NOT(ISERROR(SEARCH("STN",O25)))</formula>
    </cfRule>
    <cfRule type="containsText" dxfId="13" priority="17" operator="containsText" text="STN">
      <formula>NOT(ISERROR(SEARCH("STN",O25)))</formula>
    </cfRule>
    <cfRule type="containsText" dxfId="12" priority="18" operator="containsText" text="STM">
      <formula>NOT(ISERROR(SEARCH("STM",O25)))</formula>
    </cfRule>
    <cfRule type="containsText" dxfId="11" priority="19" operator="containsText" text="M">
      <formula>NOT(ISERROR(SEARCH("M",O25)))</formula>
    </cfRule>
    <cfRule type="containsText" dxfId="10" priority="20" operator="containsText" text="STM1">
      <formula>NOT(ISERROR(SEARCH("STM1",O25)))</formula>
    </cfRule>
    <cfRule type="containsText" dxfId="9" priority="21" operator="containsText" text="M">
      <formula>NOT(ISERROR(SEARCH("M",O25)))</formula>
    </cfRule>
    <cfRule type="containsText" dxfId="8" priority="22" operator="containsText" text="STM">
      <formula>NOT(ISERROR(SEARCH("STM",O25)))</formula>
    </cfRule>
    <cfRule type="containsText" dxfId="7" priority="23" operator="containsText" text="STM">
      <formula>NOT(ISERROR(SEARCH("STM",O25)))</formula>
    </cfRule>
  </conditionalFormatting>
  <conditionalFormatting sqref="AA25:AE25">
    <cfRule type="containsText" dxfId="6" priority="9" operator="containsText" text="STM1">
      <formula>NOT(ISERROR(SEARCH("STM1",AA25)))</formula>
    </cfRule>
    <cfRule type="containsText" dxfId="5" priority="10" operator="containsText" text="STA">
      <formula>NOT(ISERROR(SEARCH("STA",AA25)))</formula>
    </cfRule>
    <cfRule type="containsText" dxfId="4" priority="11" operator="containsText" text="STM1">
      <formula>NOT(ISERROR(SEARCH("STM1",AA25)))</formula>
    </cfRule>
    <cfRule type="containsText" dxfId="3" priority="12" operator="containsText" text="O">
      <formula>NOT(ISERROR(SEARCH("O",AA25)))</formula>
    </cfRule>
    <cfRule type="containsText" dxfId="2" priority="13" operator="containsText" text="N">
      <formula>NOT(ISERROR(SEARCH("N",AA25)))</formula>
    </cfRule>
    <cfRule type="containsText" dxfId="1" priority="14" operator="containsText" text="A">
      <formula>NOT(ISERROR(SEARCH("A",AA25)))</formula>
    </cfRule>
    <cfRule type="containsText" dxfId="0" priority="15" operator="containsText" text="M">
      <formula>NOT(ISERROR(SEARCH("M",AA25)))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71BA7DECE689F45BAC8EB92F5C99E5C" ma:contentTypeVersion="10" ma:contentTypeDescription="إنشاء مستند جديد." ma:contentTypeScope="" ma:versionID="e3b28bec49b654678e12c06fe8d20771">
  <xsd:schema xmlns:xsd="http://www.w3.org/2001/XMLSchema" xmlns:xs="http://www.w3.org/2001/XMLSchema" xmlns:p="http://schemas.microsoft.com/office/2006/metadata/properties" xmlns:ns3="24096a4d-4712-4f6d-81d5-dde64fd1182b" targetNamespace="http://schemas.microsoft.com/office/2006/metadata/properties" ma:root="true" ma:fieldsID="d9d83779a3896e9e04ab43df36edd651" ns3:_="">
    <xsd:import namespace="24096a4d-4712-4f6d-81d5-dde64fd1182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096a4d-4712-4f6d-81d5-dde64fd1182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4096a4d-4712-4f6d-81d5-dde64fd1182b" xsi:nil="true"/>
  </documentManagement>
</p:properties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20554B-62FB-4292-9A0E-67AD5B7D5E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096a4d-4712-4f6d-81d5-dde64fd118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335F04-3ECE-4043-846B-35335B1D83ED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24096a4d-4712-4f6d-81d5-dde64fd1182b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Import Checkers (2)</vt:lpstr>
      <vt:lpstr>Export Checkers</vt:lpstr>
      <vt:lpstr>Export Operators</vt:lpstr>
      <vt:lpstr>Import Operator</vt:lpstr>
      <vt:lpstr>Flight Attending</vt:lpstr>
      <vt:lpstr>Relocation Staffs</vt:lpstr>
      <vt:lpstr>Acceptance</vt:lpstr>
      <vt:lpstr>Documentation FNL </vt:lpstr>
      <vt:lpstr>Import Checkers</vt:lpstr>
      <vt:lpstr>Load Control</vt:lpstr>
      <vt:lpstr>Delivery</vt:lpstr>
      <vt:lpstr>Delivery Operators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Maqbool Hussain Haji Al Balushi</cp:lastModifiedBy>
  <cp:lastPrinted>2025-10-17T12:59:41Z</cp:lastPrinted>
  <dcterms:created xsi:type="dcterms:W3CDTF">2025-09-02T04:15:34Z</dcterms:created>
  <dcterms:modified xsi:type="dcterms:W3CDTF">2025-11-08T06:21:18Z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0x010100571BA7DECE689F45BAC8EB92F5C99E5C</vt:lpwstr>
  </property>
</Properties>
</file>