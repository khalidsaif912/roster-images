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anair-my.sharepoint.com/personal/80235_hq_omanair_com/Documents/Desktop/Rosters/STAFF OPERATION SCHEDULE/ROSTER 2026/"/>
    </mc:Choice>
  </mc:AlternateContent>
  <xr:revisionPtr revIDLastSave="337" documentId="8_{628658D3-FC06-45C3-ABF8-9523A2B29D15}" xr6:coauthVersionLast="47" xr6:coauthVersionMax="47" xr10:uidLastSave="{482902D7-FACA-4834-A25E-A4400B5458B0}"/>
  <bookViews>
    <workbookView xWindow="-120" yWindow="-120" windowWidth="29040" windowHeight="15720" firstSheet="2" activeTab="8" xr2:uid="{9736B67C-D61B-41E1-B07B-429B3D8AE9CC}"/>
  </bookViews>
  <sheets>
    <sheet name="Setting " sheetId="1" state="hidden" r:id="rId1"/>
    <sheet name="master" sheetId="2" state="hidden" r:id="rId2"/>
    <sheet name="Full staffs as per JD" sheetId="25" r:id="rId3"/>
    <sheet name="Officers" sheetId="22" r:id="rId4"/>
    <sheet name="Supervisors" sheetId="21" r:id="rId5"/>
    <sheet name="Load Control" sheetId="10" r:id="rId6"/>
    <sheet name="Export Checker" sheetId="23" r:id="rId7"/>
    <sheet name="Sheet2" sheetId="27" r:id="rId8"/>
    <sheet name="Export Operators" sheetId="9" r:id="rId9"/>
    <sheet name="Flight Attending" sheetId="19" r:id="rId10"/>
    <sheet name="Acceptance" sheetId="13" state="hidden" r:id="rId11"/>
  </sheets>
  <definedNames>
    <definedName name="_xlnm._FilterDatabase" localSheetId="2" hidden="1">'Full staffs as per JD'!$F$4:$AJ$92</definedName>
    <definedName name="setting_MonthList">'Setting '!$A$2:$A$13</definedName>
    <definedName name="Settings_Holidays">OFFSET('Setting '!$G$1,1,0,COUNTA('Setting '!$G:$G)-1,1)</definedName>
    <definedName name="Settings_ShiftLegends">OFFSET('Setting '!$K$1,1,0,COUNTA('Setting '!$K:$K)-1,1)</definedName>
    <definedName name="Settings_Weekend">OFFSET('Setting '!$E$1,1,0,COUNTA('Setting '!$E:$E)-1,1)</definedName>
    <definedName name="Settings_YearList">OFFSET('Setting '!$C$1,1,0,COUNTA('Setting '!$C:$C)-1,1)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25" i="10" l="1"/>
  <c r="AJ24" i="10"/>
  <c r="AJ23" i="10"/>
  <c r="AJ22" i="10"/>
  <c r="AJ21" i="10"/>
  <c r="AJ30" i="10" s="1"/>
  <c r="AJ28" i="10" l="1"/>
  <c r="AJ26" i="10" s="1"/>
  <c r="AP6" i="25" l="1"/>
  <c r="AP7" i="25"/>
  <c r="AP8" i="25"/>
  <c r="AO6" i="25"/>
  <c r="AO7" i="25"/>
  <c r="AO8" i="25"/>
  <c r="AN6" i="25"/>
  <c r="AN7" i="25"/>
  <c r="AN8" i="25"/>
  <c r="AM6" i="25"/>
  <c r="AM7" i="25"/>
  <c r="AM8" i="25"/>
  <c r="AL6" i="25"/>
  <c r="AL7" i="25"/>
  <c r="AL8" i="25"/>
  <c r="AP5" i="25"/>
  <c r="AO5" i="25"/>
  <c r="AN5" i="25"/>
  <c r="AM5" i="25"/>
  <c r="AL5" i="25"/>
  <c r="AP6" i="22"/>
  <c r="AO6" i="22"/>
  <c r="AN6" i="22"/>
  <c r="AM6" i="22"/>
  <c r="AL6" i="22"/>
  <c r="G90" i="25" l="1"/>
  <c r="H90" i="25"/>
  <c r="I90" i="25"/>
  <c r="J90" i="25"/>
  <c r="K90" i="25"/>
  <c r="L90" i="25"/>
  <c r="M90" i="25"/>
  <c r="N90" i="25"/>
  <c r="O90" i="25"/>
  <c r="P90" i="25"/>
  <c r="Q90" i="25"/>
  <c r="R90" i="25"/>
  <c r="S90" i="25"/>
  <c r="T90" i="25"/>
  <c r="U90" i="25"/>
  <c r="V90" i="25"/>
  <c r="W90" i="25"/>
  <c r="X90" i="25"/>
  <c r="Y90" i="25"/>
  <c r="Z90" i="25"/>
  <c r="AA90" i="25"/>
  <c r="AB90" i="25"/>
  <c r="AC90" i="25"/>
  <c r="AD90" i="25"/>
  <c r="AE90" i="25"/>
  <c r="AF90" i="25"/>
  <c r="AG90" i="25"/>
  <c r="AH90" i="25"/>
  <c r="AI90" i="25"/>
  <c r="AJ90" i="25"/>
  <c r="G88" i="25"/>
  <c r="H88" i="25"/>
  <c r="I88" i="25"/>
  <c r="J88" i="25"/>
  <c r="K88" i="25"/>
  <c r="L88" i="25"/>
  <c r="M88" i="25"/>
  <c r="N88" i="25"/>
  <c r="O88" i="25"/>
  <c r="P88" i="25"/>
  <c r="Q88" i="25"/>
  <c r="R88" i="25"/>
  <c r="S88" i="25"/>
  <c r="T88" i="25"/>
  <c r="U88" i="25"/>
  <c r="V88" i="25"/>
  <c r="W88" i="25"/>
  <c r="X88" i="25"/>
  <c r="Y88" i="25"/>
  <c r="Z88" i="25"/>
  <c r="AA88" i="25"/>
  <c r="AB88" i="25"/>
  <c r="AC88" i="25"/>
  <c r="AD88" i="25"/>
  <c r="AE88" i="25"/>
  <c r="AF88" i="25"/>
  <c r="AG88" i="25"/>
  <c r="AH88" i="25"/>
  <c r="AI88" i="25"/>
  <c r="AJ88" i="25"/>
  <c r="G87" i="25"/>
  <c r="H87" i="25"/>
  <c r="I87" i="25"/>
  <c r="J87" i="25"/>
  <c r="K87" i="25"/>
  <c r="L87" i="25"/>
  <c r="M87" i="25"/>
  <c r="N87" i="25"/>
  <c r="O87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AG87" i="25"/>
  <c r="AH87" i="25"/>
  <c r="AI87" i="25"/>
  <c r="AJ87" i="25"/>
  <c r="G86" i="25"/>
  <c r="H86" i="25"/>
  <c r="I86" i="25"/>
  <c r="J86" i="25"/>
  <c r="K86" i="25"/>
  <c r="L86" i="25"/>
  <c r="M86" i="25"/>
  <c r="N86" i="25"/>
  <c r="O86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AG86" i="25"/>
  <c r="AH86" i="25"/>
  <c r="AI86" i="25"/>
  <c r="AJ86" i="25"/>
  <c r="F91" i="25"/>
  <c r="F90" i="25"/>
  <c r="F88" i="25"/>
  <c r="F87" i="25"/>
  <c r="F86" i="25"/>
  <c r="AP29" i="25"/>
  <c r="AO29" i="25"/>
  <c r="AN29" i="25"/>
  <c r="AM29" i="25"/>
  <c r="AL29" i="25"/>
  <c r="AP28" i="25"/>
  <c r="AO28" i="25"/>
  <c r="AN28" i="25"/>
  <c r="AM28" i="25"/>
  <c r="AL28" i="25"/>
  <c r="AP27" i="25"/>
  <c r="AO27" i="25"/>
  <c r="AN27" i="25"/>
  <c r="AM27" i="25"/>
  <c r="AL27" i="25"/>
  <c r="AP26" i="25"/>
  <c r="AO26" i="25"/>
  <c r="AN26" i="25"/>
  <c r="AM26" i="25"/>
  <c r="AL26" i="25"/>
  <c r="AP25" i="25"/>
  <c r="AO25" i="25"/>
  <c r="AN25" i="25"/>
  <c r="AM25" i="25"/>
  <c r="AL25" i="25"/>
  <c r="AP24" i="25"/>
  <c r="AO24" i="25"/>
  <c r="AN24" i="25"/>
  <c r="AM24" i="25"/>
  <c r="AL24" i="25"/>
  <c r="AP23" i="25"/>
  <c r="AO23" i="25"/>
  <c r="AN23" i="25"/>
  <c r="AM23" i="25"/>
  <c r="AL23" i="25"/>
  <c r="AP22" i="25"/>
  <c r="AO22" i="25"/>
  <c r="AN22" i="25"/>
  <c r="AM22" i="25"/>
  <c r="AL22" i="25"/>
  <c r="AP21" i="25"/>
  <c r="AO21" i="25"/>
  <c r="AN21" i="25"/>
  <c r="AM21" i="25"/>
  <c r="AL21" i="25"/>
  <c r="AP20" i="25"/>
  <c r="AO20" i="25"/>
  <c r="AN20" i="25"/>
  <c r="AM20" i="25"/>
  <c r="AL20" i="25"/>
  <c r="AP19" i="25"/>
  <c r="AO19" i="25"/>
  <c r="AN19" i="25"/>
  <c r="AM19" i="25"/>
  <c r="AL19" i="25"/>
  <c r="AP18" i="25"/>
  <c r="AO18" i="25"/>
  <c r="AN18" i="25"/>
  <c r="AM18" i="25"/>
  <c r="AL18" i="25"/>
  <c r="AP17" i="25"/>
  <c r="AO17" i="25"/>
  <c r="AN17" i="25"/>
  <c r="AM17" i="25"/>
  <c r="AL17" i="25"/>
  <c r="AP16" i="25"/>
  <c r="AO16" i="25"/>
  <c r="AN16" i="25"/>
  <c r="AM16" i="25"/>
  <c r="AL16" i="25"/>
  <c r="AP15" i="25"/>
  <c r="AO15" i="25"/>
  <c r="AN15" i="25"/>
  <c r="AM15" i="25"/>
  <c r="AL15" i="25"/>
  <c r="AP14" i="25"/>
  <c r="AO14" i="25"/>
  <c r="AN14" i="25"/>
  <c r="AM14" i="25"/>
  <c r="AL14" i="25"/>
  <c r="AP13" i="25"/>
  <c r="AO13" i="25"/>
  <c r="AN13" i="25"/>
  <c r="AM13" i="25"/>
  <c r="AL13" i="25"/>
  <c r="AP12" i="25"/>
  <c r="AO12" i="25"/>
  <c r="AN12" i="25"/>
  <c r="AM12" i="25"/>
  <c r="AL12" i="25"/>
  <c r="AP11" i="25"/>
  <c r="AO11" i="25"/>
  <c r="AN11" i="25"/>
  <c r="AM11" i="25"/>
  <c r="AL11" i="25"/>
  <c r="AP10" i="25"/>
  <c r="AO10" i="25"/>
  <c r="AN10" i="25"/>
  <c r="AM10" i="25"/>
  <c r="AL10" i="25"/>
  <c r="AP9" i="25"/>
  <c r="AO9" i="25"/>
  <c r="AN9" i="25"/>
  <c r="AM9" i="25"/>
  <c r="AL9" i="25"/>
  <c r="AP84" i="25"/>
  <c r="AO84" i="25"/>
  <c r="AN84" i="25"/>
  <c r="AM84" i="25"/>
  <c r="AL84" i="25"/>
  <c r="AP83" i="25"/>
  <c r="AO83" i="25"/>
  <c r="AN83" i="25"/>
  <c r="AM83" i="25"/>
  <c r="AL83" i="25"/>
  <c r="AP82" i="25"/>
  <c r="AO82" i="25"/>
  <c r="AN82" i="25"/>
  <c r="AM82" i="25"/>
  <c r="AL82" i="25"/>
  <c r="AP81" i="25"/>
  <c r="AO81" i="25"/>
  <c r="AN81" i="25"/>
  <c r="AM81" i="25"/>
  <c r="AL81" i="25"/>
  <c r="AP80" i="25"/>
  <c r="AO80" i="25"/>
  <c r="AN80" i="25"/>
  <c r="AM80" i="25"/>
  <c r="AL80" i="25"/>
  <c r="AP79" i="25"/>
  <c r="AO79" i="25"/>
  <c r="AN79" i="25"/>
  <c r="AM79" i="25"/>
  <c r="AL79" i="25"/>
  <c r="AP78" i="25"/>
  <c r="AO78" i="25"/>
  <c r="AN78" i="25"/>
  <c r="AM78" i="25"/>
  <c r="AL78" i="25"/>
  <c r="AP77" i="25"/>
  <c r="AO77" i="25"/>
  <c r="AN77" i="25"/>
  <c r="AM77" i="25"/>
  <c r="AL77" i="25"/>
  <c r="AP76" i="25"/>
  <c r="AO76" i="25"/>
  <c r="AN76" i="25"/>
  <c r="AM76" i="25"/>
  <c r="AL76" i="25"/>
  <c r="AP75" i="25"/>
  <c r="AO75" i="25"/>
  <c r="AN75" i="25"/>
  <c r="AM75" i="25"/>
  <c r="AL75" i="25"/>
  <c r="AP74" i="25"/>
  <c r="AO74" i="25"/>
  <c r="AN74" i="25"/>
  <c r="AM74" i="25"/>
  <c r="AL74" i="25"/>
  <c r="AP73" i="25"/>
  <c r="AO73" i="25"/>
  <c r="AN73" i="25"/>
  <c r="AM73" i="25"/>
  <c r="AL73" i="25"/>
  <c r="AP72" i="25"/>
  <c r="AO72" i="25"/>
  <c r="AN72" i="25"/>
  <c r="AM72" i="25"/>
  <c r="AL72" i="25"/>
  <c r="AP71" i="25"/>
  <c r="AO71" i="25"/>
  <c r="AN71" i="25"/>
  <c r="AM71" i="25"/>
  <c r="AL71" i="25"/>
  <c r="AP70" i="25"/>
  <c r="AO70" i="25"/>
  <c r="AN70" i="25"/>
  <c r="AM70" i="25"/>
  <c r="AL70" i="25"/>
  <c r="AP69" i="25"/>
  <c r="AO69" i="25"/>
  <c r="AN69" i="25"/>
  <c r="AM69" i="25"/>
  <c r="AL69" i="25"/>
  <c r="AP68" i="25"/>
  <c r="AO68" i="25"/>
  <c r="AN68" i="25"/>
  <c r="AM68" i="25"/>
  <c r="AL68" i="25"/>
  <c r="AP67" i="25"/>
  <c r="AO67" i="25"/>
  <c r="AN67" i="25"/>
  <c r="AM67" i="25"/>
  <c r="AL67" i="25"/>
  <c r="AP66" i="25"/>
  <c r="AO66" i="25"/>
  <c r="AN66" i="25"/>
  <c r="AM66" i="25"/>
  <c r="AL66" i="25"/>
  <c r="AP65" i="25" l="1"/>
  <c r="AO65" i="25"/>
  <c r="AN65" i="25"/>
  <c r="AM65" i="25"/>
  <c r="AL65" i="25"/>
  <c r="AJ92" i="25"/>
  <c r="AJ91" i="25"/>
  <c r="AI91" i="25"/>
  <c r="AH91" i="25"/>
  <c r="AG91" i="25"/>
  <c r="AF91" i="25"/>
  <c r="AE91" i="25"/>
  <c r="AD91" i="25"/>
  <c r="AC91" i="25"/>
  <c r="AB91" i="25"/>
  <c r="AA91" i="25"/>
  <c r="Z91" i="25"/>
  <c r="Y91" i="25"/>
  <c r="X91" i="25"/>
  <c r="W91" i="25"/>
  <c r="V91" i="25"/>
  <c r="U91" i="25"/>
  <c r="T91" i="25"/>
  <c r="S91" i="25"/>
  <c r="R91" i="25"/>
  <c r="Q91" i="25"/>
  <c r="P91" i="25"/>
  <c r="O91" i="25"/>
  <c r="N91" i="25"/>
  <c r="M91" i="25"/>
  <c r="L91" i="25"/>
  <c r="K91" i="25"/>
  <c r="J91" i="25"/>
  <c r="I91" i="25"/>
  <c r="H91" i="25"/>
  <c r="G91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AP64" i="25"/>
  <c r="AO64" i="25"/>
  <c r="AN64" i="25"/>
  <c r="AM64" i="25"/>
  <c r="AL64" i="25"/>
  <c r="AP63" i="25"/>
  <c r="AO63" i="25"/>
  <c r="AN63" i="25"/>
  <c r="AM63" i="25"/>
  <c r="AL63" i="25"/>
  <c r="AP62" i="25"/>
  <c r="AO62" i="25"/>
  <c r="AN62" i="25"/>
  <c r="AM62" i="25"/>
  <c r="AL62" i="25"/>
  <c r="AP61" i="25"/>
  <c r="AO61" i="25"/>
  <c r="AN61" i="25"/>
  <c r="AM61" i="25"/>
  <c r="AL61" i="25"/>
  <c r="AP60" i="25"/>
  <c r="AO60" i="25"/>
  <c r="AN60" i="25"/>
  <c r="AM60" i="25"/>
  <c r="AL60" i="25"/>
  <c r="AP59" i="25"/>
  <c r="AO59" i="25"/>
  <c r="AN59" i="25"/>
  <c r="AM59" i="25"/>
  <c r="AL59" i="25"/>
  <c r="AP58" i="25"/>
  <c r="AO58" i="25"/>
  <c r="AN58" i="25"/>
  <c r="AM58" i="25"/>
  <c r="AL58" i="25"/>
  <c r="AP57" i="25"/>
  <c r="AO57" i="25"/>
  <c r="AN57" i="25"/>
  <c r="AM57" i="25"/>
  <c r="AL57" i="25"/>
  <c r="AP56" i="25"/>
  <c r="AO56" i="25"/>
  <c r="AN56" i="25"/>
  <c r="AM56" i="25"/>
  <c r="AL56" i="25"/>
  <c r="AP55" i="25"/>
  <c r="AO55" i="25"/>
  <c r="AN55" i="25"/>
  <c r="AM55" i="25"/>
  <c r="AL55" i="25"/>
  <c r="AP54" i="25"/>
  <c r="AO54" i="25"/>
  <c r="AN54" i="25"/>
  <c r="AM54" i="25"/>
  <c r="AL54" i="25"/>
  <c r="AP53" i="25"/>
  <c r="AO53" i="25"/>
  <c r="AN53" i="25"/>
  <c r="AM53" i="25"/>
  <c r="AL53" i="25"/>
  <c r="AP52" i="25"/>
  <c r="AO52" i="25"/>
  <c r="AN52" i="25"/>
  <c r="AM52" i="25"/>
  <c r="AL52" i="25"/>
  <c r="AP51" i="25"/>
  <c r="AO51" i="25"/>
  <c r="AN51" i="25"/>
  <c r="AM51" i="25"/>
  <c r="AL51" i="25"/>
  <c r="AP50" i="25"/>
  <c r="AO50" i="25"/>
  <c r="AN50" i="25"/>
  <c r="AM50" i="25"/>
  <c r="AL50" i="25"/>
  <c r="AP49" i="25"/>
  <c r="AO49" i="25"/>
  <c r="AN49" i="25"/>
  <c r="AM49" i="25"/>
  <c r="AL49" i="25"/>
  <c r="AP48" i="25"/>
  <c r="AO48" i="25"/>
  <c r="AN48" i="25"/>
  <c r="AM48" i="25"/>
  <c r="AL48" i="25"/>
  <c r="AP47" i="25"/>
  <c r="AO47" i="25"/>
  <c r="AN47" i="25"/>
  <c r="AM47" i="25"/>
  <c r="AL47" i="25"/>
  <c r="AP46" i="25"/>
  <c r="AO46" i="25"/>
  <c r="AN46" i="25"/>
  <c r="AM46" i="25"/>
  <c r="AL46" i="25"/>
  <c r="AP45" i="25"/>
  <c r="AO45" i="25"/>
  <c r="AN45" i="25"/>
  <c r="AM45" i="25"/>
  <c r="AL45" i="25"/>
  <c r="AP44" i="25"/>
  <c r="AO44" i="25"/>
  <c r="AN44" i="25"/>
  <c r="AM44" i="25"/>
  <c r="AL44" i="25"/>
  <c r="AP43" i="25"/>
  <c r="AO43" i="25"/>
  <c r="AN43" i="25"/>
  <c r="AM43" i="25"/>
  <c r="AL43" i="25"/>
  <c r="AP42" i="25"/>
  <c r="AO42" i="25"/>
  <c r="AN42" i="25"/>
  <c r="AM42" i="25"/>
  <c r="AL42" i="25"/>
  <c r="AP41" i="25"/>
  <c r="AO41" i="25"/>
  <c r="AN41" i="25"/>
  <c r="AM41" i="25"/>
  <c r="AL41" i="25"/>
  <c r="AP40" i="25"/>
  <c r="AO40" i="25"/>
  <c r="AN40" i="25"/>
  <c r="AM40" i="25"/>
  <c r="AL40" i="25"/>
  <c r="AP39" i="25"/>
  <c r="AO39" i="25"/>
  <c r="AN39" i="25"/>
  <c r="AM39" i="25"/>
  <c r="AL39" i="25"/>
  <c r="AP38" i="25"/>
  <c r="AO38" i="25"/>
  <c r="AN38" i="25"/>
  <c r="AM38" i="25"/>
  <c r="AL38" i="25"/>
  <c r="AP37" i="25"/>
  <c r="AO37" i="25"/>
  <c r="AN37" i="25"/>
  <c r="AM37" i="25"/>
  <c r="AL37" i="25"/>
  <c r="AP36" i="25"/>
  <c r="AO36" i="25"/>
  <c r="AN36" i="25"/>
  <c r="AM36" i="25"/>
  <c r="AL36" i="25"/>
  <c r="AP35" i="25"/>
  <c r="AO35" i="25"/>
  <c r="AN35" i="25"/>
  <c r="AM35" i="25"/>
  <c r="AL35" i="25"/>
  <c r="AP34" i="25"/>
  <c r="AO34" i="25"/>
  <c r="AN34" i="25"/>
  <c r="AM34" i="25"/>
  <c r="AL34" i="25"/>
  <c r="AP33" i="25"/>
  <c r="AO33" i="25"/>
  <c r="AN33" i="25"/>
  <c r="AM33" i="25"/>
  <c r="AL33" i="25"/>
  <c r="AP32" i="25"/>
  <c r="AO32" i="25"/>
  <c r="AN32" i="25"/>
  <c r="AM32" i="25"/>
  <c r="AL32" i="25"/>
  <c r="AP31" i="25"/>
  <c r="AO31" i="25"/>
  <c r="AN31" i="25"/>
  <c r="AM31" i="25"/>
  <c r="AL31" i="25"/>
  <c r="AP30" i="25"/>
  <c r="AO30" i="25"/>
  <c r="AN30" i="25"/>
  <c r="AM30" i="25"/>
  <c r="AL30" i="25"/>
  <c r="H94" i="25" l="1"/>
  <c r="H92" i="25" s="1"/>
  <c r="V94" i="25"/>
  <c r="V92" i="25" s="1"/>
  <c r="K96" i="25"/>
  <c r="Y96" i="25"/>
  <c r="Z96" i="25"/>
  <c r="AA96" i="25"/>
  <c r="M96" i="25"/>
  <c r="L96" i="25"/>
  <c r="N96" i="25"/>
  <c r="AB96" i="25"/>
  <c r="O96" i="25"/>
  <c r="AC96" i="25"/>
  <c r="I96" i="25"/>
  <c r="W96" i="25"/>
  <c r="F96" i="25"/>
  <c r="T96" i="25"/>
  <c r="AH96" i="25"/>
  <c r="P96" i="25"/>
  <c r="AD96" i="25"/>
  <c r="M94" i="25"/>
  <c r="M92" i="25" s="1"/>
  <c r="AA94" i="25"/>
  <c r="AA92" i="25" s="1"/>
  <c r="J96" i="25"/>
  <c r="X96" i="25"/>
  <c r="G96" i="25"/>
  <c r="U96" i="25"/>
  <c r="AI96" i="25"/>
  <c r="Q96" i="25"/>
  <c r="AE96" i="25"/>
  <c r="N94" i="25"/>
  <c r="N92" i="25" s="1"/>
  <c r="AB94" i="25"/>
  <c r="AB92" i="25" s="1"/>
  <c r="H96" i="25"/>
  <c r="V96" i="25"/>
  <c r="R96" i="25"/>
  <c r="AF96" i="25"/>
  <c r="S96" i="25"/>
  <c r="AG96" i="25"/>
  <c r="F94" i="25"/>
  <c r="F92" i="25" s="1"/>
  <c r="T94" i="25"/>
  <c r="T92" i="25" s="1"/>
  <c r="AH94" i="25"/>
  <c r="AH92" i="25" s="1"/>
  <c r="G94" i="25"/>
  <c r="G92" i="25" s="1"/>
  <c r="U94" i="25"/>
  <c r="U92" i="25" s="1"/>
  <c r="AI94" i="25"/>
  <c r="AI92" i="25" s="1"/>
  <c r="I94" i="25"/>
  <c r="I92" i="25" s="1"/>
  <c r="W94" i="25"/>
  <c r="W92" i="25" s="1"/>
  <c r="J94" i="25"/>
  <c r="J92" i="25" s="1"/>
  <c r="X94" i="25"/>
  <c r="X92" i="25" s="1"/>
  <c r="K94" i="25"/>
  <c r="K92" i="25" s="1"/>
  <c r="Y94" i="25"/>
  <c r="Y92" i="25" s="1"/>
  <c r="L94" i="25"/>
  <c r="L92" i="25" s="1"/>
  <c r="Z94" i="25"/>
  <c r="Z92" i="25" s="1"/>
  <c r="O94" i="25"/>
  <c r="O92" i="25" s="1"/>
  <c r="AC94" i="25"/>
  <c r="AC92" i="25" s="1"/>
  <c r="P94" i="25"/>
  <c r="P92" i="25" s="1"/>
  <c r="AD94" i="25"/>
  <c r="AD92" i="25" s="1"/>
  <c r="Q94" i="25"/>
  <c r="Q92" i="25" s="1"/>
  <c r="AE94" i="25"/>
  <c r="AE92" i="25" s="1"/>
  <c r="R94" i="25"/>
  <c r="R92" i="25" s="1"/>
  <c r="AF94" i="25"/>
  <c r="AF92" i="25" s="1"/>
  <c r="S94" i="25"/>
  <c r="S92" i="25" s="1"/>
  <c r="AG94" i="25"/>
  <c r="AG92" i="25" s="1"/>
  <c r="W42" i="23" l="1"/>
  <c r="G29" i="9" l="1"/>
  <c r="H29" i="9"/>
  <c r="I29" i="9"/>
  <c r="J29" i="9"/>
  <c r="K29" i="9"/>
  <c r="L29" i="9"/>
  <c r="F29" i="9"/>
  <c r="AP15" i="10"/>
  <c r="AP16" i="10"/>
  <c r="AP17" i="10"/>
  <c r="AP18" i="10"/>
  <c r="AP19" i="10"/>
  <c r="AO15" i="10"/>
  <c r="AO16" i="10"/>
  <c r="AO17" i="10"/>
  <c r="AO18" i="10"/>
  <c r="AO19" i="10"/>
  <c r="AN15" i="10"/>
  <c r="AN16" i="10"/>
  <c r="AN17" i="10"/>
  <c r="AN18" i="10"/>
  <c r="AN19" i="10"/>
  <c r="AM15" i="10"/>
  <c r="AM16" i="10"/>
  <c r="AM17" i="10"/>
  <c r="AM18" i="10"/>
  <c r="AM19" i="10"/>
  <c r="AL15" i="10"/>
  <c r="AL16" i="10"/>
  <c r="AL17" i="10"/>
  <c r="AL18" i="10"/>
  <c r="AL19" i="10"/>
  <c r="AP14" i="10"/>
  <c r="AO14" i="10"/>
  <c r="AN14" i="10"/>
  <c r="AM14" i="10"/>
  <c r="AL14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AP13" i="10"/>
  <c r="AO13" i="10"/>
  <c r="AN13" i="10"/>
  <c r="AM13" i="10"/>
  <c r="AL13" i="10"/>
  <c r="AP12" i="10"/>
  <c r="AO12" i="10"/>
  <c r="AN12" i="10"/>
  <c r="AM12" i="10"/>
  <c r="AL12" i="10"/>
  <c r="AP11" i="10"/>
  <c r="AO11" i="10"/>
  <c r="AN11" i="10"/>
  <c r="AM11" i="10"/>
  <c r="AL11" i="10"/>
  <c r="AP10" i="10"/>
  <c r="AO10" i="10"/>
  <c r="AN10" i="10"/>
  <c r="AM10" i="10"/>
  <c r="AL10" i="10"/>
  <c r="AP9" i="10"/>
  <c r="AO9" i="10"/>
  <c r="AN9" i="10"/>
  <c r="AM9" i="10"/>
  <c r="AL9" i="10"/>
  <c r="AP8" i="10"/>
  <c r="AO8" i="10"/>
  <c r="AN8" i="10"/>
  <c r="AM8" i="10"/>
  <c r="AL8" i="10"/>
  <c r="AP7" i="10"/>
  <c r="AO7" i="10"/>
  <c r="AN7" i="10"/>
  <c r="AM7" i="10"/>
  <c r="AL7" i="10"/>
  <c r="AP6" i="10"/>
  <c r="AO6" i="10"/>
  <c r="AN6" i="10"/>
  <c r="AM6" i="10"/>
  <c r="AL6" i="10"/>
  <c r="AP5" i="10"/>
  <c r="AO5" i="10"/>
  <c r="AN5" i="10"/>
  <c r="AM5" i="10"/>
  <c r="AL5" i="10"/>
  <c r="I28" i="10" l="1"/>
  <c r="I26" i="10" s="1"/>
  <c r="W28" i="10"/>
  <c r="W26" i="10" s="1"/>
  <c r="S30" i="10"/>
  <c r="X28" i="10"/>
  <c r="X26" i="10" s="1"/>
  <c r="Y28" i="10"/>
  <c r="Y26" i="10" s="1"/>
  <c r="AG30" i="10"/>
  <c r="Q28" i="10"/>
  <c r="Q26" i="10" s="1"/>
  <c r="O28" i="10"/>
  <c r="O26" i="10" s="1"/>
  <c r="F30" i="10"/>
  <c r="T30" i="10"/>
  <c r="AH30" i="10"/>
  <c r="AE28" i="10"/>
  <c r="AE26" i="10" s="1"/>
  <c r="G30" i="10"/>
  <c r="U30" i="10"/>
  <c r="AI30" i="10"/>
  <c r="H28" i="10"/>
  <c r="H26" i="10" s="1"/>
  <c r="V28" i="10"/>
  <c r="V26" i="10" s="1"/>
  <c r="Z28" i="10"/>
  <c r="Z26" i="10" s="1"/>
  <c r="AA28" i="10"/>
  <c r="AA26" i="10" s="1"/>
  <c r="M30" i="10"/>
  <c r="AD28" i="10"/>
  <c r="AD26" i="10" s="1"/>
  <c r="AC28" i="10"/>
  <c r="AC26" i="10" s="1"/>
  <c r="R30" i="10"/>
  <c r="AF30" i="10"/>
  <c r="P28" i="10"/>
  <c r="P26" i="10" s="1"/>
  <c r="N28" i="10"/>
  <c r="N26" i="10" s="1"/>
  <c r="AB28" i="10"/>
  <c r="AB26" i="10" s="1"/>
  <c r="R28" i="10"/>
  <c r="R26" i="10" s="1"/>
  <c r="AF28" i="10"/>
  <c r="AF26" i="10" s="1"/>
  <c r="X30" i="10"/>
  <c r="G28" i="10"/>
  <c r="G26" i="10" s="1"/>
  <c r="AI28" i="10"/>
  <c r="AI26" i="10" s="1"/>
  <c r="AG28" i="10"/>
  <c r="AG26" i="10" s="1"/>
  <c r="J30" i="10"/>
  <c r="K30" i="10"/>
  <c r="L30" i="10"/>
  <c r="Z30" i="10"/>
  <c r="AA30" i="10"/>
  <c r="N30" i="10"/>
  <c r="AB30" i="10"/>
  <c r="J28" i="10"/>
  <c r="J26" i="10" s="1"/>
  <c r="U28" i="10"/>
  <c r="U26" i="10" s="1"/>
  <c r="S28" i="10"/>
  <c r="S26" i="10" s="1"/>
  <c r="Y30" i="10"/>
  <c r="O30" i="10"/>
  <c r="AC30" i="10"/>
  <c r="K28" i="10"/>
  <c r="K26" i="10" s="1"/>
  <c r="P30" i="10"/>
  <c r="AD30" i="10"/>
  <c r="L28" i="10"/>
  <c r="L26" i="10" s="1"/>
  <c r="H30" i="10"/>
  <c r="Q30" i="10"/>
  <c r="AE30" i="10"/>
  <c r="M28" i="10"/>
  <c r="M26" i="10" s="1"/>
  <c r="F28" i="10"/>
  <c r="F26" i="10" s="1"/>
  <c r="T28" i="10"/>
  <c r="T26" i="10" s="1"/>
  <c r="AH28" i="10"/>
  <c r="AH26" i="10" s="1"/>
  <c r="V30" i="10"/>
  <c r="I30" i="10"/>
  <c r="W30" i="10"/>
  <c r="G44" i="23" l="1"/>
  <c r="H44" i="23"/>
  <c r="I44" i="23"/>
  <c r="J44" i="23"/>
  <c r="K44" i="23"/>
  <c r="L44" i="23"/>
  <c r="M44" i="23"/>
  <c r="N44" i="23"/>
  <c r="O44" i="23"/>
  <c r="P44" i="23"/>
  <c r="Q44" i="23"/>
  <c r="R44" i="23"/>
  <c r="S44" i="23"/>
  <c r="T44" i="23"/>
  <c r="U44" i="23"/>
  <c r="V44" i="23"/>
  <c r="W44" i="23"/>
  <c r="X44" i="23"/>
  <c r="Y44" i="23"/>
  <c r="Z44" i="23"/>
  <c r="AA44" i="23"/>
  <c r="AB44" i="23"/>
  <c r="AC44" i="23"/>
  <c r="AD44" i="23"/>
  <c r="AE44" i="23"/>
  <c r="AF44" i="23"/>
  <c r="AG44" i="23"/>
  <c r="AH44" i="23"/>
  <c r="AI44" i="23"/>
  <c r="AJ44" i="23"/>
  <c r="G43" i="23"/>
  <c r="H43" i="23"/>
  <c r="I43" i="23"/>
  <c r="J43" i="23"/>
  <c r="K43" i="23"/>
  <c r="L43" i="23"/>
  <c r="M43" i="23"/>
  <c r="N43" i="23"/>
  <c r="O43" i="23"/>
  <c r="P43" i="23"/>
  <c r="Q43" i="23"/>
  <c r="R43" i="23"/>
  <c r="S43" i="23"/>
  <c r="T43" i="23"/>
  <c r="U43" i="23"/>
  <c r="V43" i="23"/>
  <c r="W43" i="23"/>
  <c r="X43" i="23"/>
  <c r="Y43" i="23"/>
  <c r="Z43" i="23"/>
  <c r="AA43" i="23"/>
  <c r="AB43" i="23"/>
  <c r="AC43" i="23"/>
  <c r="AD43" i="23"/>
  <c r="AE43" i="23"/>
  <c r="AF43" i="23"/>
  <c r="AG43" i="23"/>
  <c r="AH43" i="23"/>
  <c r="AI43" i="23"/>
  <c r="AJ43" i="23"/>
  <c r="G42" i="23"/>
  <c r="H42" i="23"/>
  <c r="I42" i="23"/>
  <c r="J42" i="23"/>
  <c r="K42" i="23"/>
  <c r="L42" i="23"/>
  <c r="M42" i="23"/>
  <c r="N42" i="23"/>
  <c r="O42" i="23"/>
  <c r="P42" i="23"/>
  <c r="Q42" i="23"/>
  <c r="R42" i="23"/>
  <c r="S42" i="23"/>
  <c r="T42" i="23"/>
  <c r="U42" i="23"/>
  <c r="V42" i="23"/>
  <c r="X42" i="23"/>
  <c r="Y42" i="23"/>
  <c r="Z42" i="23"/>
  <c r="AA42" i="23"/>
  <c r="AB42" i="23"/>
  <c r="AC42" i="23"/>
  <c r="AD42" i="23"/>
  <c r="AE42" i="23"/>
  <c r="AF42" i="23"/>
  <c r="AG42" i="23"/>
  <c r="AH42" i="23"/>
  <c r="AI42" i="23"/>
  <c r="AJ42" i="23"/>
  <c r="F44" i="23"/>
  <c r="F43" i="23"/>
  <c r="F42" i="23"/>
  <c r="AJ48" i="23"/>
  <c r="AJ47" i="23"/>
  <c r="AI47" i="23"/>
  <c r="AH47" i="23"/>
  <c r="AG47" i="23"/>
  <c r="AF47" i="23"/>
  <c r="AE47" i="23"/>
  <c r="AD47" i="23"/>
  <c r="AC47" i="23"/>
  <c r="AB47" i="23"/>
  <c r="AA47" i="23"/>
  <c r="Z47" i="23"/>
  <c r="Y47" i="23"/>
  <c r="X47" i="23"/>
  <c r="W47" i="23"/>
  <c r="V47" i="23"/>
  <c r="U47" i="23"/>
  <c r="T47" i="23"/>
  <c r="S47" i="23"/>
  <c r="R47" i="23"/>
  <c r="Q47" i="23"/>
  <c r="P47" i="23"/>
  <c r="O47" i="23"/>
  <c r="N47" i="23"/>
  <c r="M47" i="23"/>
  <c r="L47" i="23"/>
  <c r="K47" i="23"/>
  <c r="J47" i="23"/>
  <c r="I47" i="23"/>
  <c r="H47" i="23"/>
  <c r="G47" i="23"/>
  <c r="F47" i="23"/>
  <c r="AJ46" i="23"/>
  <c r="AI46" i="23"/>
  <c r="AH46" i="23"/>
  <c r="AG46" i="23"/>
  <c r="AF46" i="23"/>
  <c r="AE46" i="23"/>
  <c r="AD46" i="23"/>
  <c r="AC46" i="23"/>
  <c r="AB46" i="23"/>
  <c r="AA46" i="23"/>
  <c r="Z46" i="23"/>
  <c r="Y46" i="23"/>
  <c r="X46" i="23"/>
  <c r="W46" i="23"/>
  <c r="V46" i="23"/>
  <c r="U46" i="23"/>
  <c r="T46" i="23"/>
  <c r="S46" i="23"/>
  <c r="R46" i="23"/>
  <c r="Q46" i="23"/>
  <c r="P46" i="23"/>
  <c r="O46" i="23"/>
  <c r="N46" i="23"/>
  <c r="M46" i="23"/>
  <c r="L46" i="23"/>
  <c r="K46" i="23"/>
  <c r="J46" i="23"/>
  <c r="I46" i="23"/>
  <c r="H46" i="23"/>
  <c r="G46" i="23"/>
  <c r="F46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AP40" i="23"/>
  <c r="AO40" i="23"/>
  <c r="AN40" i="23"/>
  <c r="AM40" i="23"/>
  <c r="AL40" i="23"/>
  <c r="AP39" i="23"/>
  <c r="AO39" i="23"/>
  <c r="AN39" i="23"/>
  <c r="AM39" i="23"/>
  <c r="AL39" i="23"/>
  <c r="AP38" i="23"/>
  <c r="AO38" i="23"/>
  <c r="AN38" i="23"/>
  <c r="AM38" i="23"/>
  <c r="AL38" i="23"/>
  <c r="AP37" i="23"/>
  <c r="AO37" i="23"/>
  <c r="AN37" i="23"/>
  <c r="AM37" i="23"/>
  <c r="AL37" i="23"/>
  <c r="AP36" i="23"/>
  <c r="AO36" i="23"/>
  <c r="AN36" i="23"/>
  <c r="AM36" i="23"/>
  <c r="AL36" i="23"/>
  <c r="AP35" i="23"/>
  <c r="AO35" i="23"/>
  <c r="AN35" i="23"/>
  <c r="AM35" i="23"/>
  <c r="AL35" i="23"/>
  <c r="AP34" i="23"/>
  <c r="AO34" i="23"/>
  <c r="AN34" i="23"/>
  <c r="AM34" i="23"/>
  <c r="AL34" i="23"/>
  <c r="AP33" i="23"/>
  <c r="AO33" i="23"/>
  <c r="AN33" i="23"/>
  <c r="AM33" i="23"/>
  <c r="AL33" i="23"/>
  <c r="AP32" i="23"/>
  <c r="AO32" i="23"/>
  <c r="AN32" i="23"/>
  <c r="AM32" i="23"/>
  <c r="AL32" i="23"/>
  <c r="AP31" i="23"/>
  <c r="AO31" i="23"/>
  <c r="AN31" i="23"/>
  <c r="AM31" i="23"/>
  <c r="AL31" i="23"/>
  <c r="AP30" i="23"/>
  <c r="AO30" i="23"/>
  <c r="AN30" i="23"/>
  <c r="AM30" i="23"/>
  <c r="AL30" i="23"/>
  <c r="AP29" i="23"/>
  <c r="AO29" i="23"/>
  <c r="AN29" i="23"/>
  <c r="AM29" i="23"/>
  <c r="AL29" i="23"/>
  <c r="AP28" i="23"/>
  <c r="AO28" i="23"/>
  <c r="AN28" i="23"/>
  <c r="AM28" i="23"/>
  <c r="AL28" i="23"/>
  <c r="AP27" i="23"/>
  <c r="AO27" i="23"/>
  <c r="AN27" i="23"/>
  <c r="AM27" i="23"/>
  <c r="AL27" i="23"/>
  <c r="AP26" i="23"/>
  <c r="AO26" i="23"/>
  <c r="AN26" i="23"/>
  <c r="AM26" i="23"/>
  <c r="AL26" i="23"/>
  <c r="AP25" i="23"/>
  <c r="AO25" i="23"/>
  <c r="AN25" i="23"/>
  <c r="AM25" i="23"/>
  <c r="AL25" i="23"/>
  <c r="AP24" i="23"/>
  <c r="AO24" i="23"/>
  <c r="AN24" i="23"/>
  <c r="AM24" i="23"/>
  <c r="AL24" i="23"/>
  <c r="AP23" i="23"/>
  <c r="AO23" i="23"/>
  <c r="AN23" i="23"/>
  <c r="AM23" i="23"/>
  <c r="AL23" i="23"/>
  <c r="AP22" i="23"/>
  <c r="AO22" i="23"/>
  <c r="AN22" i="23"/>
  <c r="AM22" i="23"/>
  <c r="AL22" i="23"/>
  <c r="AP21" i="23"/>
  <c r="AO21" i="23"/>
  <c r="AN21" i="23"/>
  <c r="AM21" i="23"/>
  <c r="AL21" i="23"/>
  <c r="AP20" i="23"/>
  <c r="AO20" i="23"/>
  <c r="AN20" i="23"/>
  <c r="AM20" i="23"/>
  <c r="AL20" i="23"/>
  <c r="AP19" i="23"/>
  <c r="AO19" i="23"/>
  <c r="AN19" i="23"/>
  <c r="AM19" i="23"/>
  <c r="AL19" i="23"/>
  <c r="AP18" i="23"/>
  <c r="AO18" i="23"/>
  <c r="AN18" i="23"/>
  <c r="AM18" i="23"/>
  <c r="AL18" i="23"/>
  <c r="AP17" i="23"/>
  <c r="AO17" i="23"/>
  <c r="AN17" i="23"/>
  <c r="AM17" i="23"/>
  <c r="AL17" i="23"/>
  <c r="AP16" i="23"/>
  <c r="AO16" i="23"/>
  <c r="AN16" i="23"/>
  <c r="AM16" i="23"/>
  <c r="AL16" i="23"/>
  <c r="AP15" i="23"/>
  <c r="AO15" i="23"/>
  <c r="AN15" i="23"/>
  <c r="AM15" i="23"/>
  <c r="AL15" i="23"/>
  <c r="AP14" i="23"/>
  <c r="AO14" i="23"/>
  <c r="AN14" i="23"/>
  <c r="AM14" i="23"/>
  <c r="AL14" i="23"/>
  <c r="AP13" i="23"/>
  <c r="AO13" i="23"/>
  <c r="AN13" i="23"/>
  <c r="AM13" i="23"/>
  <c r="AL13" i="23"/>
  <c r="AP12" i="23"/>
  <c r="AO12" i="23"/>
  <c r="AN12" i="23"/>
  <c r="AM12" i="23"/>
  <c r="AL12" i="23"/>
  <c r="AP11" i="23"/>
  <c r="AO11" i="23"/>
  <c r="AN11" i="23"/>
  <c r="AM11" i="23"/>
  <c r="AL11" i="23"/>
  <c r="AP10" i="23"/>
  <c r="AO10" i="23"/>
  <c r="AN10" i="23"/>
  <c r="AM10" i="23"/>
  <c r="AL10" i="23"/>
  <c r="AP9" i="23"/>
  <c r="AO9" i="23"/>
  <c r="AN9" i="23"/>
  <c r="AM9" i="23"/>
  <c r="AL9" i="23"/>
  <c r="AP8" i="23"/>
  <c r="AO8" i="23"/>
  <c r="AN8" i="23"/>
  <c r="AM8" i="23"/>
  <c r="AL8" i="23"/>
  <c r="AP7" i="23"/>
  <c r="AO7" i="23"/>
  <c r="AN7" i="23"/>
  <c r="AM7" i="23"/>
  <c r="AL7" i="23"/>
  <c r="AP6" i="23"/>
  <c r="AO6" i="23"/>
  <c r="AN6" i="23"/>
  <c r="AM6" i="23"/>
  <c r="AL6" i="23"/>
  <c r="AP5" i="23"/>
  <c r="AO5" i="23"/>
  <c r="AN5" i="23"/>
  <c r="AM5" i="23"/>
  <c r="AL5" i="23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AJ29" i="9"/>
  <c r="M29" i="9"/>
  <c r="G27" i="9"/>
  <c r="H27" i="9"/>
  <c r="I27" i="9"/>
  <c r="J27" i="9"/>
  <c r="K27" i="9"/>
  <c r="L27" i="9"/>
  <c r="M27" i="9"/>
  <c r="N27" i="9"/>
  <c r="O27" i="9"/>
  <c r="P27" i="9"/>
  <c r="Q27" i="9"/>
  <c r="R27" i="9"/>
  <c r="S27" i="9"/>
  <c r="T27" i="9"/>
  <c r="U27" i="9"/>
  <c r="V27" i="9"/>
  <c r="W27" i="9"/>
  <c r="X27" i="9"/>
  <c r="Y27" i="9"/>
  <c r="Z27" i="9"/>
  <c r="AA27" i="9"/>
  <c r="AB27" i="9"/>
  <c r="AC27" i="9"/>
  <c r="AD27" i="9"/>
  <c r="AE27" i="9"/>
  <c r="AF27" i="9"/>
  <c r="AG27" i="9"/>
  <c r="AH27" i="9"/>
  <c r="AI27" i="9"/>
  <c r="AJ27" i="9"/>
  <c r="F27" i="9"/>
  <c r="G26" i="9"/>
  <c r="H26" i="9"/>
  <c r="I26" i="9"/>
  <c r="J26" i="9"/>
  <c r="K26" i="9"/>
  <c r="L26" i="9"/>
  <c r="M26" i="9"/>
  <c r="N26" i="9"/>
  <c r="O26" i="9"/>
  <c r="P26" i="9"/>
  <c r="Q26" i="9"/>
  <c r="R26" i="9"/>
  <c r="S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AJ26" i="9"/>
  <c r="F26" i="9"/>
  <c r="G25" i="9"/>
  <c r="H25" i="9"/>
  <c r="I25" i="9"/>
  <c r="J25" i="9"/>
  <c r="K25" i="9"/>
  <c r="L25" i="9"/>
  <c r="M25" i="9"/>
  <c r="N25" i="9"/>
  <c r="O25" i="9"/>
  <c r="P25" i="9"/>
  <c r="Q25" i="9"/>
  <c r="R25" i="9"/>
  <c r="S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AJ25" i="9"/>
  <c r="F25" i="9"/>
  <c r="AL22" i="9"/>
  <c r="AM22" i="9"/>
  <c r="AN22" i="9"/>
  <c r="AO22" i="9"/>
  <c r="AP22" i="9"/>
  <c r="AP21" i="9"/>
  <c r="AO21" i="9"/>
  <c r="AN21" i="9"/>
  <c r="AM21" i="9"/>
  <c r="AL21" i="9"/>
  <c r="AJ16" i="22"/>
  <c r="AJ15" i="22"/>
  <c r="AI15" i="22"/>
  <c r="AH15" i="22"/>
  <c r="AG15" i="22"/>
  <c r="AF15" i="22"/>
  <c r="AE15" i="22"/>
  <c r="AD15" i="22"/>
  <c r="AC15" i="22"/>
  <c r="AB15" i="22"/>
  <c r="AA15" i="22"/>
  <c r="Z15" i="22"/>
  <c r="Y15" i="22"/>
  <c r="X15" i="22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G15" i="22"/>
  <c r="F15" i="22"/>
  <c r="AJ14" i="22"/>
  <c r="AI14" i="22"/>
  <c r="AH14" i="22"/>
  <c r="AG14" i="22"/>
  <c r="AF14" i="22"/>
  <c r="AE14" i="22"/>
  <c r="AD14" i="22"/>
  <c r="AC14" i="22"/>
  <c r="AB14" i="22"/>
  <c r="AA14" i="22"/>
  <c r="Z14" i="22"/>
  <c r="Y14" i="22"/>
  <c r="X14" i="22"/>
  <c r="W14" i="22"/>
  <c r="V14" i="22"/>
  <c r="U14" i="22"/>
  <c r="T14" i="22"/>
  <c r="S14" i="22"/>
  <c r="R14" i="22"/>
  <c r="Q14" i="22"/>
  <c r="P14" i="22"/>
  <c r="O14" i="22"/>
  <c r="N14" i="22"/>
  <c r="M14" i="22"/>
  <c r="L14" i="22"/>
  <c r="K14" i="22"/>
  <c r="J14" i="22"/>
  <c r="I14" i="22"/>
  <c r="H14" i="22"/>
  <c r="G14" i="22"/>
  <c r="F14" i="22"/>
  <c r="AJ13" i="22"/>
  <c r="AI13" i="22"/>
  <c r="AH13" i="22"/>
  <c r="AG13" i="22"/>
  <c r="AF13" i="22"/>
  <c r="AE13" i="22"/>
  <c r="AD13" i="22"/>
  <c r="AC13" i="22"/>
  <c r="AB13" i="22"/>
  <c r="AA13" i="22"/>
  <c r="Z13" i="22"/>
  <c r="Y13" i="22"/>
  <c r="X13" i="22"/>
  <c r="W13" i="22"/>
  <c r="V13" i="22"/>
  <c r="U13" i="22"/>
  <c r="T13" i="22"/>
  <c r="S13" i="22"/>
  <c r="R13" i="22"/>
  <c r="Q13" i="22"/>
  <c r="P13" i="22"/>
  <c r="O13" i="22"/>
  <c r="N13" i="22"/>
  <c r="M13" i="22"/>
  <c r="L13" i="22"/>
  <c r="K13" i="22"/>
  <c r="J13" i="22"/>
  <c r="I13" i="22"/>
  <c r="H13" i="22"/>
  <c r="G13" i="22"/>
  <c r="F13" i="22"/>
  <c r="AJ12" i="22"/>
  <c r="AI12" i="22"/>
  <c r="AH12" i="22"/>
  <c r="AG12" i="22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AJ11" i="22"/>
  <c r="AI11" i="22"/>
  <c r="AH11" i="22"/>
  <c r="AG11" i="22"/>
  <c r="AF11" i="22"/>
  <c r="AE11" i="22"/>
  <c r="AD11" i="22"/>
  <c r="AC11" i="22"/>
  <c r="AB11" i="22"/>
  <c r="AA11" i="22"/>
  <c r="Z11" i="22"/>
  <c r="Y11" i="22"/>
  <c r="X11" i="22"/>
  <c r="W11" i="22"/>
  <c r="V11" i="22"/>
  <c r="U11" i="22"/>
  <c r="T11" i="22"/>
  <c r="S11" i="22"/>
  <c r="R11" i="22"/>
  <c r="Q11" i="22"/>
  <c r="P11" i="22"/>
  <c r="O11" i="22"/>
  <c r="N11" i="22"/>
  <c r="M11" i="22"/>
  <c r="L11" i="22"/>
  <c r="K11" i="22"/>
  <c r="J11" i="22"/>
  <c r="I11" i="22"/>
  <c r="H11" i="22"/>
  <c r="G11" i="22"/>
  <c r="F11" i="22"/>
  <c r="AJ10" i="22"/>
  <c r="AI10" i="22"/>
  <c r="AH10" i="22"/>
  <c r="AG10" i="22"/>
  <c r="AF10" i="22"/>
  <c r="AE10" i="22"/>
  <c r="AD10" i="22"/>
  <c r="AC10" i="22"/>
  <c r="AB10" i="22"/>
  <c r="AA10" i="22"/>
  <c r="Z10" i="22"/>
  <c r="Y10" i="22"/>
  <c r="X10" i="22"/>
  <c r="W10" i="22"/>
  <c r="V10" i="22"/>
  <c r="U10" i="22"/>
  <c r="T10" i="22"/>
  <c r="S10" i="22"/>
  <c r="R10" i="22"/>
  <c r="Q10" i="22"/>
  <c r="P10" i="22"/>
  <c r="O10" i="22"/>
  <c r="N10" i="22"/>
  <c r="M10" i="22"/>
  <c r="L10" i="22"/>
  <c r="K10" i="22"/>
  <c r="J10" i="22"/>
  <c r="I10" i="22"/>
  <c r="H10" i="22"/>
  <c r="G10" i="22"/>
  <c r="F10" i="22"/>
  <c r="AP8" i="22"/>
  <c r="AO8" i="22"/>
  <c r="AN8" i="22"/>
  <c r="AM8" i="22"/>
  <c r="AL8" i="22"/>
  <c r="AP7" i="22"/>
  <c r="AO7" i="22"/>
  <c r="AN7" i="22"/>
  <c r="AM7" i="22"/>
  <c r="AL7" i="22"/>
  <c r="AP5" i="22"/>
  <c r="AO5" i="22"/>
  <c r="AN5" i="22"/>
  <c r="AM5" i="22"/>
  <c r="AL5" i="22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F14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F13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F12" i="21"/>
  <c r="AJ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AP10" i="21"/>
  <c r="AO10" i="21"/>
  <c r="AN10" i="21"/>
  <c r="AM10" i="21"/>
  <c r="AL10" i="21"/>
  <c r="AP9" i="21"/>
  <c r="AO9" i="21"/>
  <c r="AN9" i="21"/>
  <c r="AM9" i="21"/>
  <c r="AL9" i="21"/>
  <c r="AP8" i="21"/>
  <c r="AO8" i="21"/>
  <c r="AN8" i="21"/>
  <c r="AM8" i="21"/>
  <c r="AL8" i="21"/>
  <c r="AP7" i="21"/>
  <c r="AO7" i="21"/>
  <c r="AN7" i="21"/>
  <c r="AM7" i="21"/>
  <c r="AL7" i="21"/>
  <c r="AP6" i="21"/>
  <c r="AO6" i="21"/>
  <c r="AN6" i="21"/>
  <c r="AM6" i="21"/>
  <c r="AL6" i="21"/>
  <c r="AP5" i="21"/>
  <c r="AO5" i="21"/>
  <c r="AN5" i="21"/>
  <c r="AM5" i="21"/>
  <c r="AL5" i="21"/>
  <c r="G24" i="19"/>
  <c r="H24" i="19"/>
  <c r="I24" i="19"/>
  <c r="J24" i="19"/>
  <c r="K24" i="19"/>
  <c r="L24" i="19"/>
  <c r="M24" i="19"/>
  <c r="N24" i="19"/>
  <c r="O24" i="19"/>
  <c r="P24" i="19"/>
  <c r="Q24" i="19"/>
  <c r="R24" i="19"/>
  <c r="S24" i="19"/>
  <c r="T24" i="19"/>
  <c r="U24" i="19"/>
  <c r="V24" i="19"/>
  <c r="W24" i="19"/>
  <c r="X24" i="19"/>
  <c r="Y24" i="19"/>
  <c r="Z24" i="19"/>
  <c r="AA24" i="19"/>
  <c r="AB24" i="19"/>
  <c r="AC24" i="19"/>
  <c r="AD24" i="19"/>
  <c r="AE24" i="19"/>
  <c r="AF24" i="19"/>
  <c r="AG24" i="19"/>
  <c r="AH24" i="19"/>
  <c r="AI24" i="19"/>
  <c r="F24" i="19"/>
  <c r="G23" i="19"/>
  <c r="H23" i="19"/>
  <c r="I23" i="19"/>
  <c r="J23" i="19"/>
  <c r="K23" i="19"/>
  <c r="L23" i="19"/>
  <c r="M23" i="19"/>
  <c r="N23" i="19"/>
  <c r="O23" i="19"/>
  <c r="P23" i="19"/>
  <c r="Q23" i="19"/>
  <c r="R23" i="19"/>
  <c r="S23" i="19"/>
  <c r="T23" i="19"/>
  <c r="U23" i="19"/>
  <c r="V23" i="19"/>
  <c r="W23" i="19"/>
  <c r="X23" i="19"/>
  <c r="Y23" i="19"/>
  <c r="Z23" i="19"/>
  <c r="AA23" i="19"/>
  <c r="AB23" i="19"/>
  <c r="AC23" i="19"/>
  <c r="AD23" i="19"/>
  <c r="AE23" i="19"/>
  <c r="AF23" i="19"/>
  <c r="AG23" i="19"/>
  <c r="AH23" i="19"/>
  <c r="AI23" i="19"/>
  <c r="AJ23" i="19"/>
  <c r="F23" i="19"/>
  <c r="F25" i="19"/>
  <c r="X50" i="23" l="1"/>
  <c r="X48" i="23" s="1"/>
  <c r="J50" i="23"/>
  <c r="J48" i="23" s="1"/>
  <c r="H52" i="23"/>
  <c r="V52" i="23"/>
  <c r="R52" i="23"/>
  <c r="AF52" i="23"/>
  <c r="O52" i="23"/>
  <c r="AC52" i="23"/>
  <c r="L52" i="23"/>
  <c r="Z52" i="23"/>
  <c r="W52" i="23"/>
  <c r="S52" i="23"/>
  <c r="AG52" i="23"/>
  <c r="M52" i="23"/>
  <c r="AA52" i="23"/>
  <c r="X52" i="23"/>
  <c r="F52" i="23"/>
  <c r="T52" i="23"/>
  <c r="AH52" i="23"/>
  <c r="G52" i="23"/>
  <c r="U52" i="23"/>
  <c r="AI52" i="23"/>
  <c r="H50" i="23"/>
  <c r="H48" i="23" s="1"/>
  <c r="V50" i="23"/>
  <c r="V48" i="23" s="1"/>
  <c r="I50" i="23"/>
  <c r="I48" i="23" s="1"/>
  <c r="W50" i="23"/>
  <c r="W48" i="23" s="1"/>
  <c r="I52" i="23"/>
  <c r="J52" i="23"/>
  <c r="Q52" i="23"/>
  <c r="Q50" i="23"/>
  <c r="Q48" i="23" s="1"/>
  <c r="AE52" i="23"/>
  <c r="AE50" i="23"/>
  <c r="AE48" i="23" s="1"/>
  <c r="N52" i="23"/>
  <c r="N50" i="23"/>
  <c r="N48" i="23" s="1"/>
  <c r="AB52" i="23"/>
  <c r="AB50" i="23"/>
  <c r="AB48" i="23" s="1"/>
  <c r="K50" i="23"/>
  <c r="K48" i="23" s="1"/>
  <c r="K52" i="23"/>
  <c r="Y52" i="23"/>
  <c r="Y50" i="23"/>
  <c r="Y48" i="23" s="1"/>
  <c r="P52" i="23"/>
  <c r="AD52" i="23"/>
  <c r="L50" i="23"/>
  <c r="L48" i="23" s="1"/>
  <c r="Z50" i="23"/>
  <c r="Z48" i="23" s="1"/>
  <c r="M50" i="23"/>
  <c r="M48" i="23" s="1"/>
  <c r="AA50" i="23"/>
  <c r="AA48" i="23" s="1"/>
  <c r="O50" i="23"/>
  <c r="O48" i="23" s="1"/>
  <c r="AC50" i="23"/>
  <c r="AC48" i="23" s="1"/>
  <c r="P50" i="23"/>
  <c r="P48" i="23" s="1"/>
  <c r="AD50" i="23"/>
  <c r="AD48" i="23" s="1"/>
  <c r="R50" i="23"/>
  <c r="R48" i="23" s="1"/>
  <c r="AF50" i="23"/>
  <c r="AF48" i="23" s="1"/>
  <c r="S50" i="23"/>
  <c r="S48" i="23" s="1"/>
  <c r="AG50" i="23"/>
  <c r="AG48" i="23" s="1"/>
  <c r="F50" i="23"/>
  <c r="F48" i="23" s="1"/>
  <c r="T50" i="23"/>
  <c r="T48" i="23" s="1"/>
  <c r="AH50" i="23"/>
  <c r="AH48" i="23" s="1"/>
  <c r="G50" i="23"/>
  <c r="G48" i="23" s="1"/>
  <c r="U50" i="23"/>
  <c r="U48" i="23" s="1"/>
  <c r="AI50" i="23"/>
  <c r="AI48" i="23" s="1"/>
  <c r="X18" i="22"/>
  <c r="X16" i="22" s="1"/>
  <c r="V18" i="22"/>
  <c r="V16" i="22" s="1"/>
  <c r="AD20" i="22"/>
  <c r="J18" i="22"/>
  <c r="J16" i="22" s="1"/>
  <c r="Q20" i="22"/>
  <c r="AE20" i="22"/>
  <c r="H20" i="22"/>
  <c r="V20" i="22"/>
  <c r="H18" i="22"/>
  <c r="H16" i="22" s="1"/>
  <c r="T20" i="22"/>
  <c r="P20" i="22"/>
  <c r="R20" i="22"/>
  <c r="AF20" i="22"/>
  <c r="L18" i="22"/>
  <c r="L16" i="22" s="1"/>
  <c r="Z18" i="22"/>
  <c r="Z16" i="22" s="1"/>
  <c r="I20" i="22"/>
  <c r="W20" i="22"/>
  <c r="S18" i="22"/>
  <c r="S16" i="22" s="1"/>
  <c r="AG18" i="22"/>
  <c r="AG16" i="22" s="1"/>
  <c r="F20" i="22"/>
  <c r="AH20" i="22"/>
  <c r="G18" i="22"/>
  <c r="G16" i="22" s="1"/>
  <c r="U20" i="22"/>
  <c r="AI20" i="22"/>
  <c r="X20" i="22"/>
  <c r="I18" i="22"/>
  <c r="I16" i="22" s="1"/>
  <c r="W18" i="22"/>
  <c r="W16" i="22" s="1"/>
  <c r="M20" i="22"/>
  <c r="AA20" i="22"/>
  <c r="J20" i="22"/>
  <c r="G20" i="22"/>
  <c r="U18" i="22"/>
  <c r="U16" i="22" s="1"/>
  <c r="N20" i="22"/>
  <c r="AB20" i="22"/>
  <c r="K20" i="22"/>
  <c r="Y20" i="22"/>
  <c r="S20" i="22"/>
  <c r="AG20" i="22"/>
  <c r="O20" i="22"/>
  <c r="AC20" i="22"/>
  <c r="L20" i="22"/>
  <c r="Z20" i="22"/>
  <c r="AI18" i="22"/>
  <c r="AI16" i="22" s="1"/>
  <c r="K18" i="22"/>
  <c r="K16" i="22" s="1"/>
  <c r="Y18" i="22"/>
  <c r="Y16" i="22" s="1"/>
  <c r="M18" i="22"/>
  <c r="M16" i="22" s="1"/>
  <c r="AA18" i="22"/>
  <c r="AA16" i="22" s="1"/>
  <c r="N18" i="22"/>
  <c r="N16" i="22" s="1"/>
  <c r="AB18" i="22"/>
  <c r="AB16" i="22" s="1"/>
  <c r="O18" i="22"/>
  <c r="O16" i="22" s="1"/>
  <c r="AC18" i="22"/>
  <c r="AC16" i="22" s="1"/>
  <c r="P18" i="22"/>
  <c r="P16" i="22" s="1"/>
  <c r="AD18" i="22"/>
  <c r="AD16" i="22" s="1"/>
  <c r="Q18" i="22"/>
  <c r="Q16" i="22" s="1"/>
  <c r="AE18" i="22"/>
  <c r="AE16" i="22" s="1"/>
  <c r="R18" i="22"/>
  <c r="R16" i="22" s="1"/>
  <c r="AF18" i="22"/>
  <c r="AF16" i="22" s="1"/>
  <c r="F18" i="22"/>
  <c r="F16" i="22" s="1"/>
  <c r="T18" i="22"/>
  <c r="T16" i="22" s="1"/>
  <c r="AH18" i="22"/>
  <c r="AH16" i="22" s="1"/>
  <c r="S20" i="21"/>
  <c r="S18" i="21" s="1"/>
  <c r="Q22" i="21"/>
  <c r="AE22" i="21"/>
  <c r="AG20" i="21"/>
  <c r="AG18" i="21" s="1"/>
  <c r="J20" i="21"/>
  <c r="J18" i="21" s="1"/>
  <c r="X20" i="21"/>
  <c r="X18" i="21" s="1"/>
  <c r="N22" i="21"/>
  <c r="H22" i="21"/>
  <c r="P22" i="21"/>
  <c r="AD22" i="21"/>
  <c r="M22" i="21"/>
  <c r="AA22" i="21"/>
  <c r="J22" i="21"/>
  <c r="X22" i="21"/>
  <c r="Z22" i="21"/>
  <c r="T22" i="21"/>
  <c r="G22" i="21"/>
  <c r="AI22" i="21"/>
  <c r="V20" i="21"/>
  <c r="V18" i="21" s="1"/>
  <c r="W20" i="21"/>
  <c r="W18" i="21" s="1"/>
  <c r="AB22" i="21"/>
  <c r="K22" i="21"/>
  <c r="Y22" i="21"/>
  <c r="V22" i="21"/>
  <c r="R22" i="21"/>
  <c r="AF22" i="21"/>
  <c r="O22" i="21"/>
  <c r="AC22" i="21"/>
  <c r="L22" i="21"/>
  <c r="I22" i="21"/>
  <c r="W22" i="21"/>
  <c r="F22" i="21"/>
  <c r="AH22" i="21"/>
  <c r="U22" i="21"/>
  <c r="H20" i="21"/>
  <c r="H18" i="21" s="1"/>
  <c r="I20" i="21"/>
  <c r="I18" i="21" s="1"/>
  <c r="AB20" i="21"/>
  <c r="AB18" i="21" s="1"/>
  <c r="G20" i="21"/>
  <c r="G18" i="21" s="1"/>
  <c r="U20" i="21"/>
  <c r="U18" i="21" s="1"/>
  <c r="AI20" i="21"/>
  <c r="AI18" i="21" s="1"/>
  <c r="S22" i="21"/>
  <c r="AG22" i="21"/>
  <c r="K20" i="21"/>
  <c r="K18" i="21" s="1"/>
  <c r="Y20" i="21"/>
  <c r="Y18" i="21" s="1"/>
  <c r="L20" i="21"/>
  <c r="L18" i="21" s="1"/>
  <c r="Z20" i="21"/>
  <c r="Z18" i="21" s="1"/>
  <c r="M20" i="21"/>
  <c r="M18" i="21" s="1"/>
  <c r="AA20" i="21"/>
  <c r="AA18" i="21" s="1"/>
  <c r="N20" i="21"/>
  <c r="N18" i="21" s="1"/>
  <c r="O20" i="21"/>
  <c r="O18" i="21" s="1"/>
  <c r="AC20" i="21"/>
  <c r="AC18" i="21" s="1"/>
  <c r="P20" i="21"/>
  <c r="P18" i="21" s="1"/>
  <c r="AD20" i="21"/>
  <c r="AD18" i="21" s="1"/>
  <c r="Q20" i="21"/>
  <c r="Q18" i="21" s="1"/>
  <c r="AE20" i="21"/>
  <c r="AE18" i="21" s="1"/>
  <c r="AF20" i="21"/>
  <c r="AF18" i="21" s="1"/>
  <c r="F20" i="21"/>
  <c r="F18" i="21" s="1"/>
  <c r="T20" i="21"/>
  <c r="T18" i="21" s="1"/>
  <c r="AH20" i="21"/>
  <c r="AH18" i="21" s="1"/>
  <c r="R20" i="21"/>
  <c r="R18" i="21" s="1"/>
  <c r="AJ30" i="9"/>
  <c r="AJ28" i="9"/>
  <c r="AJ33" i="9"/>
  <c r="AJ31" i="9" s="1"/>
  <c r="AP23" i="9"/>
  <c r="AO23" i="9"/>
  <c r="AN23" i="9"/>
  <c r="AM23" i="9"/>
  <c r="AL23" i="9"/>
  <c r="AP20" i="9"/>
  <c r="AO20" i="9"/>
  <c r="AN20" i="9"/>
  <c r="AM20" i="9"/>
  <c r="AL20" i="9"/>
  <c r="AP19" i="9"/>
  <c r="AO19" i="9"/>
  <c r="AN19" i="9"/>
  <c r="AM19" i="9"/>
  <c r="AL19" i="9"/>
  <c r="AJ35" i="9" l="1"/>
  <c r="AI27" i="19" l="1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AI26" i="19"/>
  <c r="AH26" i="19"/>
  <c r="AG26" i="19"/>
  <c r="AF26" i="19"/>
  <c r="AE26" i="19"/>
  <c r="AD26" i="19"/>
  <c r="AC26" i="19"/>
  <c r="AB26" i="19"/>
  <c r="AA26" i="19"/>
  <c r="Z26" i="19"/>
  <c r="Y26" i="19"/>
  <c r="X26" i="19"/>
  <c r="W26" i="19"/>
  <c r="V26" i="19"/>
  <c r="U26" i="19"/>
  <c r="T26" i="19"/>
  <c r="S26" i="19"/>
  <c r="R26" i="19"/>
  <c r="Q26" i="19"/>
  <c r="P26" i="19"/>
  <c r="O26" i="19"/>
  <c r="N26" i="19"/>
  <c r="M26" i="19"/>
  <c r="L26" i="19"/>
  <c r="K26" i="19"/>
  <c r="J26" i="19"/>
  <c r="I26" i="19"/>
  <c r="H26" i="19"/>
  <c r="G26" i="19"/>
  <c r="F26" i="19"/>
  <c r="AI25" i="19"/>
  <c r="AH25" i="19"/>
  <c r="AG25" i="19"/>
  <c r="AF25" i="19"/>
  <c r="AE25" i="19"/>
  <c r="AD25" i="19"/>
  <c r="AC25" i="19"/>
  <c r="AB25" i="19"/>
  <c r="AA25" i="19"/>
  <c r="AA30" i="19" s="1"/>
  <c r="AA28" i="19" s="1"/>
  <c r="Z25" i="19"/>
  <c r="Z30" i="19" s="1"/>
  <c r="Z28" i="19" s="1"/>
  <c r="Y25" i="19"/>
  <c r="X25" i="19"/>
  <c r="W25" i="19"/>
  <c r="W30" i="19" s="1"/>
  <c r="W28" i="19" s="1"/>
  <c r="V25" i="19"/>
  <c r="U25" i="19"/>
  <c r="T25" i="19"/>
  <c r="S25" i="19"/>
  <c r="S30" i="19" s="1"/>
  <c r="S28" i="19" s="1"/>
  <c r="R25" i="19"/>
  <c r="R30" i="19" s="1"/>
  <c r="R28" i="19" s="1"/>
  <c r="Q25" i="19"/>
  <c r="P25" i="19"/>
  <c r="O25" i="19"/>
  <c r="N25" i="19"/>
  <c r="M25" i="19"/>
  <c r="L25" i="19"/>
  <c r="L30" i="19" s="1"/>
  <c r="L28" i="19" s="1"/>
  <c r="K25" i="19"/>
  <c r="K30" i="19" s="1"/>
  <c r="K28" i="19" s="1"/>
  <c r="J25" i="19"/>
  <c r="J30" i="19" s="1"/>
  <c r="J28" i="19" s="1"/>
  <c r="I25" i="19"/>
  <c r="H25" i="19"/>
  <c r="G25" i="19"/>
  <c r="AP18" i="19"/>
  <c r="AO18" i="19"/>
  <c r="AN18" i="19"/>
  <c r="AM18" i="19"/>
  <c r="AL18" i="19"/>
  <c r="AP17" i="19"/>
  <c r="AO17" i="19"/>
  <c r="AN17" i="19"/>
  <c r="AM17" i="19"/>
  <c r="AL17" i="19"/>
  <c r="AP16" i="19"/>
  <c r="AO16" i="19"/>
  <c r="AN16" i="19"/>
  <c r="AM16" i="19"/>
  <c r="AL16" i="19"/>
  <c r="AP15" i="19"/>
  <c r="AO15" i="19"/>
  <c r="AN15" i="19"/>
  <c r="AM15" i="19"/>
  <c r="AL15" i="19"/>
  <c r="AP14" i="19"/>
  <c r="AO14" i="19"/>
  <c r="AN14" i="19"/>
  <c r="AM14" i="19"/>
  <c r="AL14" i="19"/>
  <c r="AP13" i="19"/>
  <c r="AO13" i="19"/>
  <c r="AN13" i="19"/>
  <c r="AM13" i="19"/>
  <c r="AL13" i="19"/>
  <c r="AP12" i="19"/>
  <c r="AO12" i="19"/>
  <c r="AN12" i="19"/>
  <c r="AM12" i="19"/>
  <c r="AL12" i="19"/>
  <c r="AP11" i="19"/>
  <c r="AO11" i="19"/>
  <c r="AN11" i="19"/>
  <c r="AM11" i="19"/>
  <c r="AL11" i="19"/>
  <c r="AP10" i="19"/>
  <c r="AO10" i="19"/>
  <c r="AN10" i="19"/>
  <c r="AM10" i="19"/>
  <c r="AL10" i="19"/>
  <c r="AP9" i="19"/>
  <c r="AO9" i="19"/>
  <c r="AN9" i="19"/>
  <c r="AM9" i="19"/>
  <c r="AL9" i="19"/>
  <c r="AP8" i="19"/>
  <c r="AO8" i="19"/>
  <c r="AN8" i="19"/>
  <c r="AM8" i="19"/>
  <c r="AL8" i="19"/>
  <c r="AP7" i="19"/>
  <c r="AO7" i="19"/>
  <c r="AN7" i="19"/>
  <c r="AM7" i="19"/>
  <c r="AL7" i="19"/>
  <c r="AP6" i="19"/>
  <c r="AO6" i="19"/>
  <c r="AN6" i="19"/>
  <c r="AM6" i="19"/>
  <c r="AL6" i="19"/>
  <c r="AP5" i="19"/>
  <c r="AO5" i="19"/>
  <c r="AN5" i="19"/>
  <c r="AM5" i="19"/>
  <c r="AL5" i="19"/>
  <c r="O30" i="19" l="1"/>
  <c r="O28" i="19" s="1"/>
  <c r="AE30" i="19"/>
  <c r="AE28" i="19" s="1"/>
  <c r="T30" i="19"/>
  <c r="T28" i="19" s="1"/>
  <c r="AH30" i="19"/>
  <c r="AH28" i="19" s="1"/>
  <c r="G30" i="19"/>
  <c r="G28" i="19" s="1"/>
  <c r="AI30" i="19"/>
  <c r="AI28" i="19" s="1"/>
  <c r="AB30" i="19"/>
  <c r="AB28" i="19" s="1"/>
  <c r="M30" i="19"/>
  <c r="M28" i="19" s="1"/>
  <c r="U30" i="19"/>
  <c r="U28" i="19" s="1"/>
  <c r="AC30" i="19"/>
  <c r="AC28" i="19" s="1"/>
  <c r="F30" i="19"/>
  <c r="F28" i="19" s="1"/>
  <c r="N30" i="19"/>
  <c r="N28" i="19" s="1"/>
  <c r="V30" i="19"/>
  <c r="V28" i="19" s="1"/>
  <c r="AD30" i="19"/>
  <c r="AD28" i="19" s="1"/>
  <c r="H30" i="19"/>
  <c r="H28" i="19" s="1"/>
  <c r="P30" i="19"/>
  <c r="P28" i="19" s="1"/>
  <c r="X30" i="19"/>
  <c r="X28" i="19" s="1"/>
  <c r="AF30" i="19"/>
  <c r="AF28" i="19" s="1"/>
  <c r="I30" i="19"/>
  <c r="I28" i="19" s="1"/>
  <c r="Q30" i="19"/>
  <c r="Q28" i="19" s="1"/>
  <c r="Y30" i="19"/>
  <c r="Y28" i="19" s="1"/>
  <c r="AG30" i="19"/>
  <c r="AG28" i="19" s="1"/>
  <c r="AL5" i="9"/>
  <c r="AM5" i="9"/>
  <c r="AN5" i="9"/>
  <c r="AO5" i="9"/>
  <c r="AP5" i="9"/>
  <c r="AL6" i="9"/>
  <c r="AM6" i="9"/>
  <c r="AN6" i="9"/>
  <c r="AO6" i="9"/>
  <c r="AP6" i="9"/>
  <c r="AL7" i="9"/>
  <c r="AM7" i="9"/>
  <c r="AN7" i="9"/>
  <c r="AO7" i="9"/>
  <c r="AP7" i="9"/>
  <c r="AL8" i="9"/>
  <c r="AM8" i="9"/>
  <c r="AN8" i="9"/>
  <c r="AO8" i="9"/>
  <c r="AP8" i="9"/>
  <c r="AL9" i="9"/>
  <c r="AM9" i="9"/>
  <c r="AN9" i="9"/>
  <c r="AO9" i="9"/>
  <c r="AP9" i="9"/>
  <c r="AL10" i="9"/>
  <c r="AM10" i="9"/>
  <c r="AN10" i="9"/>
  <c r="AO10" i="9"/>
  <c r="AP10" i="9"/>
  <c r="AL11" i="9"/>
  <c r="AM11" i="9"/>
  <c r="AN11" i="9"/>
  <c r="AO11" i="9"/>
  <c r="AP11" i="9"/>
  <c r="AL12" i="9"/>
  <c r="AM12" i="9"/>
  <c r="AN12" i="9"/>
  <c r="AO12" i="9"/>
  <c r="AP12" i="9"/>
  <c r="AL13" i="9"/>
  <c r="AM13" i="9"/>
  <c r="AN13" i="9"/>
  <c r="AO13" i="9"/>
  <c r="AP13" i="9"/>
  <c r="AL14" i="9"/>
  <c r="AM14" i="9"/>
  <c r="AN14" i="9"/>
  <c r="AO14" i="9"/>
  <c r="AP14" i="9"/>
  <c r="AL15" i="9"/>
  <c r="AM15" i="9"/>
  <c r="AN15" i="9"/>
  <c r="AO15" i="9"/>
  <c r="AP15" i="9"/>
  <c r="AL16" i="9"/>
  <c r="AM16" i="9"/>
  <c r="AN16" i="9"/>
  <c r="AO16" i="9"/>
  <c r="AP16" i="9"/>
  <c r="AL17" i="9"/>
  <c r="AM17" i="9"/>
  <c r="AN17" i="9"/>
  <c r="AO17" i="9"/>
  <c r="AP17" i="9"/>
  <c r="AL18" i="9"/>
  <c r="AM18" i="9"/>
  <c r="AN18" i="9"/>
  <c r="AO18" i="9"/>
  <c r="AP18" i="9"/>
  <c r="F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F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S24" i="13"/>
  <c r="T24" i="13"/>
  <c r="AG24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I24" i="13" s="1"/>
  <c r="H19" i="13"/>
  <c r="G19" i="13"/>
  <c r="F19" i="13"/>
  <c r="E19" i="13"/>
  <c r="AH18" i="13"/>
  <c r="AG18" i="13"/>
  <c r="AF18" i="13"/>
  <c r="AE18" i="13"/>
  <c r="AD18" i="13"/>
  <c r="AD24" i="13" s="1"/>
  <c r="AC18" i="13"/>
  <c r="AC24" i="13" s="1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P24" i="13" s="1"/>
  <c r="O18" i="13"/>
  <c r="N18" i="13"/>
  <c r="M18" i="13"/>
  <c r="L18" i="13"/>
  <c r="K18" i="13"/>
  <c r="K24" i="13" s="1"/>
  <c r="J18" i="13"/>
  <c r="J24" i="13" s="1"/>
  <c r="I18" i="13"/>
  <c r="H18" i="13"/>
  <c r="G18" i="13"/>
  <c r="F18" i="13"/>
  <c r="E18" i="13"/>
  <c r="AH17" i="13"/>
  <c r="AH24" i="13" s="1"/>
  <c r="AG17" i="13"/>
  <c r="AF17" i="13"/>
  <c r="AF24" i="13" s="1"/>
  <c r="AE17" i="13"/>
  <c r="AE24" i="13" s="1"/>
  <c r="AD17" i="13"/>
  <c r="AC17" i="13"/>
  <c r="AB17" i="13"/>
  <c r="AB24" i="13" s="1"/>
  <c r="AA17" i="13"/>
  <c r="AA24" i="13" s="1"/>
  <c r="Z17" i="13"/>
  <c r="Y17" i="13"/>
  <c r="X17" i="13"/>
  <c r="W17" i="13"/>
  <c r="V17" i="13"/>
  <c r="V24" i="13" s="1"/>
  <c r="U17" i="13"/>
  <c r="U24" i="13" s="1"/>
  <c r="T17" i="13"/>
  <c r="S17" i="13"/>
  <c r="R17" i="13"/>
  <c r="R24" i="13" s="1"/>
  <c r="Q17" i="13"/>
  <c r="P17" i="13"/>
  <c r="O17" i="13"/>
  <c r="O24" i="13" s="1"/>
  <c r="N17" i="13"/>
  <c r="N24" i="13" s="1"/>
  <c r="M17" i="13"/>
  <c r="M24" i="13" s="1"/>
  <c r="L17" i="13"/>
  <c r="L24" i="13" s="1"/>
  <c r="K17" i="13"/>
  <c r="J17" i="13"/>
  <c r="I17" i="13"/>
  <c r="H17" i="13"/>
  <c r="H24" i="13" s="1"/>
  <c r="G17" i="13"/>
  <c r="G24" i="13" s="1"/>
  <c r="F17" i="13"/>
  <c r="F24" i="13" s="1"/>
  <c r="E17" i="13"/>
  <c r="E24" i="13" s="1"/>
  <c r="AO15" i="13"/>
  <c r="AN15" i="13"/>
  <c r="AM15" i="13"/>
  <c r="AL15" i="13"/>
  <c r="AK15" i="13"/>
  <c r="AO14" i="13"/>
  <c r="AN14" i="13"/>
  <c r="AM14" i="13"/>
  <c r="AL14" i="13"/>
  <c r="AK14" i="13"/>
  <c r="AO13" i="13"/>
  <c r="AN13" i="13"/>
  <c r="AM13" i="13"/>
  <c r="AL13" i="13"/>
  <c r="AK13" i="13"/>
  <c r="AO12" i="13"/>
  <c r="AN12" i="13"/>
  <c r="AM12" i="13"/>
  <c r="AL12" i="13"/>
  <c r="AK12" i="13"/>
  <c r="AO11" i="13"/>
  <c r="AN11" i="13"/>
  <c r="AM11" i="13"/>
  <c r="AL11" i="13"/>
  <c r="AK11" i="13"/>
  <c r="AO10" i="13"/>
  <c r="AN10" i="13"/>
  <c r="AM10" i="13"/>
  <c r="AL10" i="13"/>
  <c r="AK10" i="13"/>
  <c r="AO9" i="13"/>
  <c r="AN9" i="13"/>
  <c r="AM9" i="13"/>
  <c r="AL9" i="13"/>
  <c r="AK9" i="13"/>
  <c r="AO8" i="13"/>
  <c r="AN8" i="13"/>
  <c r="AM8" i="13"/>
  <c r="AL8" i="13"/>
  <c r="AK8" i="13"/>
  <c r="AO7" i="13"/>
  <c r="AN7" i="13"/>
  <c r="AM7" i="13"/>
  <c r="AL7" i="13"/>
  <c r="AK7" i="13"/>
  <c r="AO6" i="13"/>
  <c r="AN6" i="13"/>
  <c r="AM6" i="13"/>
  <c r="AL6" i="13"/>
  <c r="AK6" i="13"/>
  <c r="AO5" i="13"/>
  <c r="AN5" i="13"/>
  <c r="AM5" i="13"/>
  <c r="AL5" i="13"/>
  <c r="AK5" i="13"/>
  <c r="AA33" i="9" l="1"/>
  <c r="AA31" i="9" s="1"/>
  <c r="Z24" i="13"/>
  <c r="Z22" i="13" s="1"/>
  <c r="Q24" i="13"/>
  <c r="Q22" i="13" s="1"/>
  <c r="AA35" i="9"/>
  <c r="O33" i="9"/>
  <c r="O31" i="9" s="1"/>
  <c r="AI35" i="9"/>
  <c r="AI33" i="9"/>
  <c r="AI31" i="9" s="1"/>
  <c r="R35" i="9"/>
  <c r="U33" i="9"/>
  <c r="U31" i="9" s="1"/>
  <c r="AG35" i="9"/>
  <c r="AF33" i="9"/>
  <c r="AF31" i="9" s="1"/>
  <c r="Y35" i="9"/>
  <c r="Q33" i="9"/>
  <c r="Q31" i="9" s="1"/>
  <c r="AD33" i="9"/>
  <c r="AD31" i="9" s="1"/>
  <c r="X35" i="9"/>
  <c r="W33" i="9"/>
  <c r="W31" i="9" s="1"/>
  <c r="K33" i="9"/>
  <c r="K31" i="9" s="1"/>
  <c r="K35" i="9"/>
  <c r="H33" i="9"/>
  <c r="H31" i="9" s="1"/>
  <c r="G35" i="9"/>
  <c r="H35" i="9"/>
  <c r="I35" i="9"/>
  <c r="Q35" i="9"/>
  <c r="Y33" i="9"/>
  <c r="Y31" i="9" s="1"/>
  <c r="AG33" i="9"/>
  <c r="AG31" i="9" s="1"/>
  <c r="S35" i="9"/>
  <c r="S33" i="9"/>
  <c r="S31" i="9" s="1"/>
  <c r="AH35" i="9"/>
  <c r="M33" i="9"/>
  <c r="M31" i="9" s="1"/>
  <c r="AB35" i="9"/>
  <c r="AE35" i="9"/>
  <c r="AE33" i="9"/>
  <c r="AE31" i="9" s="1"/>
  <c r="AF35" i="9"/>
  <c r="V35" i="9"/>
  <c r="N35" i="9"/>
  <c r="AD35" i="9"/>
  <c r="W35" i="9"/>
  <c r="X33" i="9"/>
  <c r="X31" i="9" s="1"/>
  <c r="P35" i="9"/>
  <c r="P33" i="9"/>
  <c r="P31" i="9" s="1"/>
  <c r="I33" i="9"/>
  <c r="I31" i="9" s="1"/>
  <c r="Z35" i="9"/>
  <c r="J35" i="9"/>
  <c r="U35" i="9"/>
  <c r="AC33" i="9"/>
  <c r="AC31" i="9" s="1"/>
  <c r="T35" i="9"/>
  <c r="O35" i="9"/>
  <c r="L35" i="9"/>
  <c r="AC35" i="9"/>
  <c r="M35" i="9"/>
  <c r="G33" i="9"/>
  <c r="G31" i="9" s="1"/>
  <c r="V33" i="9"/>
  <c r="V31" i="9" s="1"/>
  <c r="N33" i="9"/>
  <c r="N31" i="9" s="1"/>
  <c r="F35" i="9"/>
  <c r="F33" i="9"/>
  <c r="F31" i="9" s="1"/>
  <c r="AB33" i="9"/>
  <c r="AB31" i="9" s="1"/>
  <c r="T33" i="9"/>
  <c r="T31" i="9" s="1"/>
  <c r="L33" i="9"/>
  <c r="L31" i="9" s="1"/>
  <c r="AH33" i="9"/>
  <c r="AH31" i="9" s="1"/>
  <c r="Z33" i="9"/>
  <c r="Z31" i="9" s="1"/>
  <c r="R33" i="9"/>
  <c r="R31" i="9" s="1"/>
  <c r="J33" i="9"/>
  <c r="J31" i="9" s="1"/>
  <c r="Y24" i="13"/>
  <c r="Y22" i="13" s="1"/>
  <c r="X24" i="13"/>
  <c r="X22" i="13" s="1"/>
  <c r="W24" i="13"/>
  <c r="K22" i="13"/>
  <c r="AA22" i="13"/>
  <c r="S22" i="13"/>
  <c r="L22" i="13"/>
  <c r="T22" i="13"/>
  <c r="H22" i="13"/>
  <c r="P22" i="13"/>
  <c r="AF22" i="13"/>
  <c r="AB22" i="13"/>
  <c r="E22" i="13"/>
  <c r="M22" i="13"/>
  <c r="U22" i="13"/>
  <c r="AC22" i="13"/>
  <c r="G22" i="13"/>
  <c r="O22" i="13"/>
  <c r="AE22" i="13"/>
  <c r="W22" i="13"/>
  <c r="F22" i="13"/>
  <c r="N22" i="13"/>
  <c r="V22" i="13"/>
  <c r="AD22" i="13"/>
  <c r="I22" i="13"/>
  <c r="AG22" i="13"/>
  <c r="J22" i="13"/>
  <c r="R22" i="13"/>
  <c r="AH22" i="13"/>
  <c r="P4" i="2" l="1"/>
  <c r="E7" i="2" s="1"/>
  <c r="E21" i="2" l="1"/>
  <c r="E13" i="2"/>
  <c r="E30" i="2"/>
  <c r="E12" i="2"/>
  <c r="E20" i="2"/>
  <c r="E16" i="2"/>
  <c r="E11" i="2"/>
  <c r="E36" i="2"/>
  <c r="E27" i="2"/>
  <c r="E18" i="2"/>
  <c r="E14" i="2"/>
  <c r="E31" i="2"/>
  <c r="E8" i="2"/>
  <c r="E35" i="2"/>
  <c r="E26" i="2"/>
  <c r="E17" i="2"/>
  <c r="E34" i="2"/>
  <c r="E25" i="2"/>
  <c r="E33" i="2"/>
  <c r="E29" i="2"/>
  <c r="E24" i="2"/>
  <c r="E10" i="2"/>
  <c r="E19" i="2"/>
  <c r="E15" i="2"/>
  <c r="E9" i="2"/>
  <c r="E37" i="2"/>
  <c r="E32" i="2"/>
  <c r="E28" i="2"/>
  <c r="E23" i="2"/>
  <c r="E22" i="2"/>
  <c r="E6" i="2"/>
  <c r="X4" i="2"/>
  <c r="F7" i="2" s="1"/>
  <c r="E42" i="2" l="1"/>
  <c r="E41" i="2"/>
  <c r="E40" i="2"/>
  <c r="E39" i="2"/>
  <c r="F9" i="2"/>
  <c r="F12" i="2"/>
  <c r="F11" i="2"/>
  <c r="F25" i="2"/>
  <c r="F22" i="2"/>
  <c r="F34" i="2"/>
  <c r="F27" i="2"/>
  <c r="F14" i="2"/>
  <c r="F18" i="2"/>
  <c r="F23" i="2"/>
  <c r="F28" i="2"/>
  <c r="F32" i="2"/>
  <c r="F37" i="2"/>
  <c r="F15" i="2"/>
  <c r="F19" i="2"/>
  <c r="F16" i="2"/>
  <c r="F8" i="2"/>
  <c r="F17" i="2"/>
  <c r="F21" i="2"/>
  <c r="F31" i="2"/>
  <c r="F24" i="2"/>
  <c r="F29" i="2"/>
  <c r="F33" i="2"/>
  <c r="F20" i="2"/>
  <c r="F30" i="2"/>
  <c r="F13" i="2"/>
  <c r="F26" i="2"/>
  <c r="F35" i="2"/>
  <c r="F10" i="2"/>
  <c r="F36" i="2"/>
  <c r="F6" i="2"/>
  <c r="G7" i="2"/>
  <c r="E44" i="2" l="1"/>
  <c r="G16" i="2"/>
  <c r="G13" i="2"/>
  <c r="G12" i="2"/>
  <c r="G31" i="2"/>
  <c r="G32" i="2"/>
  <c r="G9" i="2"/>
  <c r="G35" i="2"/>
  <c r="G24" i="2"/>
  <c r="G30" i="2"/>
  <c r="G21" i="2"/>
  <c r="G28" i="2"/>
  <c r="G22" i="2"/>
  <c r="G34" i="2"/>
  <c r="G36" i="2"/>
  <c r="G20" i="2"/>
  <c r="G17" i="2"/>
  <c r="G23" i="2"/>
  <c r="G25" i="2"/>
  <c r="G33" i="2"/>
  <c r="G37" i="2"/>
  <c r="G10" i="2"/>
  <c r="G8" i="2"/>
  <c r="F40" i="2"/>
  <c r="F41" i="2"/>
  <c r="F39" i="2"/>
  <c r="F42" i="2"/>
  <c r="G18" i="2"/>
  <c r="G14" i="2"/>
  <c r="G19" i="2"/>
  <c r="G26" i="2"/>
  <c r="G29" i="2"/>
  <c r="G15" i="2"/>
  <c r="G27" i="2"/>
  <c r="G11" i="2"/>
  <c r="H7" i="2"/>
  <c r="G6" i="2"/>
  <c r="H35" i="2" l="1"/>
  <c r="H36" i="2"/>
  <c r="H37" i="2"/>
  <c r="H15" i="2"/>
  <c r="H32" i="2"/>
  <c r="H29" i="2"/>
  <c r="H25" i="2"/>
  <c r="H26" i="2"/>
  <c r="H17" i="2"/>
  <c r="H24" i="2"/>
  <c r="H14" i="2"/>
  <c r="H33" i="2"/>
  <c r="H21" i="2"/>
  <c r="H12" i="2"/>
  <c r="H27" i="2"/>
  <c r="H19" i="2"/>
  <c r="H23" i="2"/>
  <c r="H31" i="2"/>
  <c r="H11" i="2"/>
  <c r="H20" i="2"/>
  <c r="H34" i="2"/>
  <c r="H22" i="2"/>
  <c r="H9" i="2"/>
  <c r="H16" i="2"/>
  <c r="H28" i="2"/>
  <c r="H18" i="2"/>
  <c r="H8" i="2"/>
  <c r="G39" i="2"/>
  <c r="G40" i="2"/>
  <c r="G41" i="2"/>
  <c r="G42" i="2"/>
  <c r="H10" i="2"/>
  <c r="H30" i="2"/>
  <c r="H13" i="2"/>
  <c r="I7" i="2"/>
  <c r="H6" i="2"/>
  <c r="I29" i="2" l="1"/>
  <c r="I32" i="2"/>
  <c r="I28" i="2"/>
  <c r="I22" i="2"/>
  <c r="I19" i="2"/>
  <c r="I30" i="2"/>
  <c r="I37" i="2"/>
  <c r="I20" i="2"/>
  <c r="I24" i="2"/>
  <c r="I18" i="2"/>
  <c r="I10" i="2"/>
  <c r="I16" i="2"/>
  <c r="I15" i="2"/>
  <c r="I27" i="2"/>
  <c r="I21" i="2"/>
  <c r="I17" i="2"/>
  <c r="I35" i="2"/>
  <c r="I23" i="2"/>
  <c r="I14" i="2"/>
  <c r="I25" i="2"/>
  <c r="I31" i="2"/>
  <c r="I13" i="2"/>
  <c r="I9" i="2"/>
  <c r="I26" i="2"/>
  <c r="I36" i="2"/>
  <c r="I11" i="2"/>
  <c r="I12" i="2"/>
  <c r="I8" i="2"/>
  <c r="H42" i="2"/>
  <c r="H39" i="2"/>
  <c r="H40" i="2"/>
  <c r="H41" i="2"/>
  <c r="I34" i="2"/>
  <c r="I33" i="2"/>
  <c r="J7" i="2"/>
  <c r="I6" i="2"/>
  <c r="J34" i="2" l="1"/>
  <c r="J29" i="2"/>
  <c r="J24" i="2"/>
  <c r="J9" i="2"/>
  <c r="J31" i="2"/>
  <c r="J32" i="2"/>
  <c r="J21" i="2"/>
  <c r="J14" i="2"/>
  <c r="J22" i="2"/>
  <c r="J28" i="2"/>
  <c r="J18" i="2"/>
  <c r="J30" i="2"/>
  <c r="J33" i="2"/>
  <c r="J16" i="2"/>
  <c r="J12" i="2"/>
  <c r="J20" i="2"/>
  <c r="J25" i="2"/>
  <c r="J23" i="2"/>
  <c r="J17" i="2"/>
  <c r="J10" i="2"/>
  <c r="J37" i="2"/>
  <c r="J27" i="2"/>
  <c r="J36" i="2"/>
  <c r="J15" i="2"/>
  <c r="J8" i="2"/>
  <c r="I42" i="2"/>
  <c r="I41" i="2"/>
  <c r="I39" i="2"/>
  <c r="I40" i="2"/>
  <c r="J13" i="2"/>
  <c r="J19" i="2"/>
  <c r="J11" i="2"/>
  <c r="J26" i="2"/>
  <c r="J35" i="2"/>
  <c r="K7" i="2"/>
  <c r="J6" i="2"/>
  <c r="K35" i="2" l="1"/>
  <c r="K29" i="2"/>
  <c r="K16" i="2"/>
  <c r="K37" i="2"/>
  <c r="K15" i="2"/>
  <c r="K19" i="2"/>
  <c r="K27" i="2"/>
  <c r="K34" i="2"/>
  <c r="K23" i="2"/>
  <c r="K8" i="2"/>
  <c r="J42" i="2"/>
  <c r="J40" i="2"/>
  <c r="J41" i="2"/>
  <c r="J39" i="2"/>
  <c r="K10" i="2"/>
  <c r="K12" i="2"/>
  <c r="K33" i="2"/>
  <c r="K26" i="2"/>
  <c r="K28" i="2"/>
  <c r="K9" i="2"/>
  <c r="K20" i="2"/>
  <c r="K22" i="2"/>
  <c r="K31" i="2"/>
  <c r="K13" i="2"/>
  <c r="K36" i="2"/>
  <c r="K30" i="2"/>
  <c r="K21" i="2"/>
  <c r="K11" i="2"/>
  <c r="K25" i="2"/>
  <c r="K18" i="2"/>
  <c r="K32" i="2"/>
  <c r="K24" i="2"/>
  <c r="K17" i="2"/>
  <c r="K14" i="2"/>
  <c r="L7" i="2"/>
  <c r="K6" i="2"/>
  <c r="L29" i="2" l="1"/>
  <c r="L32" i="2"/>
  <c r="L15" i="2"/>
  <c r="L11" i="2"/>
  <c r="L13" i="2"/>
  <c r="L28" i="2"/>
  <c r="L12" i="2"/>
  <c r="L16" i="2"/>
  <c r="L25" i="2"/>
  <c r="L35" i="2"/>
  <c r="L34" i="2"/>
  <c r="L21" i="2"/>
  <c r="L22" i="2"/>
  <c r="L8" i="2"/>
  <c r="K41" i="2"/>
  <c r="K42" i="2"/>
  <c r="K39" i="2"/>
  <c r="K40" i="2"/>
  <c r="L31" i="2"/>
  <c r="L33" i="2"/>
  <c r="L19" i="2"/>
  <c r="L14" i="2"/>
  <c r="L9" i="2"/>
  <c r="L26" i="2"/>
  <c r="L10" i="2"/>
  <c r="L37" i="2"/>
  <c r="L27" i="2"/>
  <c r="L30" i="2"/>
  <c r="L36" i="2"/>
  <c r="L23" i="2"/>
  <c r="L17" i="2"/>
  <c r="L24" i="2"/>
  <c r="L18" i="2"/>
  <c r="L20" i="2"/>
  <c r="M7" i="2"/>
  <c r="L6" i="2"/>
  <c r="M24" i="2" l="1"/>
  <c r="M32" i="2"/>
  <c r="M36" i="2"/>
  <c r="M10" i="2"/>
  <c r="M33" i="2"/>
  <c r="M25" i="2"/>
  <c r="M29" i="2"/>
  <c r="M23" i="2"/>
  <c r="M14" i="2"/>
  <c r="M8" i="2"/>
  <c r="L41" i="2"/>
  <c r="L42" i="2"/>
  <c r="L40" i="2"/>
  <c r="L39" i="2"/>
  <c r="M21" i="2"/>
  <c r="M16" i="2"/>
  <c r="M20" i="2"/>
  <c r="M30" i="2"/>
  <c r="M26" i="2"/>
  <c r="M13" i="2"/>
  <c r="M28" i="2"/>
  <c r="M9" i="2"/>
  <c r="M31" i="2"/>
  <c r="M34" i="2"/>
  <c r="M15" i="2"/>
  <c r="M37" i="2"/>
  <c r="M18" i="2"/>
  <c r="M27" i="2"/>
  <c r="M19" i="2"/>
  <c r="M22" i="2"/>
  <c r="M11" i="2"/>
  <c r="M17" i="2"/>
  <c r="M35" i="2"/>
  <c r="M12" i="2"/>
  <c r="N7" i="2"/>
  <c r="M6" i="2"/>
  <c r="N24" i="2" l="1"/>
  <c r="N35" i="2"/>
  <c r="N19" i="2"/>
  <c r="N29" i="2"/>
  <c r="N18" i="2"/>
  <c r="N31" i="2"/>
  <c r="N13" i="2"/>
  <c r="N12" i="2"/>
  <c r="N26" i="2"/>
  <c r="N16" i="2"/>
  <c r="N8" i="2"/>
  <c r="M40" i="2"/>
  <c r="M41" i="2"/>
  <c r="M42" i="2"/>
  <c r="M39" i="2"/>
  <c r="N25" i="2"/>
  <c r="N17" i="2"/>
  <c r="N21" i="2"/>
  <c r="N14" i="2"/>
  <c r="N33" i="2"/>
  <c r="N11" i="2"/>
  <c r="N27" i="2"/>
  <c r="N37" i="2"/>
  <c r="N9" i="2"/>
  <c r="N30" i="2"/>
  <c r="N32" i="2"/>
  <c r="N15" i="2"/>
  <c r="N23" i="2"/>
  <c r="N10" i="2"/>
  <c r="N36" i="2"/>
  <c r="N22" i="2"/>
  <c r="O22" i="2" s="1"/>
  <c r="N34" i="2"/>
  <c r="N28" i="2"/>
  <c r="N20" i="2"/>
  <c r="O7" i="2"/>
  <c r="N6" i="2"/>
  <c r="O24" i="2" l="1"/>
  <c r="O20" i="2"/>
  <c r="O23" i="2"/>
  <c r="O15" i="2"/>
  <c r="O32" i="2"/>
  <c r="O30" i="2"/>
  <c r="O33" i="2"/>
  <c r="O8" i="2"/>
  <c r="N40" i="2"/>
  <c r="N41" i="2"/>
  <c r="N42" i="2"/>
  <c r="N39" i="2"/>
  <c r="O9" i="2"/>
  <c r="O17" i="2"/>
  <c r="O16" i="2"/>
  <c r="O19" i="2"/>
  <c r="O37" i="2"/>
  <c r="O14" i="2"/>
  <c r="O26" i="2"/>
  <c r="O13" i="2"/>
  <c r="O27" i="2"/>
  <c r="O25" i="2"/>
  <c r="O31" i="2"/>
  <c r="O21" i="2"/>
  <c r="O12" i="2"/>
  <c r="O35" i="2"/>
  <c r="O36" i="2"/>
  <c r="P36" i="2" s="1"/>
  <c r="O11" i="2"/>
  <c r="O28" i="2"/>
  <c r="P28" i="2" s="1"/>
  <c r="O34" i="2"/>
  <c r="O10" i="2"/>
  <c r="O29" i="2"/>
  <c r="P29" i="2" s="1"/>
  <c r="O18" i="2"/>
  <c r="P7" i="2"/>
  <c r="O6" i="2"/>
  <c r="P18" i="2" l="1"/>
  <c r="P15" i="2"/>
  <c r="P34" i="2"/>
  <c r="P35" i="2"/>
  <c r="P11" i="2"/>
  <c r="P22" i="2"/>
  <c r="P12" i="2"/>
  <c r="P8" i="2"/>
  <c r="O40" i="2"/>
  <c r="O39" i="2"/>
  <c r="O41" i="2"/>
  <c r="O42" i="2"/>
  <c r="P13" i="2"/>
  <c r="P9" i="2"/>
  <c r="P33" i="2"/>
  <c r="P21" i="2"/>
  <c r="P20" i="2"/>
  <c r="P26" i="2"/>
  <c r="P17" i="2"/>
  <c r="P32" i="2"/>
  <c r="P14" i="2"/>
  <c r="P30" i="2"/>
  <c r="P31" i="2"/>
  <c r="P37" i="2"/>
  <c r="P23" i="2"/>
  <c r="P25" i="2"/>
  <c r="P19" i="2"/>
  <c r="P24" i="2"/>
  <c r="P10" i="2"/>
  <c r="P27" i="2"/>
  <c r="P16" i="2"/>
  <c r="Q7" i="2"/>
  <c r="P6" i="2"/>
  <c r="Q15" i="2" l="1"/>
  <c r="Q31" i="2"/>
  <c r="Q30" i="2"/>
  <c r="Q27" i="2"/>
  <c r="Q24" i="2"/>
  <c r="Q10" i="2"/>
  <c r="Q18" i="2"/>
  <c r="Q20" i="2"/>
  <c r="Q29" i="2"/>
  <c r="Q19" i="2"/>
  <c r="Q25" i="2"/>
  <c r="Q32" i="2"/>
  <c r="Q23" i="2"/>
  <c r="Q37" i="2"/>
  <c r="Q17" i="2"/>
  <c r="Q21" i="2"/>
  <c r="Q11" i="2"/>
  <c r="Q22" i="2"/>
  <c r="Q33" i="2"/>
  <c r="Q8" i="2"/>
  <c r="P39" i="2"/>
  <c r="P40" i="2"/>
  <c r="P42" i="2"/>
  <c r="P41" i="2"/>
  <c r="Q35" i="2"/>
  <c r="Q9" i="2"/>
  <c r="Q12" i="2"/>
  <c r="Q13" i="2"/>
  <c r="Q36" i="2"/>
  <c r="Q16" i="2"/>
  <c r="Q34" i="2"/>
  <c r="R34" i="2" s="1"/>
  <c r="Q14" i="2"/>
  <c r="Q26" i="2"/>
  <c r="Q28" i="2"/>
  <c r="R7" i="2"/>
  <c r="Q6" i="2"/>
  <c r="R28" i="2" l="1"/>
  <c r="R15" i="2"/>
  <c r="R35" i="2"/>
  <c r="R30" i="2"/>
  <c r="R33" i="2"/>
  <c r="R21" i="2"/>
  <c r="R37" i="2"/>
  <c r="R10" i="2"/>
  <c r="R26" i="2"/>
  <c r="R13" i="2"/>
  <c r="R18" i="2"/>
  <c r="R17" i="2"/>
  <c r="R31" i="2"/>
  <c r="R14" i="2"/>
  <c r="R27" i="2"/>
  <c r="R19" i="2"/>
  <c r="R32" i="2"/>
  <c r="R22" i="2"/>
  <c r="R16" i="2"/>
  <c r="R20" i="2"/>
  <c r="R11" i="2"/>
  <c r="R8" i="2"/>
  <c r="Q42" i="2"/>
  <c r="Q39" i="2"/>
  <c r="Q40" i="2"/>
  <c r="Q41" i="2"/>
  <c r="R36" i="2"/>
  <c r="R12" i="2"/>
  <c r="R24" i="2"/>
  <c r="R23" i="2"/>
  <c r="R25" i="2"/>
  <c r="R9" i="2"/>
  <c r="R29" i="2"/>
  <c r="S7" i="2"/>
  <c r="R6" i="2"/>
  <c r="S29" i="2" l="1"/>
  <c r="S15" i="2"/>
  <c r="S9" i="2"/>
  <c r="S12" i="2"/>
  <c r="S11" i="2"/>
  <c r="S26" i="2"/>
  <c r="S27" i="2"/>
  <c r="S36" i="2"/>
  <c r="S20" i="2"/>
  <c r="S10" i="2"/>
  <c r="S16" i="2"/>
  <c r="S14" i="2"/>
  <c r="S37" i="2"/>
  <c r="S25" i="2"/>
  <c r="S21" i="2"/>
  <c r="S22" i="2"/>
  <c r="S31" i="2"/>
  <c r="S33" i="2"/>
  <c r="S28" i="2"/>
  <c r="S34" i="2"/>
  <c r="S17" i="2"/>
  <c r="S30" i="2"/>
  <c r="S23" i="2"/>
  <c r="S8" i="2"/>
  <c r="R42" i="2"/>
  <c r="R39" i="2"/>
  <c r="R41" i="2"/>
  <c r="R40" i="2"/>
  <c r="S32" i="2"/>
  <c r="T32" i="2" s="1"/>
  <c r="S18" i="2"/>
  <c r="S35" i="2"/>
  <c r="S24" i="2"/>
  <c r="S19" i="2"/>
  <c r="S13" i="2"/>
  <c r="T7" i="2"/>
  <c r="S6" i="2"/>
  <c r="T19" i="2" l="1"/>
  <c r="T15" i="2"/>
  <c r="T16" i="2"/>
  <c r="T30" i="2"/>
  <c r="T13" i="2"/>
  <c r="T17" i="2"/>
  <c r="T27" i="2"/>
  <c r="T12" i="2"/>
  <c r="T34" i="2"/>
  <c r="T21" i="2"/>
  <c r="T10" i="2"/>
  <c r="T28" i="2"/>
  <c r="T29" i="2"/>
  <c r="T20" i="2"/>
  <c r="T8" i="2"/>
  <c r="S42" i="2"/>
  <c r="S41" i="2"/>
  <c r="S39" i="2"/>
  <c r="S40" i="2"/>
  <c r="T33" i="2"/>
  <c r="T25" i="2"/>
  <c r="T36" i="2"/>
  <c r="T24" i="2"/>
  <c r="T9" i="2"/>
  <c r="T23" i="2"/>
  <c r="T31" i="2"/>
  <c r="T37" i="2"/>
  <c r="T11" i="2"/>
  <c r="T35" i="2"/>
  <c r="T18" i="2"/>
  <c r="T26" i="2"/>
  <c r="T22" i="2"/>
  <c r="T14" i="2"/>
  <c r="U7" i="2"/>
  <c r="T6" i="2"/>
  <c r="U37" i="2" l="1"/>
  <c r="U15" i="2"/>
  <c r="U34" i="2"/>
  <c r="U22" i="2"/>
  <c r="U29" i="2"/>
  <c r="U23" i="2"/>
  <c r="U14" i="2"/>
  <c r="U31" i="2"/>
  <c r="U19" i="2"/>
  <c r="U12" i="2"/>
  <c r="U9" i="2"/>
  <c r="U27" i="2"/>
  <c r="U26" i="2"/>
  <c r="U8" i="2"/>
  <c r="T41" i="2"/>
  <c r="T42" i="2"/>
  <c r="T39" i="2"/>
  <c r="T40" i="2"/>
  <c r="U28" i="2"/>
  <c r="U17" i="2"/>
  <c r="U18" i="2"/>
  <c r="U35" i="2"/>
  <c r="U36" i="2"/>
  <c r="U30" i="2"/>
  <c r="U32" i="2"/>
  <c r="U13" i="2"/>
  <c r="U24" i="2"/>
  <c r="U25" i="2"/>
  <c r="U20" i="2"/>
  <c r="V20" i="2" s="1"/>
  <c r="U10" i="2"/>
  <c r="U16" i="2"/>
  <c r="U11" i="2"/>
  <c r="U33" i="2"/>
  <c r="U21" i="2"/>
  <c r="V7" i="2"/>
  <c r="U6" i="2"/>
  <c r="V21" i="2" l="1"/>
  <c r="V11" i="2"/>
  <c r="V15" i="2"/>
  <c r="V36" i="2"/>
  <c r="V12" i="2"/>
  <c r="V25" i="2"/>
  <c r="V35" i="2"/>
  <c r="V18" i="2"/>
  <c r="V8" i="2"/>
  <c r="U40" i="2"/>
  <c r="U41" i="2"/>
  <c r="U42" i="2"/>
  <c r="U39" i="2"/>
  <c r="V23" i="2"/>
  <c r="V33" i="2"/>
  <c r="V24" i="2"/>
  <c r="V34" i="2"/>
  <c r="V26" i="2"/>
  <c r="V29" i="2"/>
  <c r="V17" i="2"/>
  <c r="V27" i="2"/>
  <c r="V19" i="2"/>
  <c r="V13" i="2"/>
  <c r="V28" i="2"/>
  <c r="V31" i="2"/>
  <c r="V22" i="2"/>
  <c r="V32" i="2"/>
  <c r="V9" i="2"/>
  <c r="V14" i="2"/>
  <c r="V16" i="2"/>
  <c r="V10" i="2"/>
  <c r="W10" i="2" s="1"/>
  <c r="V30" i="2"/>
  <c r="V37" i="2"/>
  <c r="W7" i="2"/>
  <c r="V6" i="2"/>
  <c r="W15" i="2" l="1"/>
  <c r="W16" i="2"/>
  <c r="W33" i="2"/>
  <c r="W27" i="2"/>
  <c r="W22" i="2"/>
  <c r="W37" i="2"/>
  <c r="W11" i="2"/>
  <c r="W17" i="2"/>
  <c r="W23" i="2"/>
  <c r="W30" i="2"/>
  <c r="W31" i="2"/>
  <c r="W29" i="2"/>
  <c r="W20" i="2"/>
  <c r="W21" i="2"/>
  <c r="W28" i="2"/>
  <c r="W35" i="2"/>
  <c r="W14" i="2"/>
  <c r="W26" i="2"/>
  <c r="W25" i="2"/>
  <c r="W13" i="2"/>
  <c r="W9" i="2"/>
  <c r="W12" i="2"/>
  <c r="W34" i="2"/>
  <c r="W8" i="2"/>
  <c r="V40" i="2"/>
  <c r="V41" i="2"/>
  <c r="V39" i="2"/>
  <c r="V42" i="2"/>
  <c r="W36" i="2"/>
  <c r="W32" i="2"/>
  <c r="W19" i="2"/>
  <c r="W24" i="2"/>
  <c r="W18" i="2"/>
  <c r="X7" i="2"/>
  <c r="W6" i="2"/>
  <c r="X18" i="2" l="1"/>
  <c r="X24" i="2"/>
  <c r="X15" i="2"/>
  <c r="X30" i="2"/>
  <c r="X25" i="2"/>
  <c r="X26" i="2"/>
  <c r="X21" i="2"/>
  <c r="X23" i="2"/>
  <c r="X8" i="2"/>
  <c r="W40" i="2"/>
  <c r="W41" i="2"/>
  <c r="W42" i="2"/>
  <c r="W39" i="2"/>
  <c r="X14" i="2"/>
  <c r="X17" i="2"/>
  <c r="X19" i="2"/>
  <c r="X32" i="2"/>
  <c r="X34" i="2"/>
  <c r="X33" i="2"/>
  <c r="X10" i="2"/>
  <c r="X11" i="2"/>
  <c r="X12" i="2"/>
  <c r="X35" i="2"/>
  <c r="X20" i="2"/>
  <c r="X37" i="2"/>
  <c r="X16" i="2"/>
  <c r="X36" i="2"/>
  <c r="X9" i="2"/>
  <c r="X29" i="2"/>
  <c r="X27" i="2"/>
  <c r="X22" i="2"/>
  <c r="X13" i="2"/>
  <c r="X28" i="2"/>
  <c r="X31" i="2"/>
  <c r="Y7" i="2"/>
  <c r="X6" i="2"/>
  <c r="Y15" i="2" l="1"/>
  <c r="Y27" i="2"/>
  <c r="Y17" i="2"/>
  <c r="Y12" i="2"/>
  <c r="Y28" i="2"/>
  <c r="Y24" i="2"/>
  <c r="Y31" i="2"/>
  <c r="Y9" i="2"/>
  <c r="Y30" i="2"/>
  <c r="Y23" i="2"/>
  <c r="Y36" i="2"/>
  <c r="Y11" i="2"/>
  <c r="Y14" i="2"/>
  <c r="Y21" i="2"/>
  <c r="Y16" i="2"/>
  <c r="Y10" i="2"/>
  <c r="Y26" i="2"/>
  <c r="Y22" i="2"/>
  <c r="Y18" i="2"/>
  <c r="Y33" i="2"/>
  <c r="Y37" i="2"/>
  <c r="Y34" i="2"/>
  <c r="Y13" i="2"/>
  <c r="Y20" i="2"/>
  <c r="Y32" i="2"/>
  <c r="Y25" i="2"/>
  <c r="Y29" i="2"/>
  <c r="Y35" i="2"/>
  <c r="Y19" i="2"/>
  <c r="Y8" i="2"/>
  <c r="X41" i="2"/>
  <c r="X40" i="2"/>
  <c r="X42" i="2"/>
  <c r="X39" i="2"/>
  <c r="Z7" i="2"/>
  <c r="Y6" i="2"/>
  <c r="Z15" i="2" l="1"/>
  <c r="Z29" i="2"/>
  <c r="Z10" i="2"/>
  <c r="Z37" i="2"/>
  <c r="Z23" i="2"/>
  <c r="Z27" i="2"/>
  <c r="Z16" i="2"/>
  <c r="Z25" i="2"/>
  <c r="Z12" i="2"/>
  <c r="Z30" i="2"/>
  <c r="Z32" i="2"/>
  <c r="Z33" i="2"/>
  <c r="Z21" i="2"/>
  <c r="Z9" i="2"/>
  <c r="Z20" i="2"/>
  <c r="Z18" i="2"/>
  <c r="Z14" i="2"/>
  <c r="Z31" i="2"/>
  <c r="Z13" i="2"/>
  <c r="Z22" i="2"/>
  <c r="Z11" i="2"/>
  <c r="Z24" i="2"/>
  <c r="Z8" i="2"/>
  <c r="Y39" i="2"/>
  <c r="Y40" i="2"/>
  <c r="Y41" i="2"/>
  <c r="Y42" i="2"/>
  <c r="Z19" i="2"/>
  <c r="Z17" i="2"/>
  <c r="Z36" i="2"/>
  <c r="Z35" i="2"/>
  <c r="Z34" i="2"/>
  <c r="Z26" i="2"/>
  <c r="Z28" i="2"/>
  <c r="AA7" i="2"/>
  <c r="Z6" i="2"/>
  <c r="AA28" i="2" l="1"/>
  <c r="AA26" i="2"/>
  <c r="AA34" i="2"/>
  <c r="AA17" i="2"/>
  <c r="AA15" i="2"/>
  <c r="AA12" i="2"/>
  <c r="AA20" i="2"/>
  <c r="AA24" i="2"/>
  <c r="AA10" i="2"/>
  <c r="AA23" i="2"/>
  <c r="AA19" i="2"/>
  <c r="AA11" i="2"/>
  <c r="AA9" i="2"/>
  <c r="AA25" i="2"/>
  <c r="AA22" i="2"/>
  <c r="AA21" i="2"/>
  <c r="AA13" i="2"/>
  <c r="AA33" i="2"/>
  <c r="AA16" i="2"/>
  <c r="AA35" i="2"/>
  <c r="AA29" i="2"/>
  <c r="AA31" i="2"/>
  <c r="AA32" i="2"/>
  <c r="AA14" i="2"/>
  <c r="AA37" i="2"/>
  <c r="AA27" i="2"/>
  <c r="AA36" i="2"/>
  <c r="AA8" i="2"/>
  <c r="Z42" i="2"/>
  <c r="Z39" i="2"/>
  <c r="Z40" i="2"/>
  <c r="Z41" i="2"/>
  <c r="AA18" i="2"/>
  <c r="AA30" i="2"/>
  <c r="AB7" i="2"/>
  <c r="AA6" i="2"/>
  <c r="AB15" i="2" l="1"/>
  <c r="AB18" i="2"/>
  <c r="AB23" i="2"/>
  <c r="AB32" i="2"/>
  <c r="AB36" i="2"/>
  <c r="AB30" i="2"/>
  <c r="AB26" i="2"/>
  <c r="AB31" i="2"/>
  <c r="AB21" i="2"/>
  <c r="AB17" i="2"/>
  <c r="AB27" i="2"/>
  <c r="AB29" i="2"/>
  <c r="AB22" i="2"/>
  <c r="AB37" i="2"/>
  <c r="AB35" i="2"/>
  <c r="AB12" i="2"/>
  <c r="AB10" i="2"/>
  <c r="AB16" i="2"/>
  <c r="AB25" i="2"/>
  <c r="AB24" i="2"/>
  <c r="AB33" i="2"/>
  <c r="AB9" i="2"/>
  <c r="AB34" i="2"/>
  <c r="AB13" i="2"/>
  <c r="AB11" i="2"/>
  <c r="AB28" i="2"/>
  <c r="AB14" i="2"/>
  <c r="AB8" i="2"/>
  <c r="AA42" i="2"/>
  <c r="AA39" i="2"/>
  <c r="AA40" i="2"/>
  <c r="AA41" i="2"/>
  <c r="AB20" i="2"/>
  <c r="AB19" i="2"/>
  <c r="AC7" i="2"/>
  <c r="AB6" i="2"/>
  <c r="AC19" i="2" l="1"/>
  <c r="AC15" i="2"/>
  <c r="AC10" i="2"/>
  <c r="AC27" i="2"/>
  <c r="AC14" i="2"/>
  <c r="AC9" i="2"/>
  <c r="AC12" i="2"/>
  <c r="AC17" i="2"/>
  <c r="AC20" i="2"/>
  <c r="AC32" i="2"/>
  <c r="AC33" i="2"/>
  <c r="AC35" i="2"/>
  <c r="AC21" i="2"/>
  <c r="AC8" i="2"/>
  <c r="AB41" i="2"/>
  <c r="AB39" i="2"/>
  <c r="AB40" i="2"/>
  <c r="AB42" i="2"/>
  <c r="AC28" i="2"/>
  <c r="AC37" i="2"/>
  <c r="AC31" i="2"/>
  <c r="AC11" i="2"/>
  <c r="AC36" i="2"/>
  <c r="AC26" i="2"/>
  <c r="AC13" i="2"/>
  <c r="AC24" i="2"/>
  <c r="AC30" i="2"/>
  <c r="AC34" i="2"/>
  <c r="AC25" i="2"/>
  <c r="AC22" i="2"/>
  <c r="AC23" i="2"/>
  <c r="AC18" i="2"/>
  <c r="AC16" i="2"/>
  <c r="AC29" i="2"/>
  <c r="AD7" i="2"/>
  <c r="AC6" i="2"/>
  <c r="AD15" i="2" l="1"/>
  <c r="AD34" i="2"/>
  <c r="AD32" i="2"/>
  <c r="AD36" i="2"/>
  <c r="AD30" i="2"/>
  <c r="AD29" i="2"/>
  <c r="AD19" i="2"/>
  <c r="AD20" i="2"/>
  <c r="AD11" i="2"/>
  <c r="AD17" i="2"/>
  <c r="AD18" i="2"/>
  <c r="AD12" i="2"/>
  <c r="AD24" i="2"/>
  <c r="AD31" i="2"/>
  <c r="AD8" i="2"/>
  <c r="AC41" i="2"/>
  <c r="AC42" i="2"/>
  <c r="AC39" i="2"/>
  <c r="AC40" i="2"/>
  <c r="AD9" i="2"/>
  <c r="AD13" i="2"/>
  <c r="AD37" i="2"/>
  <c r="AD21" i="2"/>
  <c r="AD14" i="2"/>
  <c r="AD23" i="2"/>
  <c r="AD22" i="2"/>
  <c r="AD27" i="2"/>
  <c r="AD35" i="2"/>
  <c r="AD16" i="2"/>
  <c r="AD10" i="2"/>
  <c r="AD25" i="2"/>
  <c r="AD26" i="2"/>
  <c r="AD28" i="2"/>
  <c r="AD33" i="2"/>
  <c r="AE7" i="2"/>
  <c r="AD6" i="2"/>
  <c r="AE15" i="2" l="1"/>
  <c r="AE35" i="2"/>
  <c r="AE37" i="2"/>
  <c r="AE31" i="2"/>
  <c r="AE17" i="2"/>
  <c r="AE13" i="2"/>
  <c r="AE24" i="2"/>
  <c r="AE11" i="2"/>
  <c r="AE33" i="2"/>
  <c r="AE28" i="2"/>
  <c r="AE27" i="2"/>
  <c r="AE9" i="2"/>
  <c r="AE32" i="2"/>
  <c r="AE30" i="2"/>
  <c r="AE22" i="2"/>
  <c r="AE12" i="2"/>
  <c r="AE20" i="2"/>
  <c r="AE23" i="2"/>
  <c r="AE25" i="2"/>
  <c r="AE10" i="2"/>
  <c r="AE36" i="2"/>
  <c r="AE19" i="2"/>
  <c r="AE14" i="2"/>
  <c r="AE18" i="2"/>
  <c r="AE29" i="2"/>
  <c r="AE26" i="2"/>
  <c r="AE16" i="2"/>
  <c r="AE21" i="2"/>
  <c r="AE8" i="2"/>
  <c r="AD41" i="2"/>
  <c r="AD39" i="2"/>
  <c r="AD40" i="2"/>
  <c r="AD42" i="2"/>
  <c r="AE34" i="2"/>
  <c r="AF7" i="2"/>
  <c r="AE6" i="2"/>
  <c r="AF34" i="2" l="1"/>
  <c r="AF15" i="2"/>
  <c r="AF28" i="2"/>
  <c r="AF20" i="2"/>
  <c r="AF16" i="2"/>
  <c r="AF36" i="2"/>
  <c r="AF12" i="2"/>
  <c r="AF33" i="2"/>
  <c r="AF26" i="2"/>
  <c r="AF10" i="2"/>
  <c r="AF22" i="2"/>
  <c r="AF11" i="2"/>
  <c r="AF29" i="2"/>
  <c r="AF25" i="2"/>
  <c r="AF31" i="2"/>
  <c r="AF24" i="2"/>
  <c r="AF30" i="2"/>
  <c r="AF13" i="2"/>
  <c r="AF14" i="2"/>
  <c r="AF32" i="2"/>
  <c r="AF8" i="2"/>
  <c r="AE40" i="2"/>
  <c r="AE41" i="2"/>
  <c r="AE42" i="2"/>
  <c r="AE39" i="2"/>
  <c r="AF17" i="2"/>
  <c r="AF23" i="2"/>
  <c r="AF9" i="2"/>
  <c r="AF35" i="2"/>
  <c r="AF18" i="2"/>
  <c r="AF21" i="2"/>
  <c r="AF19" i="2"/>
  <c r="AF37" i="2"/>
  <c r="AF27" i="2"/>
  <c r="AG7" i="2"/>
  <c r="AF6" i="2"/>
  <c r="AG15" i="2" l="1"/>
  <c r="AG9" i="2"/>
  <c r="AG19" i="2"/>
  <c r="AG10" i="2"/>
  <c r="AG34" i="2"/>
  <c r="AG27" i="2"/>
  <c r="AG23" i="2"/>
  <c r="AG20" i="2"/>
  <c r="AG26" i="2"/>
  <c r="AG37" i="2"/>
  <c r="AG17" i="2"/>
  <c r="AG32" i="2"/>
  <c r="AG24" i="2"/>
  <c r="AG31" i="2"/>
  <c r="AG33" i="2"/>
  <c r="AG14" i="2"/>
  <c r="AG25" i="2"/>
  <c r="AG12" i="2"/>
  <c r="AG18" i="2"/>
  <c r="AG29" i="2"/>
  <c r="AG36" i="2"/>
  <c r="AG21" i="2"/>
  <c r="AG28" i="2"/>
  <c r="AG13" i="2"/>
  <c r="AG11" i="2"/>
  <c r="AG16" i="2"/>
  <c r="AG35" i="2"/>
  <c r="AG8" i="2"/>
  <c r="AF41" i="2"/>
  <c r="AF42" i="2"/>
  <c r="AF39" i="2"/>
  <c r="AF40" i="2"/>
  <c r="AG30" i="2"/>
  <c r="AG22" i="2"/>
  <c r="AH7" i="2"/>
  <c r="AG6" i="2"/>
  <c r="AH15" i="2" l="1"/>
  <c r="AH31" i="2"/>
  <c r="AH29" i="2"/>
  <c r="AH35" i="2"/>
  <c r="AH22" i="2"/>
  <c r="AH19" i="2"/>
  <c r="AH26" i="2"/>
  <c r="AH30" i="2"/>
  <c r="AH16" i="2"/>
  <c r="AH18" i="2"/>
  <c r="AH9" i="2"/>
  <c r="AH20" i="2"/>
  <c r="AH11" i="2"/>
  <c r="AH10" i="2"/>
  <c r="AH13" i="2"/>
  <c r="AH12" i="2"/>
  <c r="AH24" i="2"/>
  <c r="AH23" i="2"/>
  <c r="AH28" i="2"/>
  <c r="AH25" i="2"/>
  <c r="AH32" i="2"/>
  <c r="AH27" i="2"/>
  <c r="AH21" i="2"/>
  <c r="AH14" i="2"/>
  <c r="AH17" i="2"/>
  <c r="AH34" i="2"/>
  <c r="AH8" i="2"/>
  <c r="AG40" i="2"/>
  <c r="AG41" i="2"/>
  <c r="AG39" i="2"/>
  <c r="AG42" i="2"/>
  <c r="AH36" i="2"/>
  <c r="AH33" i="2"/>
  <c r="AH37" i="2"/>
  <c r="AI7" i="2"/>
  <c r="AI6" i="2" s="1"/>
  <c r="AH6" i="2"/>
  <c r="AI33" i="2" l="1"/>
  <c r="AF4" i="2"/>
  <c r="AI28" i="2"/>
  <c r="AM28" i="2" s="1"/>
  <c r="AI30" i="2"/>
  <c r="AI37" i="2"/>
  <c r="AI34" i="2"/>
  <c r="AI23" i="2"/>
  <c r="AI10" i="2"/>
  <c r="AI31" i="2"/>
  <c r="AI17" i="2"/>
  <c r="AI24" i="2"/>
  <c r="AI11" i="2"/>
  <c r="AI26" i="2"/>
  <c r="AI36" i="2"/>
  <c r="AI14" i="2"/>
  <c r="AI12" i="2"/>
  <c r="AI35" i="2"/>
  <c r="AN30" i="2"/>
  <c r="AM30" i="2"/>
  <c r="AK30" i="2"/>
  <c r="AL30" i="2"/>
  <c r="AI21" i="2"/>
  <c r="AI13" i="2"/>
  <c r="AI20" i="2"/>
  <c r="AN28" i="2"/>
  <c r="AK28" i="2"/>
  <c r="AL28" i="2"/>
  <c r="AI27" i="2"/>
  <c r="AI9" i="2"/>
  <c r="AI19" i="2"/>
  <c r="AI8" i="2"/>
  <c r="AH39" i="2"/>
  <c r="AH40" i="2"/>
  <c r="AH41" i="2"/>
  <c r="AH42" i="2"/>
  <c r="AI32" i="2"/>
  <c r="AI29" i="2"/>
  <c r="AI18" i="2"/>
  <c r="AI22" i="2"/>
  <c r="AN33" i="2"/>
  <c r="AM33" i="2"/>
  <c r="AL33" i="2"/>
  <c r="AK33" i="2"/>
  <c r="AI25" i="2"/>
  <c r="AI16" i="2"/>
  <c r="AI15" i="2"/>
  <c r="AN13" i="2" l="1"/>
  <c r="AL13" i="2"/>
  <c r="AM13" i="2"/>
  <c r="AK13" i="2"/>
  <c r="AK27" i="2"/>
  <c r="AN27" i="2"/>
  <c r="AL27" i="2"/>
  <c r="AM27" i="2"/>
  <c r="AN21" i="2"/>
  <c r="AM21" i="2"/>
  <c r="AK21" i="2"/>
  <c r="AL21" i="2"/>
  <c r="AN14" i="2"/>
  <c r="AL14" i="2"/>
  <c r="AM14" i="2"/>
  <c r="AK14" i="2"/>
  <c r="AN24" i="2"/>
  <c r="AM24" i="2"/>
  <c r="AL24" i="2"/>
  <c r="AK24" i="2"/>
  <c r="AN36" i="2"/>
  <c r="AK36" i="2"/>
  <c r="AL36" i="2"/>
  <c r="AM36" i="2"/>
  <c r="AN17" i="2"/>
  <c r="AK17" i="2"/>
  <c r="AL17" i="2"/>
  <c r="AM17" i="2"/>
  <c r="AN32" i="2"/>
  <c r="AL32" i="2"/>
  <c r="AM32" i="2"/>
  <c r="AK32" i="2"/>
  <c r="AL12" i="2"/>
  <c r="AN12" i="2"/>
  <c r="AM12" i="2"/>
  <c r="AK12" i="2"/>
  <c r="AM31" i="2"/>
  <c r="AN31" i="2"/>
  <c r="AL31" i="2"/>
  <c r="AK31" i="2"/>
  <c r="AN10" i="2"/>
  <c r="AK10" i="2"/>
  <c r="AL10" i="2"/>
  <c r="AM10" i="2"/>
  <c r="AM23" i="2"/>
  <c r="AL23" i="2"/>
  <c r="AN23" i="2"/>
  <c r="AK23" i="2"/>
  <c r="AN15" i="2"/>
  <c r="AK15" i="2"/>
  <c r="AM15" i="2"/>
  <c r="AL15" i="2"/>
  <c r="AL22" i="2"/>
  <c r="AK22" i="2"/>
  <c r="AM22" i="2"/>
  <c r="AN22" i="2"/>
  <c r="AI39" i="2"/>
  <c r="AI40" i="2"/>
  <c r="AI41" i="2"/>
  <c r="AI42" i="2"/>
  <c r="AL8" i="2"/>
  <c r="AN8" i="2"/>
  <c r="AM8" i="2"/>
  <c r="AK8" i="2"/>
  <c r="AN16" i="2"/>
  <c r="AM16" i="2"/>
  <c r="AK16" i="2"/>
  <c r="AL16" i="2"/>
  <c r="AK34" i="2"/>
  <c r="AM34" i="2"/>
  <c r="AL34" i="2"/>
  <c r="AN34" i="2"/>
  <c r="AM25" i="2"/>
  <c r="AK25" i="2"/>
  <c r="AL25" i="2"/>
  <c r="AN25" i="2"/>
  <c r="AN11" i="2"/>
  <c r="AK11" i="2"/>
  <c r="AL11" i="2"/>
  <c r="AM11" i="2"/>
  <c r="AN18" i="2"/>
  <c r="AK18" i="2"/>
  <c r="AL18" i="2"/>
  <c r="AM18" i="2"/>
  <c r="AM19" i="2"/>
  <c r="AL19" i="2"/>
  <c r="AK19" i="2"/>
  <c r="AN19" i="2"/>
  <c r="AK29" i="2"/>
  <c r="AM29" i="2"/>
  <c r="AL29" i="2"/>
  <c r="AN29" i="2"/>
  <c r="AM9" i="2"/>
  <c r="AL9" i="2"/>
  <c r="AN9" i="2"/>
  <c r="AK9" i="2"/>
  <c r="AK20" i="2"/>
  <c r="AL20" i="2"/>
  <c r="AN20" i="2"/>
  <c r="AM20" i="2"/>
  <c r="AN35" i="2"/>
  <c r="AM35" i="2"/>
  <c r="AL35" i="2"/>
  <c r="AK35" i="2"/>
  <c r="AK26" i="2"/>
  <c r="AN26" i="2"/>
  <c r="AM26" i="2"/>
  <c r="AL26" i="2"/>
  <c r="AL37" i="2"/>
  <c r="AN37" i="2"/>
  <c r="AK37" i="2"/>
  <c r="AM3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D7" authorId="0" shapeId="0" xr:uid="{7C4376AB-DA70-44C7-B187-ECEA6A1567E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E8" authorId="0" shapeId="0" xr:uid="{8DDB870A-A431-4CFD-AEE9-F6DAED3FB0F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G9" authorId="0" shapeId="0" xr:uid="{D5F4E0E3-1958-4285-ACF1-C1844798C76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Mohamed Siyabi</t>
        </r>
      </text>
    </comment>
    <comment ref="P11" authorId="0" shapeId="0" xr:uid="{5FC59585-3468-4B3B-920D-5BA9CF1BD9B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 by Qasim</t>
        </r>
      </text>
    </comment>
    <comment ref="V12" authorId="0" shapeId="0" xr:uid="{3AF007AA-F33F-4547-97B5-93C25086898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Saleh Aufi</t>
        </r>
      </text>
    </comment>
    <comment ref="K14" authorId="0" shapeId="0" xr:uid="{497A5911-2B65-4378-8E85-67021E91F89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4" authorId="0" shapeId="0" xr:uid="{CE2A75B4-E2F2-496F-BAD4-FF655EB2183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S15" authorId="0" shapeId="0" xr:uid="{410BE61A-2E21-48D1-8577-5A3EC1FB1BF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K16" authorId="0" shapeId="0" xr:uid="{40B645C6-93AF-44ED-B94C-14F0D276FC0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23" authorId="0" shapeId="0" xr:uid="{AE8A9B58-0D13-4310-9A72-5A1C9807B52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K24" authorId="0" shapeId="0" xr:uid="{B773D078-8200-404C-B6A5-6620719822C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25" authorId="0" shapeId="0" xr:uid="{F6F9F1BC-1316-465B-BA4F-1CA35A41D14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Q26" authorId="0" shapeId="0" xr:uid="{EE4CBD7E-6E74-4C7B-9D50-AFB49E98E1E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  <comment ref="J35" authorId="0" shapeId="0" xr:uid="{AA943B2C-F1C3-428C-A3EA-053DA36E871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36" authorId="0" shapeId="0" xr:uid="{75A1431A-A1CA-43B4-9C5E-C80E6881A30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E40" authorId="0" shapeId="0" xr:uid="{590C3E71-6062-4EB2-93AF-C7C9C626CAD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J42" authorId="0" shapeId="0" xr:uid="{2AA0252A-B0FD-46EC-B3D5-F7128B4B67A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43" authorId="0" shapeId="0" xr:uid="{D01BE421-402F-45E7-8CDD-BE8ADA926EF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44" authorId="0" shapeId="0" xr:uid="{CD54468A-7397-468E-B2D8-59BCED47D2A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48" authorId="0" shapeId="0" xr:uid="{68A84822-D2E0-4B3A-816A-E76C7C5B4CF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48" authorId="0" shapeId="0" xr:uid="{9A244F2D-CFEA-4B7D-8E16-06E1972079E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49" authorId="0" shapeId="0" xr:uid="{8333A8B0-F23F-4317-994B-7E921E18D5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49" authorId="0" shapeId="0" xr:uid="{8C6D5547-05F6-4DB7-80FF-332A0C0F9C6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S49" authorId="0" shapeId="0" xr:uid="{AC64701A-2492-4869-80DE-914D4832E14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L54" authorId="0" shapeId="0" xr:uid="{DF11A319-ABF0-4383-BE63-03D4A1626DF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54" authorId="0" shapeId="0" xr:uid="{EF244E3E-B4F5-4AA6-9AFF-58F5D3EAEB82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56" authorId="0" shapeId="0" xr:uid="{94438057-6501-4F0B-B2D6-E22FEA7D09B3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M56" authorId="0" shapeId="0" xr:uid="{F55CD555-3E30-49F8-A967-0044D87CE29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Z56" authorId="0" shapeId="0" xr:uid="{7580CBE3-E651-4893-B0C7-5B652C55D7CB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56" authorId="0" shapeId="0" xr:uid="{661A6D42-B009-4481-A8E0-4566738FE01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57" authorId="0" shapeId="0" xr:uid="{F69B60A3-1D83-4B9B-B506-293B5D53FBDF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57" authorId="0" shapeId="0" xr:uid="{7856FEBC-E41B-479E-99F6-93226F987926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AF67" authorId="0" shapeId="0" xr:uid="{A1911C91-44CA-4164-97DC-16AAEDFFC8F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E71" authorId="0" shapeId="0" xr:uid="{250BE8DB-D7ED-4DCB-8B26-64EEDB60DD4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72" authorId="0" shapeId="0" xr:uid="{D7047CDA-D455-4EB9-B7F3-09F11100723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73" authorId="0" shapeId="0" xr:uid="{AD8C231E-D22D-4C56-9419-91FC4FCEA0D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76" authorId="0" shapeId="0" xr:uid="{32ED3EF2-8979-498E-A05D-E083EBAAB709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AD80" authorId="0" shapeId="0" xr:uid="{103ACE94-B943-4018-B407-3CD7B0D73D2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84" authorId="0" shapeId="0" xr:uid="{2E729F33-00CC-449D-9C27-17AD001DDAB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X5" authorId="0" shapeId="0" xr:uid="{C39E59EA-CE87-4664-BFCF-04E986FE68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Y5" authorId="0" shapeId="0" xr:uid="{209A31B6-BB51-478C-9361-4AD0F83DAFD0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SMS</t>
        </r>
      </text>
    </comment>
    <comment ref="AE7" authorId="0" shapeId="0" xr:uid="{5B1DBE4F-D7FB-4DC2-9D94-DB96C8B6877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F8" authorId="0" shapeId="0" xr:uid="{87B2C2A3-1004-4E60-958D-83E3355ABA5C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G5" authorId="0" shapeId="0" xr:uid="{0D413323-9BE0-4134-9ADF-0A2A71C22E6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Replaced by Mohamed Siyabi</t>
        </r>
      </text>
    </comment>
    <comment ref="P7" authorId="0" shapeId="0" xr:uid="{DB6B6F96-64B7-4430-A277-140E3A5CC5B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Replace by Qasim</t>
        </r>
      </text>
    </comment>
    <comment ref="V8" authorId="0" shapeId="0" xr:uid="{63208830-A93A-47EF-A85F-28BC15218AF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To be replaced by Saleh Aufi</t>
        </r>
      </text>
    </comment>
    <comment ref="K10" authorId="0" shapeId="0" xr:uid="{DA14557E-BC32-4CB3-8118-73377A5FABD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0" authorId="0" shapeId="0" xr:uid="{0BE8B068-36F4-4DB0-9628-5BE65B7582F8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S5" authorId="0" shapeId="0" xr:uid="{81E9154E-1C97-4B57-9383-775D727E0E6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K6" authorId="0" shapeId="0" xr:uid="{CC07FAE3-405D-4175-BC11-24BB41FF196A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Q13" authorId="0" shapeId="0" xr:uid="{8B47FE99-D07F-45E4-8E0B-5904738EF65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K14" authorId="0" shapeId="0" xr:uid="{2DC4F4F2-1149-45AD-AFDD-C5EB7B453B20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S15" authorId="0" shapeId="0" xr:uid="{FE85611F-DF32-4B48-ABEB-53519972C264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Q16" authorId="0" shapeId="0" xr:uid="{E076A8CD-B7D4-48C0-83CE-1A066E0E12B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SMS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J10" authorId="0" shapeId="0" xr:uid="{63537736-93C5-4155-B204-66705DDCACDC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11" authorId="0" shapeId="0" xr:uid="{B9B4D723-F878-4E1C-962D-5BB392C89AD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AE15" authorId="0" shapeId="0" xr:uid="{3EC5A2BE-45CA-4631-854F-2FAA698AA40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J17" authorId="0" shapeId="0" xr:uid="{286849C5-262C-4279-883B-F27573A4D701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18" authorId="0" shapeId="0" xr:uid="{97A81525-ABE5-4410-8E90-01ECE96F62C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  <comment ref="K19" authorId="0" shapeId="0" xr:uid="{98D83B1C-D0AF-4A29-B065-ACE6A1BCA2C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LAR</t>
        </r>
      </text>
    </comment>
    <comment ref="L23" authorId="0" shapeId="0" xr:uid="{CA68DFAB-B0C3-4BFD-9F66-A44F4899BCD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23" authorId="0" shapeId="0" xr:uid="{FDD8FF34-02EB-4BD0-B93C-41E01B9BC7E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24" authorId="0" shapeId="0" xr:uid="{2B3AD81F-E368-4D50-AB46-299FB77B641D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Forklift</t>
        </r>
      </text>
    </comment>
    <comment ref="Q24" authorId="0" shapeId="0" xr:uid="{3ABC72F9-035B-4B1A-B496-8F48E0C23B0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ADP</t>
        </r>
      </text>
    </comment>
    <comment ref="S24" authorId="0" shapeId="0" xr:uid="{DE8838DA-0C2E-449F-8353-106E662FE17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Basic Cargo</t>
        </r>
      </text>
    </comment>
    <comment ref="L29" authorId="0" shapeId="0" xr:uid="{318E3E86-5030-4D85-AFDB-B1A47FCE0B34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M29" authorId="0" shapeId="0" xr:uid="{A02B9E16-A962-43A5-8608-D1D823E9C12E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CWO</t>
        </r>
      </text>
    </comment>
    <comment ref="L31" authorId="0" shapeId="0" xr:uid="{3A06FC0A-B90A-46A7-B141-B4934B138D1F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M31" authorId="0" shapeId="0" xr:uid="{85D4C754-DD93-47E0-8877-CC3BE7BBDEEE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CWO</t>
        </r>
      </text>
    </comment>
    <comment ref="Z31" authorId="0" shapeId="0" xr:uid="{ABD614F5-CAC9-473C-AD61-8705C383A737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AA31" authorId="0" shapeId="0" xr:uid="{099B780A-A2BC-4F29-A310-34BCF0281087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J32" authorId="0" shapeId="0" xr:uid="{8155CC3A-5CA1-49AE-9D9C-FD3D60847288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ADP</t>
        </r>
      </text>
    </comment>
    <comment ref="R32" authorId="0" shapeId="0" xr:uid="{2A9CEC2B-A083-4A8C-B057-C42A67C27969}">
      <text>
        <r>
          <rPr>
            <b/>
            <sz val="9"/>
            <color indexed="81"/>
            <rFont val="Tahoma"/>
            <family val="2"/>
          </rPr>
          <t>Rodolfo C Magcaling:</t>
        </r>
        <r>
          <rPr>
            <sz val="9"/>
            <color indexed="81"/>
            <rFont val="Tahoma"/>
            <family val="2"/>
          </rPr>
          <t xml:space="preserve">
Airside Safety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Rodolfo C Magcaling</author>
  </authors>
  <commentList>
    <comment ref="AF6" authorId="0" shapeId="0" xr:uid="{182D2F09-296D-4D5D-9919-8F478274E805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E10" authorId="0" shapeId="0" xr:uid="{23F29BBC-D974-42E6-9FFF-A2793DD3B9D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11" authorId="0" shapeId="0" xr:uid="{78CA483D-2B2C-4F8D-8401-9D017A3E1581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AD12" authorId="0" shapeId="0" xr:uid="{97E42DB0-2E44-4917-978A-78CA332EC772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15" authorId="0" shapeId="0" xr:uid="{52D2379D-0210-4DCD-9239-BCEA324FB7AA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  <comment ref="AD19" authorId="0" shapeId="0" xr:uid="{B4649C6C-3284-4F1B-85F7-3A390185CA76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Human Factor</t>
        </r>
      </text>
    </comment>
    <comment ref="Z23" authorId="0" shapeId="0" xr:uid="{C2F372D2-6459-43AD-8195-F4FFDBDA324D}">
      <text>
        <r>
          <rPr>
            <b/>
            <sz val="9"/>
            <color indexed="81"/>
            <rFont val="Tahoma"/>
            <charset val="1"/>
          </rPr>
          <t>Rodolfo C Magcaling:</t>
        </r>
        <r>
          <rPr>
            <sz val="9"/>
            <color indexed="81"/>
            <rFont val="Tahoma"/>
            <charset val="1"/>
          </rPr>
          <t xml:space="preserve">
Sec. Awareness</t>
        </r>
      </text>
    </comment>
  </commentList>
</comments>
</file>

<file path=xl/sharedStrings.xml><?xml version="1.0" encoding="utf-8"?>
<sst xmlns="http://schemas.openxmlformats.org/spreadsheetml/2006/main" count="7808" uniqueCount="272">
  <si>
    <t>Month List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</si>
  <si>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</si>
  <si>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</si>
  <si>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</si>
  <si>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</si>
  <si>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</si>
  <si>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</si>
  <si>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</si>
  <si>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</si>
  <si>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</si>
  <si>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</si>
  <si>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</si>
  <si>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</si>
  <si>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</t>
  </si>
  <si>
    <t>Weekend</t>
  </si>
  <si>
    <t>Fri</t>
  </si>
  <si>
    <t>Sat</t>
  </si>
  <si>
    <t>Shift Type</t>
  </si>
  <si>
    <t xml:space="preserve">Morning </t>
  </si>
  <si>
    <t>Afternoon</t>
  </si>
  <si>
    <t xml:space="preserve">Night </t>
  </si>
  <si>
    <t xml:space="preserve">Offdays </t>
  </si>
  <si>
    <t>Shift Legends</t>
  </si>
  <si>
    <t>M1</t>
  </si>
  <si>
    <t>M2</t>
  </si>
  <si>
    <t>A1</t>
  </si>
  <si>
    <t>N1</t>
  </si>
  <si>
    <t>N2</t>
  </si>
  <si>
    <t>O1</t>
  </si>
  <si>
    <t>O2</t>
  </si>
  <si>
    <t>O3</t>
  </si>
  <si>
    <t>Holidays</t>
  </si>
  <si>
    <t>Logo</t>
  </si>
  <si>
    <t>Duty Roster for the Month of</t>
  </si>
  <si>
    <t>Month Starts On:</t>
  </si>
  <si>
    <t>Start date:</t>
  </si>
  <si>
    <t>End date:</t>
  </si>
  <si>
    <t>Total Days:</t>
  </si>
  <si>
    <t>Employee Name</t>
  </si>
  <si>
    <t>Shift Starts</t>
  </si>
  <si>
    <t>Employee -1</t>
  </si>
  <si>
    <t>Employee -2</t>
  </si>
  <si>
    <t>Employee -3</t>
  </si>
  <si>
    <t>Employee -4</t>
  </si>
  <si>
    <t>Employee -5</t>
  </si>
  <si>
    <t>Employee -6</t>
  </si>
  <si>
    <t>Employee -7</t>
  </si>
  <si>
    <t>Employee -8</t>
  </si>
  <si>
    <t>Employee -9</t>
  </si>
  <si>
    <t>Employee -10</t>
  </si>
  <si>
    <t>Employee -11</t>
  </si>
  <si>
    <t>Employee -12</t>
  </si>
  <si>
    <t>Employee -13</t>
  </si>
  <si>
    <t>Employee -14</t>
  </si>
  <si>
    <t>Employee -15</t>
  </si>
  <si>
    <t>Employee -16</t>
  </si>
  <si>
    <t>Employee -17</t>
  </si>
  <si>
    <t>Employee -18</t>
  </si>
  <si>
    <t>Employee -19</t>
  </si>
  <si>
    <t>Employee -20</t>
  </si>
  <si>
    <t>Employee -21</t>
  </si>
  <si>
    <t>Employee -22</t>
  </si>
  <si>
    <t>Employee -23</t>
  </si>
  <si>
    <t>Employee -24</t>
  </si>
  <si>
    <t>Employee -25</t>
  </si>
  <si>
    <t>Employee -26</t>
  </si>
  <si>
    <t>Employee -27</t>
  </si>
  <si>
    <t>Employee -28</t>
  </si>
  <si>
    <t>Employee -29</t>
  </si>
  <si>
    <t>Employee -30</t>
  </si>
  <si>
    <t>Morning Shift</t>
  </si>
  <si>
    <t>Afternoon Shift</t>
  </si>
  <si>
    <t xml:space="preserve">Night Shift </t>
  </si>
  <si>
    <t>Offday</t>
  </si>
  <si>
    <t xml:space="preserve">Total Morning Shift </t>
  </si>
  <si>
    <t>Total Afternoon Shift</t>
  </si>
  <si>
    <t>Total Night Shift</t>
  </si>
  <si>
    <t>Total Off Days</t>
  </si>
  <si>
    <t xml:space="preserve">Final Monthly Report </t>
  </si>
  <si>
    <t>Staff 1</t>
  </si>
  <si>
    <t>Staff 2</t>
  </si>
  <si>
    <t>Staff 3</t>
  </si>
  <si>
    <t>Staff 4</t>
  </si>
  <si>
    <t>Staff 5</t>
  </si>
  <si>
    <t>Staff 6</t>
  </si>
  <si>
    <t>Staff 7</t>
  </si>
  <si>
    <t>Staff 8</t>
  </si>
  <si>
    <t>Staff 9</t>
  </si>
  <si>
    <t>Staff 10</t>
  </si>
  <si>
    <t>Staff 11</t>
  </si>
  <si>
    <t xml:space="preserve">Minimum Requirement </t>
  </si>
  <si>
    <t xml:space="preserve">Morning Shift </t>
  </si>
  <si>
    <t xml:space="preserve">Afternoon Shift </t>
  </si>
  <si>
    <t>A2</t>
  </si>
  <si>
    <t xml:space="preserve"> </t>
  </si>
  <si>
    <t>MON</t>
  </si>
  <si>
    <t>TUE</t>
  </si>
  <si>
    <t>WED</t>
  </si>
  <si>
    <t>THU</t>
  </si>
  <si>
    <t>FRI</t>
  </si>
  <si>
    <t>SAT</t>
  </si>
  <si>
    <t>SUN</t>
  </si>
  <si>
    <t xml:space="preserve">On duty </t>
  </si>
  <si>
    <t xml:space="preserve">Total Staffs  </t>
  </si>
  <si>
    <t>Extra Staffs</t>
  </si>
  <si>
    <t>Employee</t>
  </si>
  <si>
    <t>Standby Staffs</t>
  </si>
  <si>
    <t>STM1</t>
  </si>
  <si>
    <t>STA1</t>
  </si>
  <si>
    <t>STN1</t>
  </si>
  <si>
    <t>STA2</t>
  </si>
  <si>
    <t>STM2</t>
  </si>
  <si>
    <t xml:space="preserve">Staff Number Of Days Standby </t>
  </si>
  <si>
    <t>Staff's Morning Duty</t>
  </si>
  <si>
    <t>Staff's Night Duty</t>
  </si>
  <si>
    <t>Staff's Offdays</t>
  </si>
  <si>
    <t>Staff's Afternoon Duty</t>
  </si>
  <si>
    <t>Documentation Roster for the Month of September 2025</t>
  </si>
  <si>
    <t>M3</t>
  </si>
  <si>
    <t>M</t>
  </si>
  <si>
    <t>A3</t>
  </si>
  <si>
    <t>A4</t>
  </si>
  <si>
    <t>N1N</t>
  </si>
  <si>
    <t>STA3</t>
  </si>
  <si>
    <t>STM3</t>
  </si>
  <si>
    <t>Flight Attending (Export and Import)  Roster for the Month of September 2025</t>
  </si>
  <si>
    <t>Export Checkers Roster for the Month of NOVEMBER 2025</t>
  </si>
  <si>
    <t>82415 Ahmed Al Balushi</t>
  </si>
  <si>
    <t>82420 Mohamed Al Saadi</t>
  </si>
  <si>
    <t>82431 Mahmood Al Balushi</t>
  </si>
  <si>
    <t>82331 Ismail Al Maharbi</t>
  </si>
  <si>
    <t>82419 Haitham Al Balushi</t>
  </si>
  <si>
    <t>82425 Ali Al Shamsi</t>
  </si>
  <si>
    <t>82427 Ahmed Al Oraimi</t>
  </si>
  <si>
    <t>82428 Abdullah Al Maharbi</t>
  </si>
  <si>
    <t>82417 Talal Al Huseini</t>
  </si>
  <si>
    <t>80479 Sami Al Hadabi</t>
  </si>
  <si>
    <t>82410 Said Al Sadi</t>
  </si>
  <si>
    <t>82416 Nasser Al Omairi</t>
  </si>
  <si>
    <t>82571 Yaarab Al Raqadi</t>
  </si>
  <si>
    <t>80480 Younis Al Siyabi</t>
  </si>
  <si>
    <t>82566 Anwar Al Amri</t>
  </si>
  <si>
    <t>O</t>
  </si>
  <si>
    <t>Training</t>
  </si>
  <si>
    <t>TR</t>
  </si>
  <si>
    <t>Jaafar Al Balushi - 81258</t>
  </si>
  <si>
    <t>Mohamed Al Mazroie - 82658</t>
  </si>
  <si>
    <t>Mohamed Al Siyabi - 81402</t>
  </si>
  <si>
    <t>Mohamed Al Maskari - 82666</t>
  </si>
  <si>
    <t>Khalifa Al Maqbali - 82673</t>
  </si>
  <si>
    <t>Wissam Al Kharusi - 82464</t>
  </si>
  <si>
    <t>Saif Al Mahrizi - 82649</t>
  </si>
  <si>
    <t>Abdulfatah Al Shukeili - 990465</t>
  </si>
  <si>
    <t>Ammar Al Hashmi - 82659</t>
  </si>
  <si>
    <t>Marhoon Al Kiyumi - 82545</t>
  </si>
  <si>
    <t>Khalil Al Hinai - 82671</t>
  </si>
  <si>
    <t>Rashid Al Farsi - 82615</t>
  </si>
  <si>
    <t>Dawood Al Siyabi - 82672</t>
  </si>
  <si>
    <t>Fahim Al Hashni - 8930</t>
  </si>
  <si>
    <t>Yousuf Al Balushi - 82587</t>
  </si>
  <si>
    <t>Marlon Esmilla - 80270</t>
  </si>
  <si>
    <t>Ali Yousuf Al Balushi - 990752</t>
  </si>
  <si>
    <t>Ali Al Farsi - 81393</t>
  </si>
  <si>
    <t>Waleed Al Hadabi - 80482</t>
  </si>
  <si>
    <t>Abdullah Al Shukeili - 82645</t>
  </si>
  <si>
    <t>Ali Al Mamari - 82574</t>
  </si>
  <si>
    <t>Ahmed Al Mawali - 82283</t>
  </si>
  <si>
    <t>Raad Al Farsi - 82578</t>
  </si>
  <si>
    <t>Mohamed Al Mamari - 82674</t>
  </si>
  <si>
    <t>Waleed Al Siyabi - 8611</t>
  </si>
  <si>
    <t>Saleh Al Aufi - 82550</t>
  </si>
  <si>
    <t>Mazin Al Hajri - 82547</t>
  </si>
  <si>
    <t>Ali Al Marjubi - 82577</t>
  </si>
  <si>
    <t>Hosni Al Sulti - 80695</t>
  </si>
  <si>
    <t>Ahmed Al Hashmi - 82616</t>
  </si>
  <si>
    <t>Ghaith Al Habsi - 82439</t>
  </si>
  <si>
    <t>Mohamed Al Maskari - 82661</t>
  </si>
  <si>
    <t>Khalid Al Raqadi - 8715</t>
  </si>
  <si>
    <t>Mohamed Al Amri - 81404</t>
  </si>
  <si>
    <t>Saleh Al Rashdi - 82546</t>
  </si>
  <si>
    <t>Jay Macalino - 80250</t>
  </si>
  <si>
    <t>Mohamed Al Kalbani - 82593</t>
  </si>
  <si>
    <t>Talal Al Balushi - 81300</t>
  </si>
  <si>
    <t>Said Al Amri - 990737</t>
  </si>
  <si>
    <t>Adil Al Zadjali - 8584 (Support)</t>
  </si>
  <si>
    <t>Ahmed Al Bakari - 81832 (Support)</t>
  </si>
  <si>
    <t>Mudrik Al Harthi - 82670 (Inventory)</t>
  </si>
  <si>
    <t>Rodolfo Magcaling - 80235</t>
  </si>
  <si>
    <t>Rajaram - 8899</t>
  </si>
  <si>
    <t>Salim Al Masroori - 8926</t>
  </si>
  <si>
    <t>Adil Al Balushi - 81392</t>
  </si>
  <si>
    <t>Jamal Al Hadi - 82565</t>
  </si>
  <si>
    <t>Ahmed Al Sabii - 82653</t>
  </si>
  <si>
    <t>Mohana Al Subhi - 8714</t>
  </si>
  <si>
    <t>Mohamed Al Amri - 81224</t>
  </si>
  <si>
    <t xml:space="preserve">Khamis Al Hinai - 82467 </t>
  </si>
  <si>
    <t>Mazin Al Siyabi - 81223</t>
  </si>
  <si>
    <t>Adil Al Oraimi - 8941</t>
  </si>
  <si>
    <t>Badar Al Hamadani - 81307</t>
  </si>
  <si>
    <t>Ghassan Al Tarsi - 82588</t>
  </si>
  <si>
    <t>Mohamed Al Falahi - 8762</t>
  </si>
  <si>
    <t>Issa Al Douyani - 8647</t>
  </si>
  <si>
    <t>Salim Sulieman - 8722</t>
  </si>
  <si>
    <t>Zakariya Al Balushi - 82429</t>
  </si>
  <si>
    <t>Salim Al Harassi - 8542</t>
  </si>
  <si>
    <t>Badar Al Fulaiti - 82468</t>
  </si>
  <si>
    <t>Muadh Al Qasimi - 82534</t>
  </si>
  <si>
    <t>Faisal Al Balushi - 82656</t>
  </si>
  <si>
    <t>Said Al Fahkri - 8744</t>
  </si>
  <si>
    <t>Ahmed Al Hadi - 82654</t>
  </si>
  <si>
    <t xml:space="preserve">82423 Badar Al Burtamani - </t>
  </si>
  <si>
    <t>Yousuf Al Jaradi - 8646</t>
  </si>
  <si>
    <t>Riyadh Al Sulti - 82424</t>
  </si>
  <si>
    <t>Riyadh Al Jabri - 82555</t>
  </si>
  <si>
    <t>Hamed Al Fulaiti - 82596</t>
  </si>
  <si>
    <t>Marwan Al Difai - 82437</t>
  </si>
  <si>
    <t>Mubarak Al Nofli - 82114</t>
  </si>
  <si>
    <t>Mudathir Al Hajri - 82441</t>
  </si>
  <si>
    <t>Omar Al Obaidi - 82551</t>
  </si>
  <si>
    <t>Al Muthana Al Shamfari - 82445</t>
  </si>
  <si>
    <t>Ahmed Al Muqaini - 82548</t>
  </si>
  <si>
    <t>Ahmed Al Kharusi - 82575</t>
  </si>
  <si>
    <t>Assad Al Omairi - 81348</t>
  </si>
  <si>
    <t>Bushra Al Wahiebi - 82657</t>
  </si>
  <si>
    <t>Qasim Al Maqbali - 81409</t>
  </si>
  <si>
    <t>Habib Al Balushi - 82600</t>
  </si>
  <si>
    <t>A</t>
  </si>
  <si>
    <t>N</t>
  </si>
  <si>
    <t>Rest/Off Day</t>
  </si>
  <si>
    <t>MN06</t>
  </si>
  <si>
    <t>AN13</t>
  </si>
  <si>
    <t>NN13</t>
  </si>
  <si>
    <t>LEGENDS</t>
  </si>
  <si>
    <t>ANNUAL LEAVE</t>
  </si>
  <si>
    <t>TRAINING/COURSE</t>
  </si>
  <si>
    <t>ST</t>
  </si>
  <si>
    <t>STANDBY</t>
  </si>
  <si>
    <t>ME07</t>
  </si>
  <si>
    <t>0700-1500</t>
  </si>
  <si>
    <t>MN12</t>
  </si>
  <si>
    <t>0600H-1500H</t>
  </si>
  <si>
    <t>1200H-2100H</t>
  </si>
  <si>
    <t>STAND-BY</t>
  </si>
  <si>
    <t>Supervisor</t>
  </si>
  <si>
    <t>Load Control</t>
  </si>
  <si>
    <t>Checkers</t>
  </si>
  <si>
    <t>SP</t>
  </si>
  <si>
    <t>LC</t>
  </si>
  <si>
    <t>CH</t>
  </si>
  <si>
    <t>OP</t>
  </si>
  <si>
    <t>Operators</t>
  </si>
  <si>
    <t>FL</t>
  </si>
  <si>
    <t>Flight Attentding</t>
  </si>
  <si>
    <t>STMN06</t>
  </si>
  <si>
    <t>NN21</t>
  </si>
  <si>
    <t>STAN13</t>
  </si>
  <si>
    <t>STNN21</t>
  </si>
  <si>
    <t>OFF</t>
  </si>
  <si>
    <t>LV</t>
  </si>
  <si>
    <t>ATAN13</t>
  </si>
  <si>
    <t>ME</t>
  </si>
  <si>
    <t>Export Checkers Roster for the Month of JANUARY 2026</t>
  </si>
  <si>
    <t>0600-1300</t>
  </si>
  <si>
    <t>1300-2200</t>
  </si>
  <si>
    <t>2100-0600</t>
  </si>
  <si>
    <t>Export Load Control Roster for the Month of JANUARY 2026</t>
  </si>
  <si>
    <t>Export Operators Roster for the Month of JANUARY 2026</t>
  </si>
  <si>
    <t>OF</t>
  </si>
  <si>
    <t>Mohamed Al Subhi - 82592 (Inventory)</t>
  </si>
  <si>
    <t>STAN1`3</t>
  </si>
  <si>
    <t>Ahmed Al Balushi - 82415</t>
  </si>
  <si>
    <t>Ahmed Al Balushi  - 82415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</si>
</sst>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dd\-mm\-yyyy"/>
    <numFmt numFmtId="166" formatCode="dd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66">
    <xf numFmtId="0" fontId="0" fillId="0" borderId="0" xfId="0"/>
    <xf numFmtId="164" fontId="0" fillId="0" borderId="0" xfId="0" applyNumberFormat="1"/>
    <xf numFmtId="15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/>
    <xf numFmtId="0" fontId="0" fillId="0" borderId="4" xfId="0" applyBorder="1" applyAlignment="1"/>
    <xf numFmtId="0" fontId="0" fillId="0" borderId="3" xfId="0" applyBorder="1" applyAlignment="1"/>
    <xf numFmtId="0" fontId="0" fillId="0" borderId="1" xfId="0" applyFill="1" applyBorder="1" applyAlignment="1">
      <alignment horizontal="center" vertical="center"/>
    </xf>
    <xf numFmtId="0" fontId="1" fillId="0" borderId="4" xfId="0" applyFont="1" applyBorder="1" applyAlignment="1"/>
    <xf numFmtId="0" fontId="1" fillId="3" borderId="1" xfId="0" applyFont="1" applyFill="1" applyBorder="1" applyAlignment="1">
      <alignment horizontal="center" textRotation="90"/>
    </xf>
    <xf numFmtId="0" fontId="1" fillId="0" borderId="0" xfId="0" applyFont="1" applyBorder="1"/>
    <xf numFmtId="166" fontId="1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/>
    <xf numFmtId="0" fontId="6" fillId="0" borderId="3" xfId="0" applyFont="1" applyBorder="1" applyAlignment="1" applyProtection="1">
      <alignment horizontal="center" vertical="center"/>
      <protection locked="0"/>
    </xf>
    <xf numFmtId="0" fontId="9" fillId="5" borderId="14" xfId="0" applyFont="1" applyFill="1" applyBorder="1" applyAlignment="1">
      <alignment horizontal="center" vertical="center" textRotation="90"/>
    </xf>
    <xf numFmtId="0" fontId="9" fillId="5" borderId="3" xfId="0" applyFont="1" applyFill="1" applyBorder="1" applyAlignment="1">
      <alignment horizontal="center" vertical="center" textRotation="90"/>
    </xf>
    <xf numFmtId="0" fontId="9" fillId="5" borderId="12" xfId="0" applyFont="1" applyFill="1" applyBorder="1" applyAlignment="1">
      <alignment horizontal="center" vertical="center" textRotation="90"/>
    </xf>
    <xf numFmtId="0" fontId="10" fillId="5" borderId="15" xfId="0" applyFont="1" applyFill="1" applyBorder="1"/>
    <xf numFmtId="0" fontId="9" fillId="5" borderId="8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0" fillId="5" borderId="10" xfId="0" applyFont="1" applyFill="1" applyBorder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3" fillId="0" borderId="0" xfId="0" applyFont="1"/>
    <xf numFmtId="0" fontId="1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right"/>
    </xf>
    <xf numFmtId="0" fontId="9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/>
    </xf>
    <xf numFmtId="0" fontId="9" fillId="5" borderId="21" xfId="0" applyFont="1" applyFill="1" applyBorder="1" applyAlignment="1">
      <alignment horizontal="center" vertical="center"/>
    </xf>
    <xf numFmtId="0" fontId="9" fillId="5" borderId="22" xfId="0" applyFont="1" applyFill="1" applyBorder="1" applyAlignment="1">
      <alignment horizontal="center" vertical="center"/>
    </xf>
    <xf numFmtId="0" fontId="9" fillId="5" borderId="24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4" fillId="0" borderId="35" xfId="0" applyFont="1" applyBorder="1"/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/>
    <xf numFmtId="0" fontId="4" fillId="0" borderId="9" xfId="0" applyFont="1" applyBorder="1" applyAlignment="1">
      <alignment horizontal="center" vertical="center"/>
    </xf>
    <xf numFmtId="0" fontId="4" fillId="0" borderId="10" xfId="0" applyFont="1" applyBorder="1"/>
    <xf numFmtId="0" fontId="9" fillId="0" borderId="14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0" borderId="0" xfId="0" applyFont="1" applyBorder="1"/>
    <xf numFmtId="0" fontId="4" fillId="11" borderId="14" xfId="0" applyFont="1" applyFill="1" applyBorder="1" applyAlignment="1">
      <alignment horizontal="center" vertical="center"/>
    </xf>
    <xf numFmtId="0" fontId="4" fillId="10" borderId="30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30" xfId="0" applyFont="1" applyFill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6" borderId="30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4" fillId="12" borderId="6" xfId="0" applyFont="1" applyFill="1" applyBorder="1" applyAlignment="1">
      <alignment horizontal="center"/>
    </xf>
    <xf numFmtId="0" fontId="4" fillId="12" borderId="5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0" fontId="5" fillId="9" borderId="30" xfId="0" applyFont="1" applyFill="1" applyBorder="1" applyAlignment="1">
      <alignment horizontal="center" vertical="center"/>
    </xf>
    <xf numFmtId="0" fontId="5" fillId="8" borderId="30" xfId="0" applyFont="1" applyFill="1" applyBorder="1" applyAlignment="1">
      <alignment horizontal="center" vertical="center"/>
    </xf>
    <xf numFmtId="0" fontId="18" fillId="7" borderId="30" xfId="0" applyFont="1" applyFill="1" applyBorder="1" applyAlignment="1">
      <alignment horizontal="center" vertical="center"/>
    </xf>
    <xf numFmtId="0" fontId="18" fillId="6" borderId="44" xfId="0" applyFont="1" applyFill="1" applyBorder="1" applyAlignment="1">
      <alignment horizontal="center" vertical="center"/>
    </xf>
    <xf numFmtId="0" fontId="5" fillId="12" borderId="6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4" xfId="0" applyFont="1" applyBorder="1"/>
    <xf numFmtId="0" fontId="6" fillId="0" borderId="1" xfId="0" applyFont="1" applyBorder="1" applyAlignment="1" applyProtection="1">
      <alignment horizontal="center" vertical="center"/>
      <protection locked="0"/>
    </xf>
    <xf numFmtId="0" fontId="4" fillId="0" borderId="1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4" fillId="0" borderId="25" xfId="0" applyFont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6" fillId="0" borderId="2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>
      <alignment horizontal="center" vertical="center"/>
    </xf>
    <xf numFmtId="0" fontId="9" fillId="5" borderId="23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20" fillId="5" borderId="0" xfId="0" applyFont="1" applyFill="1" applyBorder="1" applyAlignment="1">
      <alignment horizontal="center" vertical="center"/>
    </xf>
    <xf numFmtId="15" fontId="4" fillId="0" borderId="0" xfId="0" applyNumberFormat="1" applyFont="1"/>
    <xf numFmtId="0" fontId="9" fillId="5" borderId="5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center" vertical="center"/>
    </xf>
    <xf numFmtId="0" fontId="9" fillId="5" borderId="52" xfId="0" applyFont="1" applyFill="1" applyBorder="1" applyAlignment="1">
      <alignment horizontal="center" vertical="center"/>
    </xf>
    <xf numFmtId="0" fontId="9" fillId="5" borderId="20" xfId="0" applyFont="1" applyFill="1" applyBorder="1" applyAlignment="1">
      <alignment horizontal="center" vertical="center" textRotation="90"/>
    </xf>
    <xf numFmtId="0" fontId="9" fillId="5" borderId="21" xfId="0" applyFont="1" applyFill="1" applyBorder="1" applyAlignment="1">
      <alignment horizontal="center" vertical="center" textRotation="90"/>
    </xf>
    <xf numFmtId="0" fontId="9" fillId="5" borderId="33" xfId="0" applyFont="1" applyFill="1" applyBorder="1" applyAlignment="1">
      <alignment horizontal="center" vertical="center" textRotation="90"/>
    </xf>
    <xf numFmtId="0" fontId="9" fillId="5" borderId="7" xfId="0" applyFont="1" applyFill="1" applyBorder="1" applyAlignment="1">
      <alignment horizontal="center" vertical="center" textRotation="90"/>
    </xf>
    <xf numFmtId="0" fontId="9" fillId="5" borderId="25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9" fillId="5" borderId="23" xfId="0" applyFont="1" applyFill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1" xfId="0" applyFont="1" applyFill="1" applyBorder="1" applyAlignment="1">
      <alignment horizontal="center"/>
    </xf>
    <xf numFmtId="0" fontId="8" fillId="4" borderId="2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center"/>
    </xf>
    <xf numFmtId="0" fontId="11" fillId="0" borderId="48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17" fillId="7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7" fillId="6" borderId="48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 vertical="center"/>
    </xf>
    <xf numFmtId="0" fontId="4" fillId="11" borderId="4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12" borderId="5" xfId="0" applyFont="1" applyFill="1" applyBorder="1" applyAlignment="1">
      <alignment horizontal="center" vertical="center"/>
    </xf>
    <xf numFmtId="0" fontId="4" fillId="12" borderId="32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32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right"/>
    </xf>
    <xf numFmtId="0" fontId="9" fillId="0" borderId="6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13" xfId="0" applyFont="1" applyBorder="1" applyAlignment="1">
      <alignment horizontal="center" vertical="center"/>
    </xf>
    <xf numFmtId="0" fontId="9" fillId="0" borderId="1" xfId="0" applyFont="1" applyBorder="1" applyAlignment="1">
      <alignment horizontal="right"/>
    </xf>
    <xf numFmtId="0" fontId="11" fillId="0" borderId="12" xfId="0" applyFont="1" applyBorder="1" applyAlignment="1">
      <alignment horizontal="left" vertical="center"/>
    </xf>
    <xf numFmtId="0" fontId="11" fillId="0" borderId="18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12" borderId="34" xfId="0" applyFont="1" applyFill="1" applyBorder="1" applyAlignment="1">
      <alignment horizontal="center" vertical="center"/>
    </xf>
    <xf numFmtId="0" fontId="4" fillId="12" borderId="49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/>
    </xf>
    <xf numFmtId="0" fontId="17" fillId="7" borderId="32" xfId="0" applyFont="1" applyFill="1" applyBorder="1" applyAlignment="1">
      <alignment horizontal="center"/>
    </xf>
    <xf numFmtId="0" fontId="17" fillId="6" borderId="5" xfId="0" applyFont="1" applyFill="1" applyBorder="1" applyAlignment="1">
      <alignment horizontal="center"/>
    </xf>
    <xf numFmtId="0" fontId="17" fillId="6" borderId="32" xfId="0" applyFont="1" applyFill="1" applyBorder="1" applyAlignment="1">
      <alignment horizontal="center"/>
    </xf>
    <xf numFmtId="0" fontId="6" fillId="0" borderId="1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4" fillId="12" borderId="5" xfId="0" applyFont="1" applyFill="1" applyBorder="1" applyAlignment="1">
      <alignment horizontal="center"/>
    </xf>
    <xf numFmtId="0" fontId="4" fillId="12" borderId="6" xfId="0" applyFont="1" applyFill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4" fillId="11" borderId="12" xfId="0" applyFont="1" applyFill="1" applyBorder="1" applyAlignment="1">
      <alignment horizontal="center"/>
    </xf>
    <xf numFmtId="0" fontId="4" fillId="11" borderId="42" xfId="0" applyFont="1" applyFill="1" applyBorder="1" applyAlignment="1">
      <alignment horizontal="center"/>
    </xf>
    <xf numFmtId="0" fontId="4" fillId="12" borderId="32" xfId="0" applyFont="1" applyFill="1" applyBorder="1" applyAlignment="1">
      <alignment horizontal="center"/>
    </xf>
    <xf numFmtId="0" fontId="4" fillId="9" borderId="5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4" fillId="8" borderId="5" xfId="0" applyFont="1" applyFill="1" applyBorder="1" applyAlignment="1">
      <alignment horizontal="center"/>
    </xf>
    <xf numFmtId="0" fontId="4" fillId="8" borderId="32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7" fillId="7" borderId="13" xfId="0" applyFont="1" applyFill="1" applyBorder="1" applyAlignment="1">
      <alignment horizontal="center"/>
    </xf>
    <xf numFmtId="0" fontId="17" fillId="6" borderId="11" xfId="0" applyFont="1" applyFill="1" applyBorder="1" applyAlignment="1">
      <alignment horizontal="center"/>
    </xf>
    <xf numFmtId="0" fontId="17" fillId="6" borderId="46" xfId="0" applyFont="1" applyFill="1" applyBorder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4" fillId="11" borderId="34" xfId="0" applyFont="1" applyFill="1" applyBorder="1" applyAlignment="1">
      <alignment horizontal="center"/>
    </xf>
    <xf numFmtId="0" fontId="4" fillId="11" borderId="4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center"/>
    </xf>
    <xf numFmtId="0" fontId="4" fillId="8" borderId="13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32" xfId="0" applyFont="1" applyFill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6" fillId="0" borderId="11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4" fillId="10" borderId="32" xfId="0" applyFont="1" applyFill="1" applyBorder="1" applyAlignment="1">
      <alignment horizontal="center"/>
    </xf>
    <xf numFmtId="0" fontId="11" fillId="0" borderId="31" xfId="0" applyFont="1" applyBorder="1" applyAlignment="1">
      <alignment horizontal="left" vertical="center"/>
    </xf>
    <xf numFmtId="0" fontId="11" fillId="0" borderId="32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0" borderId="10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7" fillId="0" borderId="38" xfId="0" applyFont="1" applyBorder="1" applyAlignment="1">
      <alignment horizontal="center" vertical="center"/>
    </xf>
    <xf numFmtId="0" fontId="8" fillId="4" borderId="2" xfId="0" applyFont="1" applyFill="1" applyBorder="1" applyAlignment="1">
      <alignment horizontal="center"/>
    </xf>
    <xf numFmtId="0" fontId="11" fillId="0" borderId="3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5" xfId="0" applyFont="1" applyBorder="1" applyAlignment="1">
      <alignment horizontal="right"/>
    </xf>
    <xf numFmtId="0" fontId="12" fillId="0" borderId="6" xfId="0" applyFont="1" applyBorder="1" applyAlignment="1">
      <alignment horizontal="right"/>
    </xf>
    <xf numFmtId="0" fontId="8" fillId="4" borderId="16" xfId="0" applyFont="1" applyFill="1" applyBorder="1" applyAlignment="1">
      <alignment horizontal="center"/>
    </xf>
    <xf numFmtId="0" fontId="8" fillId="4" borderId="48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205"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rgb="FF9C0006"/>
      </font>
      <fill>
        <patternFill>
          <bgColor theme="8" tint="-0.2499465926084170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ont>
        <color auto="1"/>
      </font>
      <fill>
        <patternFill>
          <fgColor auto="1"/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theme="8"/>
        </patternFill>
      </fill>
    </dxf>
    <dxf>
      <font>
        <color auto="1"/>
      </font>
      <fill>
        <patternFill>
          <bgColor theme="4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000"/>
        </patternFill>
      </fill>
    </dxf>
    <dxf>
      <font>
        <color rgb="FF9C0006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7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7" tint="0.39994506668294322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auto="1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50"/>
        </patternFill>
      </fill>
    </dxf>
    <dxf>
      <fill>
        <patternFill>
          <bgColor theme="8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22FDC-2884-4858-95DC-C0F87067C31B}">
  <dimension ref="A1:K13"/>
  <sheetViews>
    <sheetView workbookViewId="0">
      <selection activeCell="Q17" sqref="Q17"/>
    </sheetView>
  </sheetViews>
  <sheetFormatPr defaultRowHeight="15" x14ac:dyDescent="0.25"/>
  <cols>
    <col min="1" max="1" width="10.85546875" bestFit="1" customWidth="1"/>
    <col min="2" max="2" width="2.85546875" customWidth="1"/>
    <col min="4" max="4" width="2.5703125" customWidth="1"/>
    <col min="5" max="5" width="9.5703125" bestFit="1" customWidth="1"/>
    <col min="6" max="6" width="2.42578125" customWidth="1"/>
    <col min="8" max="8" width="2.5703125" customWidth="1"/>
    <col min="9" max="9" width="9.85546875" bestFit="1" customWidth="1"/>
    <col min="10" max="10" width="2.7109375" customWidth="1"/>
    <col min="11" max="11" width="12.85546875" bestFit="1" customWidth="1"/>
  </cols>
  <sheetData>
    <row r="1" spans="1:11" x14ac:dyDescent="0.25">
      <c r="A1" t="s">
        <v>0</v>
      </c>
      <c r="C1" t="s">
        <v>13</v>
      </c>
      <c r="E1" t="s">
        <v>14</v>
      </c>
      <c r="G1" t="s">
        <v>31</v>
      </c>
      <c r="I1" t="s">
        <v>17</v>
      </c>
      <c r="K1" t="s">
        <v>22</v>
      </c>
    </row>
    <row r="2" spans="1:11" x14ac:dyDescent="0.25">
      <c r="A2" t="s">
        <v>1</v>
      </c>
      <c r="C2">
        <v>2021</v>
      </c>
      <c r="E2" t="s">
        <v>15</v>
      </c>
      <c r="G2" s="1">
        <v>44197</v>
      </c>
      <c r="I2" t="s">
        <v>18</v>
      </c>
      <c r="K2" t="s">
        <v>23</v>
      </c>
    </row>
    <row r="3" spans="1:11" x14ac:dyDescent="0.25">
      <c r="A3" t="s">
        <v>2</v>
      </c>
      <c r="C3">
        <v>2022</v>
      </c>
      <c r="E3" t="s">
        <v>16</v>
      </c>
      <c r="G3" s="2">
        <v>44222</v>
      </c>
      <c r="I3" t="s">
        <v>19</v>
      </c>
      <c r="K3" t="s">
        <v>24</v>
      </c>
    </row>
    <row r="4" spans="1:11" x14ac:dyDescent="0.25">
      <c r="A4" t="s">
        <v>3</v>
      </c>
      <c r="C4">
        <v>2023</v>
      </c>
      <c r="I4" t="s">
        <v>20</v>
      </c>
      <c r="K4" t="s">
        <v>25</v>
      </c>
    </row>
    <row r="5" spans="1:11" x14ac:dyDescent="0.25">
      <c r="A5" t="s">
        <v>4</v>
      </c>
      <c r="C5">
        <v>2024</v>
      </c>
      <c r="I5" t="s">
        <v>21</v>
      </c>
      <c r="K5" t="s">
        <v>26</v>
      </c>
    </row>
    <row r="6" spans="1:11" x14ac:dyDescent="0.25">
      <c r="A6" t="s">
        <v>5</v>
      </c>
      <c r="C6">
        <v>2025</v>
      </c>
      <c r="K6" t="s">
        <v>27</v>
      </c>
    </row>
    <row r="7" spans="1:11" x14ac:dyDescent="0.25">
      <c r="A7" t="s">
        <v>6</v>
      </c>
      <c r="C7">
        <v>2026</v>
      </c>
      <c r="K7" t="s">
        <v>28</v>
      </c>
    </row>
    <row r="8" spans="1:11" x14ac:dyDescent="0.25">
      <c r="A8" t="s">
        <v>7</v>
      </c>
      <c r="C8">
        <v>2027</v>
      </c>
      <c r="K8" t="s">
        <v>29</v>
      </c>
    </row>
    <row r="9" spans="1:11" x14ac:dyDescent="0.25">
      <c r="A9" t="s">
        <v>8</v>
      </c>
      <c r="K9" t="s">
        <v>30</v>
      </c>
    </row>
    <row r="10" spans="1:11" x14ac:dyDescent="0.25">
      <c r="A10" t="s">
        <v>9</v>
      </c>
    </row>
    <row r="11" spans="1:11" x14ac:dyDescent="0.25">
      <c r="A11" t="s">
        <v>10</v>
      </c>
    </row>
    <row r="12" spans="1:11" x14ac:dyDescent="0.25">
      <c r="A12" t="s">
        <v>11</v>
      </c>
    </row>
    <row r="13" spans="1:11" x14ac:dyDescent="0.25">
      <c r="A13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FEC8B-548B-400F-BDE0-CCB4BA28C6FA}">
  <dimension ref="B1:AN44"/>
  <sheetViews>
    <sheetView zoomScale="90" zoomScaleNormal="90" workbookViewId="0">
      <selection activeCell="H26" sqref="H26"/>
    </sheetView>
  </sheetViews>
  <sheetFormatPr defaultRowHeight="15" x14ac:dyDescent="0.25"/>
  <cols>
    <col min="1" max="1" width="2.140625" style="6" customWidth="1"/>
    <col min="2" max="2" width="17.140625" style="6" bestFit="1" customWidth="1"/>
    <col min="3" max="3" width="11.7109375" style="6" bestFit="1" customWidth="1"/>
    <col min="4" max="4" width="2.85546875" style="6" customWidth="1"/>
    <col min="5" max="35" width="7.7109375" style="6" customWidth="1"/>
    <col min="36" max="36" width="2.85546875" style="6" customWidth="1"/>
    <col min="37" max="40" width="10.7109375" style="6" customWidth="1"/>
    <col min="41" max="16384" width="9.140625" style="6"/>
  </cols>
  <sheetData>
    <row r="1" spans="2:40" ht="9" customHeight="1" x14ac:dyDescent="0.25"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</row>
    <row r="2" spans="2:40" ht="28.5" x14ac:dyDescent="0.45">
      <c r="B2" s="135" t="s">
        <v>32</v>
      </c>
      <c r="C2" s="135"/>
      <c r="D2" s="10"/>
      <c r="E2" s="136" t="s">
        <v>33</v>
      </c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 t="s">
        <v>9</v>
      </c>
      <c r="X2" s="136"/>
      <c r="Y2" s="136"/>
      <c r="Z2" s="136"/>
      <c r="AA2" s="136"/>
      <c r="AB2" s="136"/>
      <c r="AC2" s="136">
        <v>2025</v>
      </c>
      <c r="AD2" s="136"/>
      <c r="AE2" s="136"/>
      <c r="AF2" s="136"/>
      <c r="AG2" s="5"/>
      <c r="AH2" s="5"/>
      <c r="AI2" s="5"/>
      <c r="AK2" s="130" t="s">
        <v>78</v>
      </c>
      <c r="AL2" s="130"/>
      <c r="AM2" s="130"/>
      <c r="AN2" s="130"/>
    </row>
    <row r="3" spans="2:40" x14ac:dyDescent="0.25">
      <c r="B3" s="135"/>
      <c r="C3" s="135"/>
      <c r="D3" s="11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K3" s="130"/>
      <c r="AL3" s="130"/>
      <c r="AM3" s="130"/>
      <c r="AN3" s="130"/>
    </row>
    <row r="4" spans="2:40" x14ac:dyDescent="0.25">
      <c r="B4" s="135"/>
      <c r="C4" s="135"/>
      <c r="D4" s="11"/>
      <c r="E4" s="131" t="s">
        <v>34</v>
      </c>
      <c r="F4" s="131"/>
      <c r="G4" s="131"/>
      <c r="H4" s="131"/>
      <c r="I4" s="131"/>
      <c r="J4" s="3">
        <v>1</v>
      </c>
      <c r="K4" s="3"/>
      <c r="L4" s="3"/>
      <c r="M4" s="133" t="s">
        <v>35</v>
      </c>
      <c r="N4" s="133"/>
      <c r="O4" s="133"/>
      <c r="P4" s="138">
        <f>IFERROR(DATEVALUE(J4&amp;W2&amp;AC2),"")</f>
        <v>45901</v>
      </c>
      <c r="Q4" s="138"/>
      <c r="R4" s="138"/>
      <c r="S4" s="3"/>
      <c r="T4" s="3"/>
      <c r="U4" s="133" t="s">
        <v>36</v>
      </c>
      <c r="V4" s="133"/>
      <c r="W4" s="133"/>
      <c r="X4" s="138">
        <f>IFERROR(EOMONTH(P4,0)+J4-1,"")</f>
        <v>45930</v>
      </c>
      <c r="Y4" s="138"/>
      <c r="Z4" s="138"/>
      <c r="AA4" s="3"/>
      <c r="AB4" s="3"/>
      <c r="AC4" s="133" t="s">
        <v>37</v>
      </c>
      <c r="AD4" s="133"/>
      <c r="AE4" s="133"/>
      <c r="AF4" s="3">
        <f>COUNTIF(E6:AI6,"*?")</f>
        <v>30</v>
      </c>
      <c r="AG4" s="3"/>
      <c r="AH4" s="3"/>
      <c r="AI4" s="3"/>
      <c r="AK4" s="130"/>
      <c r="AL4" s="130"/>
      <c r="AM4" s="130"/>
      <c r="AN4" s="130"/>
    </row>
    <row r="5" spans="2:40" ht="6.75" customHeight="1" x14ac:dyDescent="0.25">
      <c r="B5" s="7"/>
      <c r="C5" s="7"/>
      <c r="D5" s="11"/>
      <c r="E5" s="8"/>
      <c r="F5" s="8"/>
      <c r="G5" s="8"/>
      <c r="H5" s="8"/>
      <c r="I5" s="8"/>
      <c r="J5" s="3"/>
      <c r="K5" s="3"/>
      <c r="L5" s="3"/>
      <c r="M5" s="4"/>
      <c r="N5" s="4"/>
      <c r="O5" s="4"/>
      <c r="P5" s="9"/>
      <c r="Q5" s="9"/>
      <c r="R5" s="9"/>
      <c r="S5" s="3"/>
      <c r="T5" s="3"/>
      <c r="U5" s="4"/>
      <c r="V5" s="4"/>
      <c r="W5" s="4"/>
      <c r="X5" s="9"/>
      <c r="Y5" s="9"/>
      <c r="Z5" s="9"/>
      <c r="AA5" s="3"/>
      <c r="AB5" s="3"/>
      <c r="AC5" s="4"/>
      <c r="AD5" s="4"/>
      <c r="AE5" s="4"/>
      <c r="AF5" s="3"/>
      <c r="AG5" s="3"/>
      <c r="AH5" s="3"/>
      <c r="AI5" s="3"/>
    </row>
    <row r="6" spans="2:40" ht="27.75" x14ac:dyDescent="0.25">
      <c r="B6" s="134" t="s">
        <v>38</v>
      </c>
      <c r="C6" s="134" t="s">
        <v>39</v>
      </c>
      <c r="D6" s="14"/>
      <c r="E6" s="15" t="str">
        <f>TEXT(E7,"ddd")</f>
        <v>Mon</v>
      </c>
      <c r="F6" s="15" t="str">
        <f t="shared" ref="F6:AI6" si="0">TEXT(F7,"ddd")</f>
        <v>Tue</v>
      </c>
      <c r="G6" s="15" t="str">
        <f t="shared" si="0"/>
        <v>Wed</v>
      </c>
      <c r="H6" s="15" t="str">
        <f t="shared" si="0"/>
        <v>Thu</v>
      </c>
      <c r="I6" s="15" t="str">
        <f t="shared" si="0"/>
        <v>Fri</v>
      </c>
      <c r="J6" s="15" t="str">
        <f t="shared" si="0"/>
        <v>Sat</v>
      </c>
      <c r="K6" s="15" t="str">
        <f t="shared" si="0"/>
        <v>Sun</v>
      </c>
      <c r="L6" s="15" t="str">
        <f t="shared" si="0"/>
        <v>Mon</v>
      </c>
      <c r="M6" s="15" t="str">
        <f t="shared" si="0"/>
        <v>Tue</v>
      </c>
      <c r="N6" s="15" t="str">
        <f t="shared" si="0"/>
        <v>Wed</v>
      </c>
      <c r="O6" s="15" t="str">
        <f t="shared" si="0"/>
        <v>Thu</v>
      </c>
      <c r="P6" s="15" t="str">
        <f t="shared" si="0"/>
        <v>Fri</v>
      </c>
      <c r="Q6" s="15" t="str">
        <f t="shared" si="0"/>
        <v>Sat</v>
      </c>
      <c r="R6" s="15" t="str">
        <f t="shared" si="0"/>
        <v>Sun</v>
      </c>
      <c r="S6" s="15" t="str">
        <f t="shared" si="0"/>
        <v>Mon</v>
      </c>
      <c r="T6" s="15" t="str">
        <f t="shared" si="0"/>
        <v>Tue</v>
      </c>
      <c r="U6" s="15" t="str">
        <f t="shared" si="0"/>
        <v>Wed</v>
      </c>
      <c r="V6" s="15" t="str">
        <f t="shared" si="0"/>
        <v>Thu</v>
      </c>
      <c r="W6" s="15" t="str">
        <f t="shared" si="0"/>
        <v>Fri</v>
      </c>
      <c r="X6" s="15" t="str">
        <f t="shared" si="0"/>
        <v>Sat</v>
      </c>
      <c r="Y6" s="15" t="str">
        <f t="shared" si="0"/>
        <v>Sun</v>
      </c>
      <c r="Z6" s="15" t="str">
        <f t="shared" si="0"/>
        <v>Mon</v>
      </c>
      <c r="AA6" s="15" t="str">
        <f t="shared" si="0"/>
        <v>Tue</v>
      </c>
      <c r="AB6" s="15" t="str">
        <f t="shared" si="0"/>
        <v>Wed</v>
      </c>
      <c r="AC6" s="15" t="str">
        <f t="shared" si="0"/>
        <v>Thu</v>
      </c>
      <c r="AD6" s="15" t="str">
        <f t="shared" si="0"/>
        <v>Fri</v>
      </c>
      <c r="AE6" s="15" t="str">
        <f t="shared" si="0"/>
        <v>Sat</v>
      </c>
      <c r="AF6" s="15" t="str">
        <f t="shared" si="0"/>
        <v>Sun</v>
      </c>
      <c r="AG6" s="15" t="str">
        <f t="shared" si="0"/>
        <v>Mon</v>
      </c>
      <c r="AH6" s="15" t="str">
        <f t="shared" si="0"/>
        <v>Tue</v>
      </c>
      <c r="AI6" s="15" t="str">
        <f t="shared" si="0"/>
        <v/>
      </c>
      <c r="AJ6" s="16"/>
      <c r="AK6" s="132" t="s">
        <v>74</v>
      </c>
      <c r="AL6" s="132" t="s">
        <v>75</v>
      </c>
      <c r="AM6" s="132" t="s">
        <v>76</v>
      </c>
      <c r="AN6" s="132" t="s">
        <v>77</v>
      </c>
    </row>
    <row r="7" spans="2:40" x14ac:dyDescent="0.25">
      <c r="B7" s="134"/>
      <c r="C7" s="134"/>
      <c r="D7" s="14"/>
      <c r="E7" s="17">
        <f>P4</f>
        <v>45901</v>
      </c>
      <c r="F7" s="17">
        <f>IF(E7&gt;=$X$4,"",E7+1)</f>
        <v>45902</v>
      </c>
      <c r="G7" s="17">
        <f t="shared" ref="G7:AI7" si="1">IF(F7&gt;=$X$4,"",F7+1)</f>
        <v>45903</v>
      </c>
      <c r="H7" s="17">
        <f t="shared" si="1"/>
        <v>45904</v>
      </c>
      <c r="I7" s="17">
        <f t="shared" si="1"/>
        <v>45905</v>
      </c>
      <c r="J7" s="17">
        <f t="shared" si="1"/>
        <v>45906</v>
      </c>
      <c r="K7" s="17">
        <f t="shared" si="1"/>
        <v>45907</v>
      </c>
      <c r="L7" s="17">
        <f t="shared" si="1"/>
        <v>45908</v>
      </c>
      <c r="M7" s="17">
        <f t="shared" si="1"/>
        <v>45909</v>
      </c>
      <c r="N7" s="17">
        <f t="shared" si="1"/>
        <v>45910</v>
      </c>
      <c r="O7" s="17">
        <f t="shared" si="1"/>
        <v>45911</v>
      </c>
      <c r="P7" s="17">
        <f t="shared" si="1"/>
        <v>45912</v>
      </c>
      <c r="Q7" s="17">
        <f t="shared" si="1"/>
        <v>45913</v>
      </c>
      <c r="R7" s="17">
        <f t="shared" si="1"/>
        <v>45914</v>
      </c>
      <c r="S7" s="17">
        <f t="shared" si="1"/>
        <v>45915</v>
      </c>
      <c r="T7" s="17">
        <f t="shared" si="1"/>
        <v>45916</v>
      </c>
      <c r="U7" s="17">
        <f t="shared" si="1"/>
        <v>45917</v>
      </c>
      <c r="V7" s="17">
        <f t="shared" si="1"/>
        <v>45918</v>
      </c>
      <c r="W7" s="17">
        <f t="shared" si="1"/>
        <v>45919</v>
      </c>
      <c r="X7" s="17">
        <f t="shared" si="1"/>
        <v>45920</v>
      </c>
      <c r="Y7" s="17">
        <f t="shared" si="1"/>
        <v>45921</v>
      </c>
      <c r="Z7" s="17">
        <f t="shared" si="1"/>
        <v>45922</v>
      </c>
      <c r="AA7" s="17">
        <f t="shared" si="1"/>
        <v>45923</v>
      </c>
      <c r="AB7" s="17">
        <f t="shared" si="1"/>
        <v>45924</v>
      </c>
      <c r="AC7" s="17">
        <f t="shared" si="1"/>
        <v>45925</v>
      </c>
      <c r="AD7" s="17">
        <f t="shared" si="1"/>
        <v>45926</v>
      </c>
      <c r="AE7" s="17">
        <f t="shared" si="1"/>
        <v>45927</v>
      </c>
      <c r="AF7" s="17">
        <f t="shared" si="1"/>
        <v>45928</v>
      </c>
      <c r="AG7" s="17">
        <f t="shared" si="1"/>
        <v>45929</v>
      </c>
      <c r="AH7" s="17">
        <f t="shared" si="1"/>
        <v>45930</v>
      </c>
      <c r="AI7" s="17" t="str">
        <f t="shared" si="1"/>
        <v/>
      </c>
      <c r="AJ7" s="16"/>
      <c r="AK7" s="132"/>
      <c r="AL7" s="132"/>
      <c r="AM7" s="132"/>
      <c r="AN7" s="132"/>
    </row>
    <row r="8" spans="2:40" x14ac:dyDescent="0.25">
      <c r="B8" s="3" t="s">
        <v>40</v>
      </c>
      <c r="C8" s="3" t="s">
        <v>24</v>
      </c>
      <c r="D8" s="11"/>
      <c r="E8" s="7" t="str">
        <f t="shared" ref="E8:E37" si="2">IF(OR($C8="",E$7=""),"",IF(D8="",C8,INDEX(Settings_ShiftLegends,IF(MATCH(D8,Settings_ShiftLegends,0)+1&gt;COUNTA(Settings_ShiftLegends),1,MATCH(D8,Settings_ShiftLegends,0)+1))))</f>
        <v>M2</v>
      </c>
      <c r="F8" s="7" t="str">
        <f t="shared" ref="F8:F37" ca="1" si="3">IF(OR($C8="",F$7=""),"",IF(E8="",D8,INDEX(Settings_ShiftLegends,IF(MATCH(E8,Settings_ShiftLegends,0)+1&gt;COUNTA(Settings_ShiftLegends),1,MATCH(E8,Settings_ShiftLegends,0)+1))))</f>
        <v>A1</v>
      </c>
      <c r="G8" s="7" t="str">
        <f t="shared" ref="G8:G37" ca="1" si="4">IF(OR($C8="",G$7=""),"",IF(F8="",E8,INDEX(Settings_ShiftLegends,IF(MATCH(F8,Settings_ShiftLegends,0)+1&gt;COUNTA(Settings_ShiftLegends),1,MATCH(F8,Settings_ShiftLegends,0)+1))))</f>
        <v>N1</v>
      </c>
      <c r="H8" s="7" t="str">
        <f t="shared" ref="H8:H37" ca="1" si="5">IF(OR($C8="",H$7=""),"",IF(G8="",F8,INDEX(Settings_ShiftLegends,IF(MATCH(G8,Settings_ShiftLegends,0)+1&gt;COUNTA(Settings_ShiftLegends),1,MATCH(G8,Settings_ShiftLegends,0)+1))))</f>
        <v>N2</v>
      </c>
      <c r="I8" s="7" t="str">
        <f t="shared" ref="I8:I37" ca="1" si="6">IF(OR($C8="",I$7=""),"",IF(H8="",G8,INDEX(Settings_ShiftLegends,IF(MATCH(H8,Settings_ShiftLegends,0)+1&gt;COUNTA(Settings_ShiftLegends),1,MATCH(H8,Settings_ShiftLegends,0)+1))))</f>
        <v>O1</v>
      </c>
      <c r="J8" s="7" t="str">
        <f t="shared" ref="J8:J37" ca="1" si="7">IF(OR($C8="",J$7=""),"",IF(I8="",H8,INDEX(Settings_ShiftLegends,IF(MATCH(I8,Settings_ShiftLegends,0)+1&gt;COUNTA(Settings_ShiftLegends),1,MATCH(I8,Settings_ShiftLegends,0)+1))))</f>
        <v>O2</v>
      </c>
      <c r="K8" s="7" t="str">
        <f t="shared" ref="K8:K37" ca="1" si="8">IF(OR($C8="",K$7=""),"",IF(J8="",I8,INDEX(Settings_ShiftLegends,IF(MATCH(J8,Settings_ShiftLegends,0)+1&gt;COUNTA(Settings_ShiftLegends),1,MATCH(J8,Settings_ShiftLegends,0)+1))))</f>
        <v>O3</v>
      </c>
      <c r="L8" s="7" t="str">
        <f t="shared" ref="L8:L37" ca="1" si="9">IF(OR($C8="",L$7=""),"",IF(K8="",J8,INDEX(Settings_ShiftLegends,IF(MATCH(K8,Settings_ShiftLegends,0)+1&gt;COUNTA(Settings_ShiftLegends),1,MATCH(K8,Settings_ShiftLegends,0)+1))))</f>
        <v>M1</v>
      </c>
      <c r="M8" s="7" t="str">
        <f t="shared" ref="M8:M37" ca="1" si="10">IF(OR($C8="",M$7=""),"",IF(L8="",K8,INDEX(Settings_ShiftLegends,IF(MATCH(L8,Settings_ShiftLegends,0)+1&gt;COUNTA(Settings_ShiftLegends),1,MATCH(L8,Settings_ShiftLegends,0)+1))))</f>
        <v>M2</v>
      </c>
      <c r="N8" s="7" t="str">
        <f t="shared" ref="N8:N37" ca="1" si="11">IF(OR($C8="",N$7=""),"",IF(M8="",L8,INDEX(Settings_ShiftLegends,IF(MATCH(M8,Settings_ShiftLegends,0)+1&gt;COUNTA(Settings_ShiftLegends),1,MATCH(M8,Settings_ShiftLegends,0)+1))))</f>
        <v>A1</v>
      </c>
      <c r="O8" s="7" t="str">
        <f t="shared" ref="O8:O37" ca="1" si="12">IF(OR($C8="",O$7=""),"",IF(N8="",M8,INDEX(Settings_ShiftLegends,IF(MATCH(N8,Settings_ShiftLegends,0)+1&gt;COUNTA(Settings_ShiftLegends),1,MATCH(N8,Settings_ShiftLegends,0)+1))))</f>
        <v>N1</v>
      </c>
      <c r="P8" s="7" t="str">
        <f t="shared" ref="P8:P37" ca="1" si="13">IF(OR($C8="",P$7=""),"",IF(O8="",N8,INDEX(Settings_ShiftLegends,IF(MATCH(O8,Settings_ShiftLegends,0)+1&gt;COUNTA(Settings_ShiftLegends),1,MATCH(O8,Settings_ShiftLegends,0)+1))))</f>
        <v>N2</v>
      </c>
      <c r="Q8" s="7" t="str">
        <f t="shared" ref="Q8:Q37" ca="1" si="14">IF(OR($C8="",Q$7=""),"",IF(P8="",O8,INDEX(Settings_ShiftLegends,IF(MATCH(P8,Settings_ShiftLegends,0)+1&gt;COUNTA(Settings_ShiftLegends),1,MATCH(P8,Settings_ShiftLegends,0)+1))))</f>
        <v>O1</v>
      </c>
      <c r="R8" s="7" t="str">
        <f t="shared" ref="R8:R37" ca="1" si="15">IF(OR($C8="",R$7=""),"",IF(Q8="",P8,INDEX(Settings_ShiftLegends,IF(MATCH(Q8,Settings_ShiftLegends,0)+1&gt;COUNTA(Settings_ShiftLegends),1,MATCH(Q8,Settings_ShiftLegends,0)+1))))</f>
        <v>O2</v>
      </c>
      <c r="S8" s="7" t="str">
        <f t="shared" ref="S8:S37" ca="1" si="16">IF(OR($C8="",S$7=""),"",IF(R8="",Q8,INDEX(Settings_ShiftLegends,IF(MATCH(R8,Settings_ShiftLegends,0)+1&gt;COUNTA(Settings_ShiftLegends),1,MATCH(R8,Settings_ShiftLegends,0)+1))))</f>
        <v>O3</v>
      </c>
      <c r="T8" s="7" t="str">
        <f t="shared" ref="T8:T37" ca="1" si="17">IF(OR($C8="",T$7=""),"",IF(S8="",R8,INDEX(Settings_ShiftLegends,IF(MATCH(S8,Settings_ShiftLegends,0)+1&gt;COUNTA(Settings_ShiftLegends),1,MATCH(S8,Settings_ShiftLegends,0)+1))))</f>
        <v>M1</v>
      </c>
      <c r="U8" s="7" t="str">
        <f t="shared" ref="U8:U37" ca="1" si="18">IF(OR($C8="",U$7=""),"",IF(T8="",S8,INDEX(Settings_ShiftLegends,IF(MATCH(T8,Settings_ShiftLegends,0)+1&gt;COUNTA(Settings_ShiftLegends),1,MATCH(T8,Settings_ShiftLegends,0)+1))))</f>
        <v>M2</v>
      </c>
      <c r="V8" s="7" t="str">
        <f t="shared" ref="V8:V37" ca="1" si="19">IF(OR($C8="",V$7=""),"",IF(U8="",T8,INDEX(Settings_ShiftLegends,IF(MATCH(U8,Settings_ShiftLegends,0)+1&gt;COUNTA(Settings_ShiftLegends),1,MATCH(U8,Settings_ShiftLegends,0)+1))))</f>
        <v>A1</v>
      </c>
      <c r="W8" s="7" t="str">
        <f t="shared" ref="W8:W37" ca="1" si="20">IF(OR($C8="",W$7=""),"",IF(V8="",U8,INDEX(Settings_ShiftLegends,IF(MATCH(V8,Settings_ShiftLegends,0)+1&gt;COUNTA(Settings_ShiftLegends),1,MATCH(V8,Settings_ShiftLegends,0)+1))))</f>
        <v>N1</v>
      </c>
      <c r="X8" s="7" t="str">
        <f t="shared" ref="X8:X37" ca="1" si="21">IF(OR($C8="",X$7=""),"",IF(W8="",V8,INDEX(Settings_ShiftLegends,IF(MATCH(W8,Settings_ShiftLegends,0)+1&gt;COUNTA(Settings_ShiftLegends),1,MATCH(W8,Settings_ShiftLegends,0)+1))))</f>
        <v>N2</v>
      </c>
      <c r="Y8" s="7" t="str">
        <f t="shared" ref="Y8:Y37" ca="1" si="22">IF(OR($C8="",Y$7=""),"",IF(X8="",W8,INDEX(Settings_ShiftLegends,IF(MATCH(X8,Settings_ShiftLegends,0)+1&gt;COUNTA(Settings_ShiftLegends),1,MATCH(X8,Settings_ShiftLegends,0)+1))))</f>
        <v>O1</v>
      </c>
      <c r="Z8" s="7" t="str">
        <f t="shared" ref="Z8:Z37" ca="1" si="23">IF(OR($C8="",Z$7=""),"",IF(Y8="",X8,INDEX(Settings_ShiftLegends,IF(MATCH(Y8,Settings_ShiftLegends,0)+1&gt;COUNTA(Settings_ShiftLegends),1,MATCH(Y8,Settings_ShiftLegends,0)+1))))</f>
        <v>O2</v>
      </c>
      <c r="AA8" s="7" t="str">
        <f t="shared" ref="AA8:AA37" ca="1" si="24">IF(OR($C8="",AA$7=""),"",IF(Z8="",Y8,INDEX(Settings_ShiftLegends,IF(MATCH(Z8,Settings_ShiftLegends,0)+1&gt;COUNTA(Settings_ShiftLegends),1,MATCH(Z8,Settings_ShiftLegends,0)+1))))</f>
        <v>O3</v>
      </c>
      <c r="AB8" s="7" t="str">
        <f t="shared" ref="AB8:AB37" ca="1" si="25">IF(OR($C8="",AB$7=""),"",IF(AA8="",Z8,INDEX(Settings_ShiftLegends,IF(MATCH(AA8,Settings_ShiftLegends,0)+1&gt;COUNTA(Settings_ShiftLegends),1,MATCH(AA8,Settings_ShiftLegends,0)+1))))</f>
        <v>M1</v>
      </c>
      <c r="AC8" s="7" t="str">
        <f t="shared" ref="AC8:AC37" ca="1" si="26">IF(OR($C8="",AC$7=""),"",IF(AB8="",AA8,INDEX(Settings_ShiftLegends,IF(MATCH(AB8,Settings_ShiftLegends,0)+1&gt;COUNTA(Settings_ShiftLegends),1,MATCH(AB8,Settings_ShiftLegends,0)+1))))</f>
        <v>M2</v>
      </c>
      <c r="AD8" s="7" t="str">
        <f t="shared" ref="AD8:AD37" ca="1" si="27">IF(OR($C8="",AD$7=""),"",IF(AC8="",AB8,INDEX(Settings_ShiftLegends,IF(MATCH(AC8,Settings_ShiftLegends,0)+1&gt;COUNTA(Settings_ShiftLegends),1,MATCH(AC8,Settings_ShiftLegends,0)+1))))</f>
        <v>A1</v>
      </c>
      <c r="AE8" s="7" t="str">
        <f t="shared" ref="AE8:AE37" ca="1" si="28">IF(OR($C8="",AE$7=""),"",IF(AD8="",AC8,INDEX(Settings_ShiftLegends,IF(MATCH(AD8,Settings_ShiftLegends,0)+1&gt;COUNTA(Settings_ShiftLegends),1,MATCH(AD8,Settings_ShiftLegends,0)+1))))</f>
        <v>N1</v>
      </c>
      <c r="AF8" s="7" t="str">
        <f t="shared" ref="AF8:AF37" ca="1" si="29">IF(OR($C8="",AF$7=""),"",IF(AE8="",AD8,INDEX(Settings_ShiftLegends,IF(MATCH(AE8,Settings_ShiftLegends,0)+1&gt;COUNTA(Settings_ShiftLegends),1,MATCH(AE8,Settings_ShiftLegends,0)+1))))</f>
        <v>N2</v>
      </c>
      <c r="AG8" s="7" t="str">
        <f t="shared" ref="AG8:AG37" ca="1" si="30">IF(OR($C8="",AG$7=""),"",IF(AF8="",AE8,INDEX(Settings_ShiftLegends,IF(MATCH(AF8,Settings_ShiftLegends,0)+1&gt;COUNTA(Settings_ShiftLegends),1,MATCH(AF8,Settings_ShiftLegends,0)+1))))</f>
        <v>O1</v>
      </c>
      <c r="AH8" s="7" t="str">
        <f t="shared" ref="AH8:AH37" ca="1" si="31">IF(OR($C8="",AH$7=""),"",IF(AG8="",AF8,INDEX(Settings_ShiftLegends,IF(MATCH(AG8,Settings_ShiftLegends,0)+1&gt;COUNTA(Settings_ShiftLegends),1,MATCH(AG8,Settings_ShiftLegends,0)+1))))</f>
        <v>O2</v>
      </c>
      <c r="AI8" s="7" t="str">
        <f t="shared" ref="AI8:AI37" si="32">IF(OR($C8="",AI$7=""),"",IF(AH8="",AG8,INDEX(Settings_ShiftLegends,IF(MATCH(AH8,Settings_ShiftLegends,0)+1&gt;COUNTA(Settings_ShiftLegends),1,MATCH(AH8,Settings_ShiftLegends,0)+1))))</f>
        <v/>
      </c>
      <c r="AK8" s="13">
        <f ca="1">COUNTIF($E8:$AI8,"M*")</f>
        <v>7</v>
      </c>
      <c r="AL8" s="13">
        <f ca="1">COUNTIF($E8:$AI8,"A*")</f>
        <v>4</v>
      </c>
      <c r="AM8" s="13">
        <f ca="1">COUNTIF($E8:$AI8,"N*")</f>
        <v>8</v>
      </c>
      <c r="AN8" s="13">
        <f ca="1">COUNTIF($E8:$AI8,"O*")</f>
        <v>11</v>
      </c>
    </row>
    <row r="9" spans="2:40" x14ac:dyDescent="0.25">
      <c r="B9" s="3" t="s">
        <v>41</v>
      </c>
      <c r="C9" s="3" t="s">
        <v>24</v>
      </c>
      <c r="D9" s="11"/>
      <c r="E9" s="7" t="str">
        <f t="shared" si="2"/>
        <v>M2</v>
      </c>
      <c r="F9" s="7" t="str">
        <f t="shared" ca="1" si="3"/>
        <v>A1</v>
      </c>
      <c r="G9" s="7" t="str">
        <f t="shared" ca="1" si="4"/>
        <v>N1</v>
      </c>
      <c r="H9" s="7" t="str">
        <f t="shared" ca="1" si="5"/>
        <v>N2</v>
      </c>
      <c r="I9" s="7" t="str">
        <f t="shared" ca="1" si="6"/>
        <v>O1</v>
      </c>
      <c r="J9" s="7" t="str">
        <f t="shared" ca="1" si="7"/>
        <v>O2</v>
      </c>
      <c r="K9" s="7" t="str">
        <f t="shared" ca="1" si="8"/>
        <v>O3</v>
      </c>
      <c r="L9" s="7" t="str">
        <f t="shared" ca="1" si="9"/>
        <v>M1</v>
      </c>
      <c r="M9" s="7" t="str">
        <f t="shared" ca="1" si="10"/>
        <v>M2</v>
      </c>
      <c r="N9" s="7" t="str">
        <f t="shared" ca="1" si="11"/>
        <v>A1</v>
      </c>
      <c r="O9" s="7" t="str">
        <f t="shared" ca="1" si="12"/>
        <v>N1</v>
      </c>
      <c r="P9" s="7" t="str">
        <f t="shared" ca="1" si="13"/>
        <v>N2</v>
      </c>
      <c r="Q9" s="7" t="str">
        <f t="shared" ca="1" si="14"/>
        <v>O1</v>
      </c>
      <c r="R9" s="7" t="str">
        <f t="shared" ca="1" si="15"/>
        <v>O2</v>
      </c>
      <c r="S9" s="7" t="str">
        <f t="shared" ca="1" si="16"/>
        <v>O3</v>
      </c>
      <c r="T9" s="7" t="str">
        <f t="shared" ca="1" si="17"/>
        <v>M1</v>
      </c>
      <c r="U9" s="7" t="str">
        <f t="shared" ca="1" si="18"/>
        <v>M2</v>
      </c>
      <c r="V9" s="7" t="str">
        <f t="shared" ca="1" si="19"/>
        <v>A1</v>
      </c>
      <c r="W9" s="7" t="str">
        <f t="shared" ca="1" si="20"/>
        <v>N1</v>
      </c>
      <c r="X9" s="7" t="str">
        <f t="shared" ca="1" si="21"/>
        <v>N2</v>
      </c>
      <c r="Y9" s="7" t="str">
        <f t="shared" ca="1" si="22"/>
        <v>O1</v>
      </c>
      <c r="Z9" s="7" t="str">
        <f t="shared" ca="1" si="23"/>
        <v>O2</v>
      </c>
      <c r="AA9" s="7" t="str">
        <f t="shared" ca="1" si="24"/>
        <v>O3</v>
      </c>
      <c r="AB9" s="7" t="str">
        <f t="shared" ca="1" si="25"/>
        <v>M1</v>
      </c>
      <c r="AC9" s="7" t="str">
        <f t="shared" ca="1" si="26"/>
        <v>M2</v>
      </c>
      <c r="AD9" s="7" t="str">
        <f t="shared" ca="1" si="27"/>
        <v>A1</v>
      </c>
      <c r="AE9" s="7" t="str">
        <f t="shared" ca="1" si="28"/>
        <v>N1</v>
      </c>
      <c r="AF9" s="7" t="str">
        <f t="shared" ca="1" si="29"/>
        <v>N2</v>
      </c>
      <c r="AG9" s="7" t="str">
        <f t="shared" ca="1" si="30"/>
        <v>O1</v>
      </c>
      <c r="AH9" s="7" t="str">
        <f t="shared" ca="1" si="31"/>
        <v>O2</v>
      </c>
      <c r="AI9" s="7" t="str">
        <f t="shared" si="32"/>
        <v/>
      </c>
      <c r="AK9" s="13">
        <f t="shared" ref="AK9:AK37" ca="1" si="33">COUNTIF($E9:$AI9,"M*")</f>
        <v>7</v>
      </c>
      <c r="AL9" s="13">
        <f t="shared" ref="AL9:AL37" ca="1" si="34">COUNTIF($E9:$AI9,"A*")</f>
        <v>4</v>
      </c>
      <c r="AM9" s="13">
        <f t="shared" ref="AM9:AM37" ca="1" si="35">COUNTIF($E9:$AI9,"N*")</f>
        <v>8</v>
      </c>
      <c r="AN9" s="13">
        <f t="shared" ref="AN9:AN37" ca="1" si="36">COUNTIF($E9:$AI9,"O*")</f>
        <v>11</v>
      </c>
    </row>
    <row r="10" spans="2:40" x14ac:dyDescent="0.25">
      <c r="B10" s="3" t="s">
        <v>42</v>
      </c>
      <c r="C10" s="3" t="s">
        <v>25</v>
      </c>
      <c r="D10" s="11"/>
      <c r="E10" s="7" t="str">
        <f t="shared" si="2"/>
        <v>A1</v>
      </c>
      <c r="F10" s="7" t="str">
        <f t="shared" ca="1" si="3"/>
        <v>N1</v>
      </c>
      <c r="G10" s="7" t="str">
        <f t="shared" ca="1" si="4"/>
        <v>N2</v>
      </c>
      <c r="H10" s="7" t="str">
        <f t="shared" ca="1" si="5"/>
        <v>O1</v>
      </c>
      <c r="I10" s="7" t="str">
        <f t="shared" ca="1" si="6"/>
        <v>O2</v>
      </c>
      <c r="J10" s="7" t="str">
        <f t="shared" ca="1" si="7"/>
        <v>O3</v>
      </c>
      <c r="K10" s="7" t="str">
        <f t="shared" ca="1" si="8"/>
        <v>M1</v>
      </c>
      <c r="L10" s="7" t="str">
        <f t="shared" ca="1" si="9"/>
        <v>M2</v>
      </c>
      <c r="M10" s="7" t="str">
        <f t="shared" ca="1" si="10"/>
        <v>A1</v>
      </c>
      <c r="N10" s="7" t="str">
        <f t="shared" ca="1" si="11"/>
        <v>N1</v>
      </c>
      <c r="O10" s="7" t="str">
        <f t="shared" ca="1" si="12"/>
        <v>N2</v>
      </c>
      <c r="P10" s="7" t="str">
        <f t="shared" ca="1" si="13"/>
        <v>O1</v>
      </c>
      <c r="Q10" s="7" t="str">
        <f t="shared" ca="1" si="14"/>
        <v>O2</v>
      </c>
      <c r="R10" s="7" t="str">
        <f t="shared" ca="1" si="15"/>
        <v>O3</v>
      </c>
      <c r="S10" s="7" t="str">
        <f t="shared" ca="1" si="16"/>
        <v>M1</v>
      </c>
      <c r="T10" s="7" t="str">
        <f t="shared" ca="1" si="17"/>
        <v>M2</v>
      </c>
      <c r="U10" s="7" t="str">
        <f t="shared" ca="1" si="18"/>
        <v>A1</v>
      </c>
      <c r="V10" s="7" t="str">
        <f t="shared" ca="1" si="19"/>
        <v>N1</v>
      </c>
      <c r="W10" s="7" t="str">
        <f t="shared" ca="1" si="20"/>
        <v>N2</v>
      </c>
      <c r="X10" s="7" t="str">
        <f t="shared" ca="1" si="21"/>
        <v>O1</v>
      </c>
      <c r="Y10" s="7" t="str">
        <f t="shared" ca="1" si="22"/>
        <v>O2</v>
      </c>
      <c r="Z10" s="7" t="str">
        <f t="shared" ca="1" si="23"/>
        <v>O3</v>
      </c>
      <c r="AA10" s="7" t="str">
        <f t="shared" ca="1" si="24"/>
        <v>M1</v>
      </c>
      <c r="AB10" s="7" t="str">
        <f t="shared" ca="1" si="25"/>
        <v>M2</v>
      </c>
      <c r="AC10" s="7" t="str">
        <f t="shared" ca="1" si="26"/>
        <v>A1</v>
      </c>
      <c r="AD10" s="7" t="str">
        <f t="shared" ca="1" si="27"/>
        <v>N1</v>
      </c>
      <c r="AE10" s="7" t="str">
        <f t="shared" ca="1" si="28"/>
        <v>N2</v>
      </c>
      <c r="AF10" s="7" t="str">
        <f t="shared" ca="1" si="29"/>
        <v>O1</v>
      </c>
      <c r="AG10" s="7" t="str">
        <f t="shared" ca="1" si="30"/>
        <v>O2</v>
      </c>
      <c r="AH10" s="7" t="str">
        <f t="shared" ca="1" si="31"/>
        <v>O3</v>
      </c>
      <c r="AI10" s="7" t="str">
        <f t="shared" si="32"/>
        <v/>
      </c>
      <c r="AK10" s="13">
        <f t="shared" ca="1" si="33"/>
        <v>6</v>
      </c>
      <c r="AL10" s="13">
        <f t="shared" ca="1" si="34"/>
        <v>4</v>
      </c>
      <c r="AM10" s="13">
        <f t="shared" ca="1" si="35"/>
        <v>8</v>
      </c>
      <c r="AN10" s="13">
        <f t="shared" ca="1" si="36"/>
        <v>12</v>
      </c>
    </row>
    <row r="11" spans="2:40" x14ac:dyDescent="0.25">
      <c r="B11" s="3" t="s">
        <v>43</v>
      </c>
      <c r="C11" s="3" t="s">
        <v>26</v>
      </c>
      <c r="D11" s="11"/>
      <c r="E11" s="7" t="str">
        <f t="shared" si="2"/>
        <v>N1</v>
      </c>
      <c r="F11" s="7" t="str">
        <f t="shared" ca="1" si="3"/>
        <v>N2</v>
      </c>
      <c r="G11" s="7" t="str">
        <f t="shared" ca="1" si="4"/>
        <v>O1</v>
      </c>
      <c r="H11" s="7" t="str">
        <f t="shared" ca="1" si="5"/>
        <v>O2</v>
      </c>
      <c r="I11" s="7" t="str">
        <f t="shared" ca="1" si="6"/>
        <v>O3</v>
      </c>
      <c r="J11" s="7" t="str">
        <f t="shared" ca="1" si="7"/>
        <v>M1</v>
      </c>
      <c r="K11" s="7" t="str">
        <f t="shared" ca="1" si="8"/>
        <v>M2</v>
      </c>
      <c r="L11" s="7" t="str">
        <f t="shared" ca="1" si="9"/>
        <v>A1</v>
      </c>
      <c r="M11" s="7" t="str">
        <f t="shared" ca="1" si="10"/>
        <v>N1</v>
      </c>
      <c r="N11" s="7" t="str">
        <f t="shared" ca="1" si="11"/>
        <v>N2</v>
      </c>
      <c r="O11" s="7" t="str">
        <f t="shared" ca="1" si="12"/>
        <v>O1</v>
      </c>
      <c r="P11" s="7" t="str">
        <f t="shared" ca="1" si="13"/>
        <v>O2</v>
      </c>
      <c r="Q11" s="7" t="str">
        <f t="shared" ca="1" si="14"/>
        <v>O3</v>
      </c>
      <c r="R11" s="7" t="str">
        <f t="shared" ca="1" si="15"/>
        <v>M1</v>
      </c>
      <c r="S11" s="7" t="str">
        <f t="shared" ca="1" si="16"/>
        <v>M2</v>
      </c>
      <c r="T11" s="7" t="str">
        <f t="shared" ca="1" si="17"/>
        <v>A1</v>
      </c>
      <c r="U11" s="7" t="str">
        <f t="shared" ca="1" si="18"/>
        <v>N1</v>
      </c>
      <c r="V11" s="7" t="str">
        <f t="shared" ca="1" si="19"/>
        <v>N2</v>
      </c>
      <c r="W11" s="7" t="str">
        <f t="shared" ca="1" si="20"/>
        <v>O1</v>
      </c>
      <c r="X11" s="7" t="str">
        <f t="shared" ca="1" si="21"/>
        <v>O2</v>
      </c>
      <c r="Y11" s="7" t="str">
        <f t="shared" ca="1" si="22"/>
        <v>O3</v>
      </c>
      <c r="Z11" s="7" t="str">
        <f t="shared" ca="1" si="23"/>
        <v>M1</v>
      </c>
      <c r="AA11" s="7" t="str">
        <f t="shared" ca="1" si="24"/>
        <v>M2</v>
      </c>
      <c r="AB11" s="7" t="str">
        <f t="shared" ca="1" si="25"/>
        <v>A1</v>
      </c>
      <c r="AC11" s="7" t="str">
        <f t="shared" ca="1" si="26"/>
        <v>N1</v>
      </c>
      <c r="AD11" s="7" t="str">
        <f t="shared" ca="1" si="27"/>
        <v>N2</v>
      </c>
      <c r="AE11" s="7" t="str">
        <f t="shared" ca="1" si="28"/>
        <v>O1</v>
      </c>
      <c r="AF11" s="7" t="str">
        <f t="shared" ca="1" si="29"/>
        <v>O2</v>
      </c>
      <c r="AG11" s="7" t="str">
        <f t="shared" ca="1" si="30"/>
        <v>O3</v>
      </c>
      <c r="AH11" s="7" t="str">
        <f t="shared" ca="1" si="31"/>
        <v>M1</v>
      </c>
      <c r="AI11" s="7" t="str">
        <f t="shared" si="32"/>
        <v/>
      </c>
      <c r="AK11" s="13">
        <f t="shared" ca="1" si="33"/>
        <v>7</v>
      </c>
      <c r="AL11" s="13">
        <f t="shared" ca="1" si="34"/>
        <v>3</v>
      </c>
      <c r="AM11" s="13">
        <f t="shared" ca="1" si="35"/>
        <v>8</v>
      </c>
      <c r="AN11" s="13">
        <f t="shared" ca="1" si="36"/>
        <v>12</v>
      </c>
    </row>
    <row r="12" spans="2:40" x14ac:dyDescent="0.25">
      <c r="B12" s="3" t="s">
        <v>44</v>
      </c>
      <c r="C12" s="3" t="s">
        <v>27</v>
      </c>
      <c r="D12" s="11"/>
      <c r="E12" s="7" t="str">
        <f t="shared" si="2"/>
        <v>N2</v>
      </c>
      <c r="F12" s="7" t="str">
        <f t="shared" ca="1" si="3"/>
        <v>O1</v>
      </c>
      <c r="G12" s="7" t="str">
        <f t="shared" ca="1" si="4"/>
        <v>O2</v>
      </c>
      <c r="H12" s="7" t="str">
        <f t="shared" ca="1" si="5"/>
        <v>O3</v>
      </c>
      <c r="I12" s="7" t="str">
        <f t="shared" ca="1" si="6"/>
        <v>M1</v>
      </c>
      <c r="J12" s="7" t="str">
        <f t="shared" ca="1" si="7"/>
        <v>M2</v>
      </c>
      <c r="K12" s="7" t="str">
        <f t="shared" ca="1" si="8"/>
        <v>A1</v>
      </c>
      <c r="L12" s="7" t="str">
        <f t="shared" ca="1" si="9"/>
        <v>N1</v>
      </c>
      <c r="M12" s="7" t="str">
        <f t="shared" ca="1" si="10"/>
        <v>N2</v>
      </c>
      <c r="N12" s="7" t="str">
        <f t="shared" ca="1" si="11"/>
        <v>O1</v>
      </c>
      <c r="O12" s="7" t="str">
        <f t="shared" ca="1" si="12"/>
        <v>O2</v>
      </c>
      <c r="P12" s="7" t="str">
        <f t="shared" ca="1" si="13"/>
        <v>O3</v>
      </c>
      <c r="Q12" s="7" t="str">
        <f t="shared" ca="1" si="14"/>
        <v>M1</v>
      </c>
      <c r="R12" s="7" t="str">
        <f t="shared" ca="1" si="15"/>
        <v>M2</v>
      </c>
      <c r="S12" s="7" t="str">
        <f t="shared" ca="1" si="16"/>
        <v>A1</v>
      </c>
      <c r="T12" s="7" t="str">
        <f t="shared" ca="1" si="17"/>
        <v>N1</v>
      </c>
      <c r="U12" s="7" t="str">
        <f t="shared" ca="1" si="18"/>
        <v>N2</v>
      </c>
      <c r="V12" s="7" t="str">
        <f t="shared" ca="1" si="19"/>
        <v>O1</v>
      </c>
      <c r="W12" s="7" t="str">
        <f t="shared" ca="1" si="20"/>
        <v>O2</v>
      </c>
      <c r="X12" s="7" t="str">
        <f t="shared" ca="1" si="21"/>
        <v>O3</v>
      </c>
      <c r="Y12" s="7" t="str">
        <f t="shared" ca="1" si="22"/>
        <v>M1</v>
      </c>
      <c r="Z12" s="7" t="str">
        <f t="shared" ca="1" si="23"/>
        <v>M2</v>
      </c>
      <c r="AA12" s="7" t="str">
        <f t="shared" ca="1" si="24"/>
        <v>A1</v>
      </c>
      <c r="AB12" s="7" t="str">
        <f t="shared" ca="1" si="25"/>
        <v>N1</v>
      </c>
      <c r="AC12" s="7" t="str">
        <f t="shared" ca="1" si="26"/>
        <v>N2</v>
      </c>
      <c r="AD12" s="7" t="str">
        <f t="shared" ca="1" si="27"/>
        <v>O1</v>
      </c>
      <c r="AE12" s="7" t="str">
        <f t="shared" ca="1" si="28"/>
        <v>O2</v>
      </c>
      <c r="AF12" s="7" t="str">
        <f t="shared" ca="1" si="29"/>
        <v>O3</v>
      </c>
      <c r="AG12" s="7" t="str">
        <f t="shared" ca="1" si="30"/>
        <v>M1</v>
      </c>
      <c r="AH12" s="7" t="str">
        <f t="shared" ca="1" si="31"/>
        <v>M2</v>
      </c>
      <c r="AI12" s="7" t="str">
        <f t="shared" si="32"/>
        <v/>
      </c>
      <c r="AK12" s="13">
        <f t="shared" ca="1" si="33"/>
        <v>8</v>
      </c>
      <c r="AL12" s="13">
        <f t="shared" ca="1" si="34"/>
        <v>3</v>
      </c>
      <c r="AM12" s="13">
        <f t="shared" ca="1" si="35"/>
        <v>7</v>
      </c>
      <c r="AN12" s="13">
        <f t="shared" ca="1" si="36"/>
        <v>12</v>
      </c>
    </row>
    <row r="13" spans="2:40" x14ac:dyDescent="0.25">
      <c r="B13" s="3" t="s">
        <v>45</v>
      </c>
      <c r="C13" s="3" t="s">
        <v>28</v>
      </c>
      <c r="D13" s="11"/>
      <c r="E13" s="7" t="str">
        <f t="shared" si="2"/>
        <v>O1</v>
      </c>
      <c r="F13" s="7" t="str">
        <f t="shared" ca="1" si="3"/>
        <v>O2</v>
      </c>
      <c r="G13" s="7" t="str">
        <f t="shared" ca="1" si="4"/>
        <v>O3</v>
      </c>
      <c r="H13" s="7" t="str">
        <f t="shared" ca="1" si="5"/>
        <v>M1</v>
      </c>
      <c r="I13" s="7" t="str">
        <f t="shared" ca="1" si="6"/>
        <v>M2</v>
      </c>
      <c r="J13" s="7" t="str">
        <f t="shared" ca="1" si="7"/>
        <v>A1</v>
      </c>
      <c r="K13" s="7" t="str">
        <f t="shared" ca="1" si="8"/>
        <v>N1</v>
      </c>
      <c r="L13" s="7" t="str">
        <f t="shared" ca="1" si="9"/>
        <v>N2</v>
      </c>
      <c r="M13" s="7" t="str">
        <f t="shared" ca="1" si="10"/>
        <v>O1</v>
      </c>
      <c r="N13" s="7" t="str">
        <f t="shared" ca="1" si="11"/>
        <v>O2</v>
      </c>
      <c r="O13" s="7" t="str">
        <f t="shared" ca="1" si="12"/>
        <v>O3</v>
      </c>
      <c r="P13" s="7" t="str">
        <f t="shared" ca="1" si="13"/>
        <v>M1</v>
      </c>
      <c r="Q13" s="7" t="str">
        <f t="shared" ca="1" si="14"/>
        <v>M2</v>
      </c>
      <c r="R13" s="7" t="str">
        <f t="shared" ca="1" si="15"/>
        <v>A1</v>
      </c>
      <c r="S13" s="7" t="str">
        <f t="shared" ca="1" si="16"/>
        <v>N1</v>
      </c>
      <c r="T13" s="7" t="str">
        <f t="shared" ca="1" si="17"/>
        <v>N2</v>
      </c>
      <c r="U13" s="7" t="str">
        <f t="shared" ca="1" si="18"/>
        <v>O1</v>
      </c>
      <c r="V13" s="7" t="str">
        <f t="shared" ca="1" si="19"/>
        <v>O2</v>
      </c>
      <c r="W13" s="7" t="str">
        <f t="shared" ca="1" si="20"/>
        <v>O3</v>
      </c>
      <c r="X13" s="7" t="str">
        <f t="shared" ca="1" si="21"/>
        <v>M1</v>
      </c>
      <c r="Y13" s="7" t="str">
        <f t="shared" ca="1" si="22"/>
        <v>M2</v>
      </c>
      <c r="Z13" s="7" t="str">
        <f t="shared" ca="1" si="23"/>
        <v>A1</v>
      </c>
      <c r="AA13" s="7" t="str">
        <f t="shared" ca="1" si="24"/>
        <v>N1</v>
      </c>
      <c r="AB13" s="7" t="str">
        <f t="shared" ca="1" si="25"/>
        <v>N2</v>
      </c>
      <c r="AC13" s="7" t="str">
        <f t="shared" ca="1" si="26"/>
        <v>O1</v>
      </c>
      <c r="AD13" s="7" t="str">
        <f t="shared" ca="1" si="27"/>
        <v>O2</v>
      </c>
      <c r="AE13" s="7" t="str">
        <f t="shared" ca="1" si="28"/>
        <v>O3</v>
      </c>
      <c r="AF13" s="7" t="str">
        <f t="shared" ca="1" si="29"/>
        <v>M1</v>
      </c>
      <c r="AG13" s="7" t="str">
        <f t="shared" ca="1" si="30"/>
        <v>M2</v>
      </c>
      <c r="AH13" s="7" t="str">
        <f t="shared" ca="1" si="31"/>
        <v>A1</v>
      </c>
      <c r="AI13" s="7" t="str">
        <f t="shared" si="32"/>
        <v/>
      </c>
      <c r="AK13" s="13">
        <f t="shared" ca="1" si="33"/>
        <v>8</v>
      </c>
      <c r="AL13" s="13">
        <f t="shared" ca="1" si="34"/>
        <v>4</v>
      </c>
      <c r="AM13" s="13">
        <f t="shared" ca="1" si="35"/>
        <v>6</v>
      </c>
      <c r="AN13" s="13">
        <f t="shared" ca="1" si="36"/>
        <v>12</v>
      </c>
    </row>
    <row r="14" spans="2:40" x14ac:dyDescent="0.25">
      <c r="B14" s="3" t="s">
        <v>46</v>
      </c>
      <c r="C14" s="3" t="s">
        <v>29</v>
      </c>
      <c r="D14" s="11"/>
      <c r="E14" s="7" t="str">
        <f t="shared" si="2"/>
        <v>O2</v>
      </c>
      <c r="F14" s="7" t="str">
        <f t="shared" ca="1" si="3"/>
        <v>O3</v>
      </c>
      <c r="G14" s="7" t="str">
        <f t="shared" ca="1" si="4"/>
        <v>M1</v>
      </c>
      <c r="H14" s="7" t="str">
        <f t="shared" ca="1" si="5"/>
        <v>M2</v>
      </c>
      <c r="I14" s="7" t="str">
        <f t="shared" ca="1" si="6"/>
        <v>A1</v>
      </c>
      <c r="J14" s="7" t="str">
        <f t="shared" ca="1" si="7"/>
        <v>N1</v>
      </c>
      <c r="K14" s="7" t="str">
        <f t="shared" ca="1" si="8"/>
        <v>N2</v>
      </c>
      <c r="L14" s="7" t="str">
        <f t="shared" ca="1" si="9"/>
        <v>O1</v>
      </c>
      <c r="M14" s="7" t="str">
        <f t="shared" ca="1" si="10"/>
        <v>O2</v>
      </c>
      <c r="N14" s="7" t="str">
        <f t="shared" ca="1" si="11"/>
        <v>O3</v>
      </c>
      <c r="O14" s="7" t="str">
        <f t="shared" ca="1" si="12"/>
        <v>M1</v>
      </c>
      <c r="P14" s="7" t="str">
        <f t="shared" ca="1" si="13"/>
        <v>M2</v>
      </c>
      <c r="Q14" s="7" t="str">
        <f t="shared" ca="1" si="14"/>
        <v>A1</v>
      </c>
      <c r="R14" s="7" t="str">
        <f t="shared" ca="1" si="15"/>
        <v>N1</v>
      </c>
      <c r="S14" s="7" t="str">
        <f t="shared" ca="1" si="16"/>
        <v>N2</v>
      </c>
      <c r="T14" s="7" t="str">
        <f t="shared" ca="1" si="17"/>
        <v>O1</v>
      </c>
      <c r="U14" s="7" t="str">
        <f t="shared" ca="1" si="18"/>
        <v>O2</v>
      </c>
      <c r="V14" s="7" t="str">
        <f t="shared" ca="1" si="19"/>
        <v>O3</v>
      </c>
      <c r="W14" s="7" t="str">
        <f t="shared" ca="1" si="20"/>
        <v>M1</v>
      </c>
      <c r="X14" s="7" t="str">
        <f t="shared" ca="1" si="21"/>
        <v>M2</v>
      </c>
      <c r="Y14" s="7" t="str">
        <f t="shared" ca="1" si="22"/>
        <v>A1</v>
      </c>
      <c r="Z14" s="7" t="str">
        <f t="shared" ca="1" si="23"/>
        <v>N1</v>
      </c>
      <c r="AA14" s="7" t="str">
        <f t="shared" ca="1" si="24"/>
        <v>N2</v>
      </c>
      <c r="AB14" s="7" t="str">
        <f t="shared" ca="1" si="25"/>
        <v>O1</v>
      </c>
      <c r="AC14" s="7" t="str">
        <f t="shared" ca="1" si="26"/>
        <v>O2</v>
      </c>
      <c r="AD14" s="7" t="str">
        <f t="shared" ca="1" si="27"/>
        <v>O3</v>
      </c>
      <c r="AE14" s="7" t="str">
        <f t="shared" ca="1" si="28"/>
        <v>M1</v>
      </c>
      <c r="AF14" s="7" t="str">
        <f t="shared" ca="1" si="29"/>
        <v>M2</v>
      </c>
      <c r="AG14" s="7" t="str">
        <f t="shared" ca="1" si="30"/>
        <v>A1</v>
      </c>
      <c r="AH14" s="7" t="str">
        <f t="shared" ca="1" si="31"/>
        <v>N1</v>
      </c>
      <c r="AI14" s="7" t="str">
        <f t="shared" si="32"/>
        <v/>
      </c>
      <c r="AK14" s="13">
        <f t="shared" ca="1" si="33"/>
        <v>8</v>
      </c>
      <c r="AL14" s="13">
        <f t="shared" ca="1" si="34"/>
        <v>4</v>
      </c>
      <c r="AM14" s="13">
        <f t="shared" ca="1" si="35"/>
        <v>7</v>
      </c>
      <c r="AN14" s="13">
        <f t="shared" ca="1" si="36"/>
        <v>11</v>
      </c>
    </row>
    <row r="15" spans="2:40" x14ac:dyDescent="0.25">
      <c r="B15" s="3" t="s">
        <v>47</v>
      </c>
      <c r="C15" s="3" t="s">
        <v>30</v>
      </c>
      <c r="D15" s="11"/>
      <c r="E15" s="7" t="str">
        <f t="shared" si="2"/>
        <v>O3</v>
      </c>
      <c r="F15" s="7" t="str">
        <f t="shared" ca="1" si="3"/>
        <v>M1</v>
      </c>
      <c r="G15" s="7" t="str">
        <f t="shared" ca="1" si="4"/>
        <v>M2</v>
      </c>
      <c r="H15" s="7" t="str">
        <f t="shared" ca="1" si="5"/>
        <v>A1</v>
      </c>
      <c r="I15" s="7" t="str">
        <f t="shared" ca="1" si="6"/>
        <v>N1</v>
      </c>
      <c r="J15" s="7" t="str">
        <f t="shared" ca="1" si="7"/>
        <v>N2</v>
      </c>
      <c r="K15" s="7" t="str">
        <f t="shared" ca="1" si="8"/>
        <v>O1</v>
      </c>
      <c r="L15" s="7" t="str">
        <f t="shared" ca="1" si="9"/>
        <v>O2</v>
      </c>
      <c r="M15" s="7" t="str">
        <f t="shared" ca="1" si="10"/>
        <v>O3</v>
      </c>
      <c r="N15" s="7" t="str">
        <f t="shared" ca="1" si="11"/>
        <v>M1</v>
      </c>
      <c r="O15" s="7" t="str">
        <f t="shared" ca="1" si="12"/>
        <v>M2</v>
      </c>
      <c r="P15" s="7" t="str">
        <f t="shared" ca="1" si="13"/>
        <v>A1</v>
      </c>
      <c r="Q15" s="7" t="str">
        <f t="shared" ca="1" si="14"/>
        <v>N1</v>
      </c>
      <c r="R15" s="7" t="str">
        <f t="shared" ca="1" si="15"/>
        <v>N2</v>
      </c>
      <c r="S15" s="7" t="str">
        <f t="shared" ca="1" si="16"/>
        <v>O1</v>
      </c>
      <c r="T15" s="7" t="str">
        <f t="shared" ca="1" si="17"/>
        <v>O2</v>
      </c>
      <c r="U15" s="7" t="str">
        <f t="shared" ca="1" si="18"/>
        <v>O3</v>
      </c>
      <c r="V15" s="7" t="str">
        <f t="shared" ca="1" si="19"/>
        <v>M1</v>
      </c>
      <c r="W15" s="7" t="str">
        <f t="shared" ca="1" si="20"/>
        <v>M2</v>
      </c>
      <c r="X15" s="7" t="str">
        <f t="shared" ca="1" si="21"/>
        <v>A1</v>
      </c>
      <c r="Y15" s="7" t="str">
        <f t="shared" ca="1" si="22"/>
        <v>N1</v>
      </c>
      <c r="Z15" s="7" t="str">
        <f t="shared" ca="1" si="23"/>
        <v>N2</v>
      </c>
      <c r="AA15" s="7" t="str">
        <f t="shared" ca="1" si="24"/>
        <v>O1</v>
      </c>
      <c r="AB15" s="7" t="str">
        <f t="shared" ca="1" si="25"/>
        <v>O2</v>
      </c>
      <c r="AC15" s="7" t="str">
        <f t="shared" ca="1" si="26"/>
        <v>O3</v>
      </c>
      <c r="AD15" s="7" t="str">
        <f t="shared" ca="1" si="27"/>
        <v>M1</v>
      </c>
      <c r="AE15" s="7" t="str">
        <f t="shared" ca="1" si="28"/>
        <v>M2</v>
      </c>
      <c r="AF15" s="7" t="str">
        <f t="shared" ca="1" si="29"/>
        <v>A1</v>
      </c>
      <c r="AG15" s="7" t="str">
        <f t="shared" ca="1" si="30"/>
        <v>N1</v>
      </c>
      <c r="AH15" s="7" t="str">
        <f t="shared" ca="1" si="31"/>
        <v>N2</v>
      </c>
      <c r="AI15" s="7" t="str">
        <f t="shared" si="32"/>
        <v/>
      </c>
      <c r="AK15" s="13">
        <f t="shared" ca="1" si="33"/>
        <v>8</v>
      </c>
      <c r="AL15" s="13">
        <f t="shared" ca="1" si="34"/>
        <v>4</v>
      </c>
      <c r="AM15" s="13">
        <f t="shared" ca="1" si="35"/>
        <v>8</v>
      </c>
      <c r="AN15" s="13">
        <f t="shared" ca="1" si="36"/>
        <v>10</v>
      </c>
    </row>
    <row r="16" spans="2:40" x14ac:dyDescent="0.25">
      <c r="B16" s="3" t="s">
        <v>48</v>
      </c>
      <c r="C16" s="3" t="s">
        <v>23</v>
      </c>
      <c r="D16" s="11"/>
      <c r="E16" s="7" t="str">
        <f t="shared" si="2"/>
        <v>M1</v>
      </c>
      <c r="F16" s="7" t="str">
        <f t="shared" ca="1" si="3"/>
        <v>M2</v>
      </c>
      <c r="G16" s="7" t="str">
        <f t="shared" ca="1" si="4"/>
        <v>A1</v>
      </c>
      <c r="H16" s="7" t="str">
        <f t="shared" ca="1" si="5"/>
        <v>N1</v>
      </c>
      <c r="I16" s="7" t="str">
        <f t="shared" ca="1" si="6"/>
        <v>N2</v>
      </c>
      <c r="J16" s="7" t="str">
        <f t="shared" ca="1" si="7"/>
        <v>O1</v>
      </c>
      <c r="K16" s="7" t="str">
        <f t="shared" ca="1" si="8"/>
        <v>O2</v>
      </c>
      <c r="L16" s="7" t="str">
        <f t="shared" ca="1" si="9"/>
        <v>O3</v>
      </c>
      <c r="M16" s="7" t="str">
        <f t="shared" ca="1" si="10"/>
        <v>M1</v>
      </c>
      <c r="N16" s="7" t="str">
        <f t="shared" ca="1" si="11"/>
        <v>M2</v>
      </c>
      <c r="O16" s="7" t="str">
        <f t="shared" ca="1" si="12"/>
        <v>A1</v>
      </c>
      <c r="P16" s="7" t="str">
        <f t="shared" ca="1" si="13"/>
        <v>N1</v>
      </c>
      <c r="Q16" s="7" t="str">
        <f t="shared" ca="1" si="14"/>
        <v>N2</v>
      </c>
      <c r="R16" s="7" t="str">
        <f t="shared" ca="1" si="15"/>
        <v>O1</v>
      </c>
      <c r="S16" s="7" t="str">
        <f t="shared" ca="1" si="16"/>
        <v>O2</v>
      </c>
      <c r="T16" s="7" t="str">
        <f t="shared" ca="1" si="17"/>
        <v>O3</v>
      </c>
      <c r="U16" s="7" t="str">
        <f t="shared" ca="1" si="18"/>
        <v>M1</v>
      </c>
      <c r="V16" s="7" t="str">
        <f t="shared" ca="1" si="19"/>
        <v>M2</v>
      </c>
      <c r="W16" s="7" t="str">
        <f t="shared" ca="1" si="20"/>
        <v>A1</v>
      </c>
      <c r="X16" s="7" t="str">
        <f t="shared" ca="1" si="21"/>
        <v>N1</v>
      </c>
      <c r="Y16" s="7" t="str">
        <f t="shared" ca="1" si="22"/>
        <v>N2</v>
      </c>
      <c r="Z16" s="7" t="str">
        <f t="shared" ca="1" si="23"/>
        <v>O1</v>
      </c>
      <c r="AA16" s="7" t="str">
        <f t="shared" ca="1" si="24"/>
        <v>O2</v>
      </c>
      <c r="AB16" s="7" t="str">
        <f t="shared" ca="1" si="25"/>
        <v>O3</v>
      </c>
      <c r="AC16" s="7" t="str">
        <f t="shared" ca="1" si="26"/>
        <v>M1</v>
      </c>
      <c r="AD16" s="7" t="str">
        <f t="shared" ca="1" si="27"/>
        <v>M2</v>
      </c>
      <c r="AE16" s="7" t="str">
        <f t="shared" ca="1" si="28"/>
        <v>A1</v>
      </c>
      <c r="AF16" s="7" t="str">
        <f t="shared" ca="1" si="29"/>
        <v>N1</v>
      </c>
      <c r="AG16" s="7" t="str">
        <f t="shared" ca="1" si="30"/>
        <v>N2</v>
      </c>
      <c r="AH16" s="7" t="str">
        <f t="shared" ca="1" si="31"/>
        <v>O1</v>
      </c>
      <c r="AI16" s="7" t="str">
        <f t="shared" si="32"/>
        <v/>
      </c>
      <c r="AK16" s="13">
        <f t="shared" ca="1" si="33"/>
        <v>8</v>
      </c>
      <c r="AL16" s="13">
        <f t="shared" ca="1" si="34"/>
        <v>4</v>
      </c>
      <c r="AM16" s="13">
        <f t="shared" ca="1" si="35"/>
        <v>8</v>
      </c>
      <c r="AN16" s="13">
        <f t="shared" ca="1" si="36"/>
        <v>10</v>
      </c>
    </row>
    <row r="17" spans="2:40" x14ac:dyDescent="0.25">
      <c r="B17" s="3" t="s">
        <v>49</v>
      </c>
      <c r="C17" s="3" t="s">
        <v>24</v>
      </c>
      <c r="D17" s="12"/>
      <c r="E17" s="7" t="str">
        <f t="shared" si="2"/>
        <v>M2</v>
      </c>
      <c r="F17" s="7" t="str">
        <f t="shared" ca="1" si="3"/>
        <v>A1</v>
      </c>
      <c r="G17" s="7" t="str">
        <f t="shared" ca="1" si="4"/>
        <v>N1</v>
      </c>
      <c r="H17" s="7" t="str">
        <f t="shared" ca="1" si="5"/>
        <v>N2</v>
      </c>
      <c r="I17" s="7" t="str">
        <f t="shared" ca="1" si="6"/>
        <v>O1</v>
      </c>
      <c r="J17" s="7" t="str">
        <f t="shared" ca="1" si="7"/>
        <v>O2</v>
      </c>
      <c r="K17" s="7" t="str">
        <f t="shared" ca="1" si="8"/>
        <v>O3</v>
      </c>
      <c r="L17" s="7" t="str">
        <f t="shared" ca="1" si="9"/>
        <v>M1</v>
      </c>
      <c r="M17" s="7" t="str">
        <f t="shared" ca="1" si="10"/>
        <v>M2</v>
      </c>
      <c r="N17" s="7" t="str">
        <f t="shared" ca="1" si="11"/>
        <v>A1</v>
      </c>
      <c r="O17" s="7" t="str">
        <f t="shared" ca="1" si="12"/>
        <v>N1</v>
      </c>
      <c r="P17" s="7" t="str">
        <f t="shared" ca="1" si="13"/>
        <v>N2</v>
      </c>
      <c r="Q17" s="7" t="str">
        <f t="shared" ca="1" si="14"/>
        <v>O1</v>
      </c>
      <c r="R17" s="7" t="str">
        <f t="shared" ca="1" si="15"/>
        <v>O2</v>
      </c>
      <c r="S17" s="7" t="str">
        <f t="shared" ca="1" si="16"/>
        <v>O3</v>
      </c>
      <c r="T17" s="7" t="str">
        <f t="shared" ca="1" si="17"/>
        <v>M1</v>
      </c>
      <c r="U17" s="7" t="str">
        <f t="shared" ca="1" si="18"/>
        <v>M2</v>
      </c>
      <c r="V17" s="7" t="str">
        <f t="shared" ca="1" si="19"/>
        <v>A1</v>
      </c>
      <c r="W17" s="7" t="str">
        <f t="shared" ca="1" si="20"/>
        <v>N1</v>
      </c>
      <c r="X17" s="7" t="str">
        <f t="shared" ca="1" si="21"/>
        <v>N2</v>
      </c>
      <c r="Y17" s="7" t="str">
        <f t="shared" ca="1" si="22"/>
        <v>O1</v>
      </c>
      <c r="Z17" s="7" t="str">
        <f t="shared" ca="1" si="23"/>
        <v>O2</v>
      </c>
      <c r="AA17" s="7" t="str">
        <f t="shared" ca="1" si="24"/>
        <v>O3</v>
      </c>
      <c r="AB17" s="7" t="str">
        <f t="shared" ca="1" si="25"/>
        <v>M1</v>
      </c>
      <c r="AC17" s="7" t="str">
        <f t="shared" ca="1" si="26"/>
        <v>M2</v>
      </c>
      <c r="AD17" s="7" t="str">
        <f t="shared" ca="1" si="27"/>
        <v>A1</v>
      </c>
      <c r="AE17" s="7" t="str">
        <f t="shared" ca="1" si="28"/>
        <v>N1</v>
      </c>
      <c r="AF17" s="7" t="str">
        <f t="shared" ca="1" si="29"/>
        <v>N2</v>
      </c>
      <c r="AG17" s="7" t="str">
        <f t="shared" ca="1" si="30"/>
        <v>O1</v>
      </c>
      <c r="AH17" s="7" t="str">
        <f t="shared" ca="1" si="31"/>
        <v>O2</v>
      </c>
      <c r="AI17" s="7" t="str">
        <f t="shared" si="32"/>
        <v/>
      </c>
      <c r="AK17" s="13">
        <f t="shared" ca="1" si="33"/>
        <v>7</v>
      </c>
      <c r="AL17" s="13">
        <f t="shared" ca="1" si="34"/>
        <v>4</v>
      </c>
      <c r="AM17" s="13">
        <f t="shared" ca="1" si="35"/>
        <v>8</v>
      </c>
      <c r="AN17" s="13">
        <f t="shared" ca="1" si="36"/>
        <v>11</v>
      </c>
    </row>
    <row r="18" spans="2:40" x14ac:dyDescent="0.25">
      <c r="B18" s="3" t="s">
        <v>50</v>
      </c>
      <c r="C18" s="3" t="s">
        <v>25</v>
      </c>
      <c r="E18" s="7" t="str">
        <f t="shared" si="2"/>
        <v>A1</v>
      </c>
      <c r="F18" s="7" t="str">
        <f t="shared" ca="1" si="3"/>
        <v>N1</v>
      </c>
      <c r="G18" s="7" t="str">
        <f t="shared" ca="1" si="4"/>
        <v>N2</v>
      </c>
      <c r="H18" s="7" t="str">
        <f t="shared" ca="1" si="5"/>
        <v>O1</v>
      </c>
      <c r="I18" s="7" t="str">
        <f t="shared" ca="1" si="6"/>
        <v>O2</v>
      </c>
      <c r="J18" s="7" t="str">
        <f t="shared" ca="1" si="7"/>
        <v>O3</v>
      </c>
      <c r="K18" s="7" t="str">
        <f t="shared" ca="1" si="8"/>
        <v>M1</v>
      </c>
      <c r="L18" s="7" t="str">
        <f t="shared" ca="1" si="9"/>
        <v>M2</v>
      </c>
      <c r="M18" s="7" t="str">
        <f t="shared" ca="1" si="10"/>
        <v>A1</v>
      </c>
      <c r="N18" s="7" t="str">
        <f t="shared" ca="1" si="11"/>
        <v>N1</v>
      </c>
      <c r="O18" s="7" t="str">
        <f t="shared" ca="1" si="12"/>
        <v>N2</v>
      </c>
      <c r="P18" s="7" t="str">
        <f t="shared" ca="1" si="13"/>
        <v>O1</v>
      </c>
      <c r="Q18" s="7" t="str">
        <f t="shared" ca="1" si="14"/>
        <v>O2</v>
      </c>
      <c r="R18" s="7" t="str">
        <f t="shared" ca="1" si="15"/>
        <v>O3</v>
      </c>
      <c r="S18" s="7" t="str">
        <f t="shared" ca="1" si="16"/>
        <v>M1</v>
      </c>
      <c r="T18" s="7" t="str">
        <f t="shared" ca="1" si="17"/>
        <v>M2</v>
      </c>
      <c r="U18" s="7" t="str">
        <f t="shared" ca="1" si="18"/>
        <v>A1</v>
      </c>
      <c r="V18" s="7" t="str">
        <f t="shared" ca="1" si="19"/>
        <v>N1</v>
      </c>
      <c r="W18" s="7" t="str">
        <f t="shared" ca="1" si="20"/>
        <v>N2</v>
      </c>
      <c r="X18" s="7" t="str">
        <f t="shared" ca="1" si="21"/>
        <v>O1</v>
      </c>
      <c r="Y18" s="7" t="str">
        <f t="shared" ca="1" si="22"/>
        <v>O2</v>
      </c>
      <c r="Z18" s="7" t="str">
        <f t="shared" ca="1" si="23"/>
        <v>O3</v>
      </c>
      <c r="AA18" s="7" t="str">
        <f t="shared" ca="1" si="24"/>
        <v>M1</v>
      </c>
      <c r="AB18" s="7" t="str">
        <f t="shared" ca="1" si="25"/>
        <v>M2</v>
      </c>
      <c r="AC18" s="7" t="str">
        <f t="shared" ca="1" si="26"/>
        <v>A1</v>
      </c>
      <c r="AD18" s="7" t="str">
        <f t="shared" ca="1" si="27"/>
        <v>N1</v>
      </c>
      <c r="AE18" s="7" t="str">
        <f t="shared" ca="1" si="28"/>
        <v>N2</v>
      </c>
      <c r="AF18" s="7" t="str">
        <f t="shared" ca="1" si="29"/>
        <v>O1</v>
      </c>
      <c r="AG18" s="7" t="str">
        <f t="shared" ca="1" si="30"/>
        <v>O2</v>
      </c>
      <c r="AH18" s="7" t="str">
        <f t="shared" ca="1" si="31"/>
        <v>O3</v>
      </c>
      <c r="AI18" s="7" t="str">
        <f t="shared" si="32"/>
        <v/>
      </c>
      <c r="AK18" s="13">
        <f t="shared" ca="1" si="33"/>
        <v>6</v>
      </c>
      <c r="AL18" s="13">
        <f t="shared" ca="1" si="34"/>
        <v>4</v>
      </c>
      <c r="AM18" s="13">
        <f t="shared" ca="1" si="35"/>
        <v>8</v>
      </c>
      <c r="AN18" s="13">
        <f t="shared" ca="1" si="36"/>
        <v>12</v>
      </c>
    </row>
    <row r="19" spans="2:40" x14ac:dyDescent="0.25">
      <c r="B19" s="3" t="s">
        <v>51</v>
      </c>
      <c r="C19" s="3" t="s">
        <v>26</v>
      </c>
      <c r="E19" s="7" t="str">
        <f t="shared" si="2"/>
        <v>N1</v>
      </c>
      <c r="F19" s="7" t="str">
        <f t="shared" ca="1" si="3"/>
        <v>N2</v>
      </c>
      <c r="G19" s="7" t="str">
        <f t="shared" ca="1" si="4"/>
        <v>O1</v>
      </c>
      <c r="H19" s="7" t="str">
        <f t="shared" ca="1" si="5"/>
        <v>O2</v>
      </c>
      <c r="I19" s="7" t="str">
        <f t="shared" ca="1" si="6"/>
        <v>O3</v>
      </c>
      <c r="J19" s="7" t="str">
        <f t="shared" ca="1" si="7"/>
        <v>M1</v>
      </c>
      <c r="K19" s="7" t="str">
        <f t="shared" ca="1" si="8"/>
        <v>M2</v>
      </c>
      <c r="L19" s="7" t="str">
        <f t="shared" ca="1" si="9"/>
        <v>A1</v>
      </c>
      <c r="M19" s="7" t="str">
        <f t="shared" ca="1" si="10"/>
        <v>N1</v>
      </c>
      <c r="N19" s="7" t="str">
        <f t="shared" ca="1" si="11"/>
        <v>N2</v>
      </c>
      <c r="O19" s="7" t="str">
        <f t="shared" ca="1" si="12"/>
        <v>O1</v>
      </c>
      <c r="P19" s="7" t="str">
        <f t="shared" ca="1" si="13"/>
        <v>O2</v>
      </c>
      <c r="Q19" s="7" t="str">
        <f t="shared" ca="1" si="14"/>
        <v>O3</v>
      </c>
      <c r="R19" s="7" t="str">
        <f t="shared" ca="1" si="15"/>
        <v>M1</v>
      </c>
      <c r="S19" s="7" t="str">
        <f t="shared" ca="1" si="16"/>
        <v>M2</v>
      </c>
      <c r="T19" s="7" t="str">
        <f t="shared" ca="1" si="17"/>
        <v>A1</v>
      </c>
      <c r="U19" s="7" t="str">
        <f t="shared" ca="1" si="18"/>
        <v>N1</v>
      </c>
      <c r="V19" s="7" t="str">
        <f t="shared" ca="1" si="19"/>
        <v>N2</v>
      </c>
      <c r="W19" s="7" t="str">
        <f t="shared" ca="1" si="20"/>
        <v>O1</v>
      </c>
      <c r="X19" s="7" t="str">
        <f t="shared" ca="1" si="21"/>
        <v>O2</v>
      </c>
      <c r="Y19" s="7" t="str">
        <f t="shared" ca="1" si="22"/>
        <v>O3</v>
      </c>
      <c r="Z19" s="7" t="str">
        <f t="shared" ca="1" si="23"/>
        <v>M1</v>
      </c>
      <c r="AA19" s="7" t="str">
        <f t="shared" ca="1" si="24"/>
        <v>M2</v>
      </c>
      <c r="AB19" s="7" t="str">
        <f t="shared" ca="1" si="25"/>
        <v>A1</v>
      </c>
      <c r="AC19" s="7" t="str">
        <f t="shared" ca="1" si="26"/>
        <v>N1</v>
      </c>
      <c r="AD19" s="7" t="str">
        <f t="shared" ca="1" si="27"/>
        <v>N2</v>
      </c>
      <c r="AE19" s="7" t="str">
        <f t="shared" ca="1" si="28"/>
        <v>O1</v>
      </c>
      <c r="AF19" s="7" t="str">
        <f t="shared" ca="1" si="29"/>
        <v>O2</v>
      </c>
      <c r="AG19" s="7" t="str">
        <f t="shared" ca="1" si="30"/>
        <v>O3</v>
      </c>
      <c r="AH19" s="7" t="str">
        <f t="shared" ca="1" si="31"/>
        <v>M1</v>
      </c>
      <c r="AI19" s="7" t="str">
        <f t="shared" si="32"/>
        <v/>
      </c>
      <c r="AK19" s="13">
        <f t="shared" ca="1" si="33"/>
        <v>7</v>
      </c>
      <c r="AL19" s="13">
        <f t="shared" ca="1" si="34"/>
        <v>3</v>
      </c>
      <c r="AM19" s="13">
        <f t="shared" ca="1" si="35"/>
        <v>8</v>
      </c>
      <c r="AN19" s="13">
        <f t="shared" ca="1" si="36"/>
        <v>12</v>
      </c>
    </row>
    <row r="20" spans="2:40" x14ac:dyDescent="0.25">
      <c r="B20" s="3" t="s">
        <v>52</v>
      </c>
      <c r="C20" s="3" t="s">
        <v>27</v>
      </c>
      <c r="E20" s="7" t="str">
        <f t="shared" si="2"/>
        <v>N2</v>
      </c>
      <c r="F20" s="7" t="str">
        <f t="shared" ca="1" si="3"/>
        <v>O1</v>
      </c>
      <c r="G20" s="7" t="str">
        <f t="shared" ca="1" si="4"/>
        <v>O2</v>
      </c>
      <c r="H20" s="7" t="str">
        <f t="shared" ca="1" si="5"/>
        <v>O3</v>
      </c>
      <c r="I20" s="7" t="str">
        <f t="shared" ca="1" si="6"/>
        <v>M1</v>
      </c>
      <c r="J20" s="7" t="str">
        <f t="shared" ca="1" si="7"/>
        <v>M2</v>
      </c>
      <c r="K20" s="7" t="str">
        <f t="shared" ca="1" si="8"/>
        <v>A1</v>
      </c>
      <c r="L20" s="7" t="str">
        <f t="shared" ca="1" si="9"/>
        <v>N1</v>
      </c>
      <c r="M20" s="7" t="str">
        <f t="shared" ca="1" si="10"/>
        <v>N2</v>
      </c>
      <c r="N20" s="7" t="str">
        <f t="shared" ca="1" si="11"/>
        <v>O1</v>
      </c>
      <c r="O20" s="7" t="str">
        <f t="shared" ca="1" si="12"/>
        <v>O2</v>
      </c>
      <c r="P20" s="7" t="str">
        <f t="shared" ca="1" si="13"/>
        <v>O3</v>
      </c>
      <c r="Q20" s="7" t="str">
        <f t="shared" ca="1" si="14"/>
        <v>M1</v>
      </c>
      <c r="R20" s="7" t="str">
        <f t="shared" ca="1" si="15"/>
        <v>M2</v>
      </c>
      <c r="S20" s="7" t="str">
        <f t="shared" ca="1" si="16"/>
        <v>A1</v>
      </c>
      <c r="T20" s="7" t="str">
        <f t="shared" ca="1" si="17"/>
        <v>N1</v>
      </c>
      <c r="U20" s="7" t="str">
        <f t="shared" ca="1" si="18"/>
        <v>N2</v>
      </c>
      <c r="V20" s="7" t="str">
        <f t="shared" ca="1" si="19"/>
        <v>O1</v>
      </c>
      <c r="W20" s="7" t="str">
        <f t="shared" ca="1" si="20"/>
        <v>O2</v>
      </c>
      <c r="X20" s="7" t="str">
        <f t="shared" ca="1" si="21"/>
        <v>O3</v>
      </c>
      <c r="Y20" s="7" t="str">
        <f t="shared" ca="1" si="22"/>
        <v>M1</v>
      </c>
      <c r="Z20" s="7" t="str">
        <f t="shared" ca="1" si="23"/>
        <v>M2</v>
      </c>
      <c r="AA20" s="7" t="str">
        <f t="shared" ca="1" si="24"/>
        <v>A1</v>
      </c>
      <c r="AB20" s="7" t="str">
        <f t="shared" ca="1" si="25"/>
        <v>N1</v>
      </c>
      <c r="AC20" s="7" t="str">
        <f t="shared" ca="1" si="26"/>
        <v>N2</v>
      </c>
      <c r="AD20" s="7" t="str">
        <f t="shared" ca="1" si="27"/>
        <v>O1</v>
      </c>
      <c r="AE20" s="7" t="str">
        <f t="shared" ca="1" si="28"/>
        <v>O2</v>
      </c>
      <c r="AF20" s="7" t="str">
        <f t="shared" ca="1" si="29"/>
        <v>O3</v>
      </c>
      <c r="AG20" s="7" t="str">
        <f t="shared" ca="1" si="30"/>
        <v>M1</v>
      </c>
      <c r="AH20" s="7" t="str">
        <f t="shared" ca="1" si="31"/>
        <v>M2</v>
      </c>
      <c r="AI20" s="7" t="str">
        <f t="shared" si="32"/>
        <v/>
      </c>
      <c r="AK20" s="13">
        <f t="shared" ca="1" si="33"/>
        <v>8</v>
      </c>
      <c r="AL20" s="13">
        <f t="shared" ca="1" si="34"/>
        <v>3</v>
      </c>
      <c r="AM20" s="13">
        <f t="shared" ca="1" si="35"/>
        <v>7</v>
      </c>
      <c r="AN20" s="13">
        <f t="shared" ca="1" si="36"/>
        <v>12</v>
      </c>
    </row>
    <row r="21" spans="2:40" x14ac:dyDescent="0.25">
      <c r="B21" s="3" t="s">
        <v>53</v>
      </c>
      <c r="C21" s="3" t="s">
        <v>28</v>
      </c>
      <c r="E21" s="7" t="str">
        <f t="shared" si="2"/>
        <v>O1</v>
      </c>
      <c r="F21" s="7" t="str">
        <f t="shared" ca="1" si="3"/>
        <v>O2</v>
      </c>
      <c r="G21" s="7" t="str">
        <f t="shared" ca="1" si="4"/>
        <v>O3</v>
      </c>
      <c r="H21" s="7" t="str">
        <f t="shared" ca="1" si="5"/>
        <v>M1</v>
      </c>
      <c r="I21" s="7" t="str">
        <f t="shared" ca="1" si="6"/>
        <v>M2</v>
      </c>
      <c r="J21" s="7" t="str">
        <f t="shared" ca="1" si="7"/>
        <v>A1</v>
      </c>
      <c r="K21" s="7" t="str">
        <f t="shared" ca="1" si="8"/>
        <v>N1</v>
      </c>
      <c r="L21" s="7" t="str">
        <f t="shared" ca="1" si="9"/>
        <v>N2</v>
      </c>
      <c r="M21" s="7" t="str">
        <f t="shared" ca="1" si="10"/>
        <v>O1</v>
      </c>
      <c r="N21" s="7" t="str">
        <f t="shared" ca="1" si="11"/>
        <v>O2</v>
      </c>
      <c r="O21" s="7" t="str">
        <f t="shared" ca="1" si="12"/>
        <v>O3</v>
      </c>
      <c r="P21" s="7" t="str">
        <f t="shared" ca="1" si="13"/>
        <v>M1</v>
      </c>
      <c r="Q21" s="7" t="str">
        <f t="shared" ca="1" si="14"/>
        <v>M2</v>
      </c>
      <c r="R21" s="7" t="str">
        <f t="shared" ca="1" si="15"/>
        <v>A1</v>
      </c>
      <c r="S21" s="7" t="str">
        <f t="shared" ca="1" si="16"/>
        <v>N1</v>
      </c>
      <c r="T21" s="7" t="str">
        <f t="shared" ca="1" si="17"/>
        <v>N2</v>
      </c>
      <c r="U21" s="7" t="str">
        <f t="shared" ca="1" si="18"/>
        <v>O1</v>
      </c>
      <c r="V21" s="7" t="str">
        <f t="shared" ca="1" si="19"/>
        <v>O2</v>
      </c>
      <c r="W21" s="7" t="str">
        <f t="shared" ca="1" si="20"/>
        <v>O3</v>
      </c>
      <c r="X21" s="7" t="str">
        <f t="shared" ca="1" si="21"/>
        <v>M1</v>
      </c>
      <c r="Y21" s="7" t="str">
        <f t="shared" ca="1" si="22"/>
        <v>M2</v>
      </c>
      <c r="Z21" s="7" t="str">
        <f t="shared" ca="1" si="23"/>
        <v>A1</v>
      </c>
      <c r="AA21" s="7" t="str">
        <f t="shared" ca="1" si="24"/>
        <v>N1</v>
      </c>
      <c r="AB21" s="7" t="str">
        <f t="shared" ca="1" si="25"/>
        <v>N2</v>
      </c>
      <c r="AC21" s="7" t="str">
        <f t="shared" ca="1" si="26"/>
        <v>O1</v>
      </c>
      <c r="AD21" s="7" t="str">
        <f t="shared" ca="1" si="27"/>
        <v>O2</v>
      </c>
      <c r="AE21" s="7" t="str">
        <f t="shared" ca="1" si="28"/>
        <v>O3</v>
      </c>
      <c r="AF21" s="7" t="str">
        <f t="shared" ca="1" si="29"/>
        <v>M1</v>
      </c>
      <c r="AG21" s="7" t="str">
        <f t="shared" ca="1" si="30"/>
        <v>M2</v>
      </c>
      <c r="AH21" s="7" t="str">
        <f t="shared" ca="1" si="31"/>
        <v>A1</v>
      </c>
      <c r="AI21" s="7" t="str">
        <f t="shared" si="32"/>
        <v/>
      </c>
      <c r="AK21" s="13">
        <f t="shared" ca="1" si="33"/>
        <v>8</v>
      </c>
      <c r="AL21" s="13">
        <f t="shared" ca="1" si="34"/>
        <v>4</v>
      </c>
      <c r="AM21" s="13">
        <f t="shared" ca="1" si="35"/>
        <v>6</v>
      </c>
      <c r="AN21" s="13">
        <f t="shared" ca="1" si="36"/>
        <v>12</v>
      </c>
    </row>
    <row r="22" spans="2:40" x14ac:dyDescent="0.25">
      <c r="B22" s="3" t="s">
        <v>54</v>
      </c>
      <c r="C22" s="3" t="s">
        <v>29</v>
      </c>
      <c r="E22" s="7" t="str">
        <f t="shared" si="2"/>
        <v>O2</v>
      </c>
      <c r="F22" s="7" t="str">
        <f t="shared" ca="1" si="3"/>
        <v>O3</v>
      </c>
      <c r="G22" s="7" t="str">
        <f t="shared" ca="1" si="4"/>
        <v>M1</v>
      </c>
      <c r="H22" s="7" t="str">
        <f t="shared" ca="1" si="5"/>
        <v>M2</v>
      </c>
      <c r="I22" s="7" t="str">
        <f t="shared" ca="1" si="6"/>
        <v>A1</v>
      </c>
      <c r="J22" s="7" t="str">
        <f t="shared" ca="1" si="7"/>
        <v>N1</v>
      </c>
      <c r="K22" s="7" t="str">
        <f t="shared" ca="1" si="8"/>
        <v>N2</v>
      </c>
      <c r="L22" s="7" t="str">
        <f t="shared" ca="1" si="9"/>
        <v>O1</v>
      </c>
      <c r="M22" s="7" t="str">
        <f t="shared" ca="1" si="10"/>
        <v>O2</v>
      </c>
      <c r="N22" s="7" t="str">
        <f t="shared" ca="1" si="11"/>
        <v>O3</v>
      </c>
      <c r="O22" s="7" t="str">
        <f t="shared" ca="1" si="12"/>
        <v>M1</v>
      </c>
      <c r="P22" s="7" t="str">
        <f t="shared" ca="1" si="13"/>
        <v>M2</v>
      </c>
      <c r="Q22" s="7" t="str">
        <f t="shared" ca="1" si="14"/>
        <v>A1</v>
      </c>
      <c r="R22" s="7" t="str">
        <f t="shared" ca="1" si="15"/>
        <v>N1</v>
      </c>
      <c r="S22" s="7" t="str">
        <f t="shared" ca="1" si="16"/>
        <v>N2</v>
      </c>
      <c r="T22" s="7" t="str">
        <f t="shared" ca="1" si="17"/>
        <v>O1</v>
      </c>
      <c r="U22" s="7" t="str">
        <f t="shared" ca="1" si="18"/>
        <v>O2</v>
      </c>
      <c r="V22" s="7" t="str">
        <f t="shared" ca="1" si="19"/>
        <v>O3</v>
      </c>
      <c r="W22" s="7" t="str">
        <f t="shared" ca="1" si="20"/>
        <v>M1</v>
      </c>
      <c r="X22" s="7" t="str">
        <f t="shared" ca="1" si="21"/>
        <v>M2</v>
      </c>
      <c r="Y22" s="7" t="str">
        <f t="shared" ca="1" si="22"/>
        <v>A1</v>
      </c>
      <c r="Z22" s="7" t="str">
        <f t="shared" ca="1" si="23"/>
        <v>N1</v>
      </c>
      <c r="AA22" s="7" t="str">
        <f t="shared" ca="1" si="24"/>
        <v>N2</v>
      </c>
      <c r="AB22" s="7" t="str">
        <f t="shared" ca="1" si="25"/>
        <v>O1</v>
      </c>
      <c r="AC22" s="7" t="str">
        <f t="shared" ca="1" si="26"/>
        <v>O2</v>
      </c>
      <c r="AD22" s="7" t="str">
        <f t="shared" ca="1" si="27"/>
        <v>O3</v>
      </c>
      <c r="AE22" s="7" t="str">
        <f t="shared" ca="1" si="28"/>
        <v>M1</v>
      </c>
      <c r="AF22" s="7" t="str">
        <f t="shared" ca="1" si="29"/>
        <v>M2</v>
      </c>
      <c r="AG22" s="7" t="str">
        <f t="shared" ca="1" si="30"/>
        <v>A1</v>
      </c>
      <c r="AH22" s="7" t="str">
        <f t="shared" ca="1" si="31"/>
        <v>N1</v>
      </c>
      <c r="AI22" s="7" t="str">
        <f t="shared" si="32"/>
        <v/>
      </c>
      <c r="AK22" s="13">
        <f t="shared" ca="1" si="33"/>
        <v>8</v>
      </c>
      <c r="AL22" s="13">
        <f t="shared" ca="1" si="34"/>
        <v>4</v>
      </c>
      <c r="AM22" s="13">
        <f t="shared" ca="1" si="35"/>
        <v>7</v>
      </c>
      <c r="AN22" s="13">
        <f t="shared" ca="1" si="36"/>
        <v>11</v>
      </c>
    </row>
    <row r="23" spans="2:40" x14ac:dyDescent="0.25">
      <c r="B23" s="3" t="s">
        <v>55</v>
      </c>
      <c r="C23" s="3" t="s">
        <v>30</v>
      </c>
      <c r="E23" s="7" t="str">
        <f t="shared" si="2"/>
        <v>O3</v>
      </c>
      <c r="F23" s="7" t="str">
        <f t="shared" ca="1" si="3"/>
        <v>M1</v>
      </c>
      <c r="G23" s="7" t="str">
        <f t="shared" ca="1" si="4"/>
        <v>M2</v>
      </c>
      <c r="H23" s="7" t="str">
        <f t="shared" ca="1" si="5"/>
        <v>A1</v>
      </c>
      <c r="I23" s="7" t="str">
        <f t="shared" ca="1" si="6"/>
        <v>N1</v>
      </c>
      <c r="J23" s="7" t="str">
        <f t="shared" ca="1" si="7"/>
        <v>N2</v>
      </c>
      <c r="K23" s="7" t="str">
        <f t="shared" ca="1" si="8"/>
        <v>O1</v>
      </c>
      <c r="L23" s="7" t="str">
        <f t="shared" ca="1" si="9"/>
        <v>O2</v>
      </c>
      <c r="M23" s="7" t="str">
        <f t="shared" ca="1" si="10"/>
        <v>O3</v>
      </c>
      <c r="N23" s="7" t="str">
        <f t="shared" ca="1" si="11"/>
        <v>M1</v>
      </c>
      <c r="O23" s="7" t="str">
        <f t="shared" ca="1" si="12"/>
        <v>M2</v>
      </c>
      <c r="P23" s="7" t="str">
        <f t="shared" ca="1" si="13"/>
        <v>A1</v>
      </c>
      <c r="Q23" s="7" t="str">
        <f t="shared" ca="1" si="14"/>
        <v>N1</v>
      </c>
      <c r="R23" s="7" t="str">
        <f t="shared" ca="1" si="15"/>
        <v>N2</v>
      </c>
      <c r="S23" s="7" t="str">
        <f t="shared" ca="1" si="16"/>
        <v>O1</v>
      </c>
      <c r="T23" s="7" t="str">
        <f t="shared" ca="1" si="17"/>
        <v>O2</v>
      </c>
      <c r="U23" s="7" t="str">
        <f t="shared" ca="1" si="18"/>
        <v>O3</v>
      </c>
      <c r="V23" s="7" t="str">
        <f t="shared" ca="1" si="19"/>
        <v>M1</v>
      </c>
      <c r="W23" s="7" t="str">
        <f t="shared" ca="1" si="20"/>
        <v>M2</v>
      </c>
      <c r="X23" s="7" t="str">
        <f t="shared" ca="1" si="21"/>
        <v>A1</v>
      </c>
      <c r="Y23" s="7" t="str">
        <f t="shared" ca="1" si="22"/>
        <v>N1</v>
      </c>
      <c r="Z23" s="7" t="str">
        <f t="shared" ca="1" si="23"/>
        <v>N2</v>
      </c>
      <c r="AA23" s="7" t="str">
        <f t="shared" ca="1" si="24"/>
        <v>O1</v>
      </c>
      <c r="AB23" s="7" t="str">
        <f t="shared" ca="1" si="25"/>
        <v>O2</v>
      </c>
      <c r="AC23" s="7" t="str">
        <f t="shared" ca="1" si="26"/>
        <v>O3</v>
      </c>
      <c r="AD23" s="7" t="str">
        <f t="shared" ca="1" si="27"/>
        <v>M1</v>
      </c>
      <c r="AE23" s="7" t="str">
        <f t="shared" ca="1" si="28"/>
        <v>M2</v>
      </c>
      <c r="AF23" s="7" t="str">
        <f t="shared" ca="1" si="29"/>
        <v>A1</v>
      </c>
      <c r="AG23" s="7" t="str">
        <f t="shared" ca="1" si="30"/>
        <v>N1</v>
      </c>
      <c r="AH23" s="7" t="str">
        <f t="shared" ca="1" si="31"/>
        <v>N2</v>
      </c>
      <c r="AI23" s="7" t="str">
        <f t="shared" si="32"/>
        <v/>
      </c>
      <c r="AK23" s="13">
        <f t="shared" ca="1" si="33"/>
        <v>8</v>
      </c>
      <c r="AL23" s="13">
        <f t="shared" ca="1" si="34"/>
        <v>4</v>
      </c>
      <c r="AM23" s="13">
        <f t="shared" ca="1" si="35"/>
        <v>8</v>
      </c>
      <c r="AN23" s="13">
        <f t="shared" ca="1" si="36"/>
        <v>10</v>
      </c>
    </row>
    <row r="24" spans="2:40" x14ac:dyDescent="0.25">
      <c r="B24" s="3" t="s">
        <v>56</v>
      </c>
      <c r="C24" s="3" t="s">
        <v>23</v>
      </c>
      <c r="E24" s="7" t="str">
        <f t="shared" si="2"/>
        <v>M1</v>
      </c>
      <c r="F24" s="7" t="str">
        <f t="shared" ca="1" si="3"/>
        <v>M2</v>
      </c>
      <c r="G24" s="7" t="str">
        <f t="shared" ca="1" si="4"/>
        <v>A1</v>
      </c>
      <c r="H24" s="7" t="str">
        <f t="shared" ca="1" si="5"/>
        <v>N1</v>
      </c>
      <c r="I24" s="7" t="str">
        <f t="shared" ca="1" si="6"/>
        <v>N2</v>
      </c>
      <c r="J24" s="7" t="str">
        <f t="shared" ca="1" si="7"/>
        <v>O1</v>
      </c>
      <c r="K24" s="7" t="str">
        <f t="shared" ca="1" si="8"/>
        <v>O2</v>
      </c>
      <c r="L24" s="7" t="str">
        <f t="shared" ca="1" si="9"/>
        <v>O3</v>
      </c>
      <c r="M24" s="7" t="str">
        <f t="shared" ca="1" si="10"/>
        <v>M1</v>
      </c>
      <c r="N24" s="7" t="str">
        <f t="shared" ca="1" si="11"/>
        <v>M2</v>
      </c>
      <c r="O24" s="7" t="str">
        <f t="shared" ca="1" si="12"/>
        <v>A1</v>
      </c>
      <c r="P24" s="7" t="str">
        <f t="shared" ca="1" si="13"/>
        <v>N1</v>
      </c>
      <c r="Q24" s="7" t="str">
        <f t="shared" ca="1" si="14"/>
        <v>N2</v>
      </c>
      <c r="R24" s="7" t="str">
        <f t="shared" ca="1" si="15"/>
        <v>O1</v>
      </c>
      <c r="S24" s="7" t="str">
        <f t="shared" ca="1" si="16"/>
        <v>O2</v>
      </c>
      <c r="T24" s="7" t="str">
        <f t="shared" ca="1" si="17"/>
        <v>O3</v>
      </c>
      <c r="U24" s="7" t="str">
        <f t="shared" ca="1" si="18"/>
        <v>M1</v>
      </c>
      <c r="V24" s="7" t="str">
        <f t="shared" ca="1" si="19"/>
        <v>M2</v>
      </c>
      <c r="W24" s="7" t="str">
        <f t="shared" ca="1" si="20"/>
        <v>A1</v>
      </c>
      <c r="X24" s="7" t="str">
        <f t="shared" ca="1" si="21"/>
        <v>N1</v>
      </c>
      <c r="Y24" s="7" t="str">
        <f t="shared" ca="1" si="22"/>
        <v>N2</v>
      </c>
      <c r="Z24" s="7" t="str">
        <f t="shared" ca="1" si="23"/>
        <v>O1</v>
      </c>
      <c r="AA24" s="7" t="str">
        <f t="shared" ca="1" si="24"/>
        <v>O2</v>
      </c>
      <c r="AB24" s="7" t="str">
        <f t="shared" ca="1" si="25"/>
        <v>O3</v>
      </c>
      <c r="AC24" s="7" t="str">
        <f t="shared" ca="1" si="26"/>
        <v>M1</v>
      </c>
      <c r="AD24" s="7" t="str">
        <f t="shared" ca="1" si="27"/>
        <v>M2</v>
      </c>
      <c r="AE24" s="7" t="str">
        <f t="shared" ca="1" si="28"/>
        <v>A1</v>
      </c>
      <c r="AF24" s="7" t="str">
        <f t="shared" ca="1" si="29"/>
        <v>N1</v>
      </c>
      <c r="AG24" s="7" t="str">
        <f t="shared" ca="1" si="30"/>
        <v>N2</v>
      </c>
      <c r="AH24" s="7" t="str">
        <f t="shared" ca="1" si="31"/>
        <v>O1</v>
      </c>
      <c r="AI24" s="7" t="str">
        <f t="shared" si="32"/>
        <v/>
      </c>
      <c r="AK24" s="13">
        <f t="shared" ca="1" si="33"/>
        <v>8</v>
      </c>
      <c r="AL24" s="13">
        <f t="shared" ca="1" si="34"/>
        <v>4</v>
      </c>
      <c r="AM24" s="13">
        <f t="shared" ca="1" si="35"/>
        <v>8</v>
      </c>
      <c r="AN24" s="13">
        <f t="shared" ca="1" si="36"/>
        <v>10</v>
      </c>
    </row>
    <row r="25" spans="2:40" x14ac:dyDescent="0.25">
      <c r="B25" s="3" t="s">
        <v>57</v>
      </c>
      <c r="C25" s="3" t="s">
        <v>24</v>
      </c>
      <c r="E25" s="7" t="str">
        <f t="shared" si="2"/>
        <v>M2</v>
      </c>
      <c r="F25" s="7" t="str">
        <f t="shared" ca="1" si="3"/>
        <v>A1</v>
      </c>
      <c r="G25" s="7" t="str">
        <f t="shared" ca="1" si="4"/>
        <v>N1</v>
      </c>
      <c r="H25" s="7" t="str">
        <f t="shared" ca="1" si="5"/>
        <v>N2</v>
      </c>
      <c r="I25" s="7" t="str">
        <f t="shared" ca="1" si="6"/>
        <v>O1</v>
      </c>
      <c r="J25" s="7" t="str">
        <f t="shared" ca="1" si="7"/>
        <v>O2</v>
      </c>
      <c r="K25" s="7" t="str">
        <f t="shared" ca="1" si="8"/>
        <v>O3</v>
      </c>
      <c r="L25" s="7" t="str">
        <f t="shared" ca="1" si="9"/>
        <v>M1</v>
      </c>
      <c r="M25" s="7" t="str">
        <f t="shared" ca="1" si="10"/>
        <v>M2</v>
      </c>
      <c r="N25" s="7" t="str">
        <f t="shared" ca="1" si="11"/>
        <v>A1</v>
      </c>
      <c r="O25" s="7" t="str">
        <f t="shared" ca="1" si="12"/>
        <v>N1</v>
      </c>
      <c r="P25" s="7" t="str">
        <f t="shared" ca="1" si="13"/>
        <v>N2</v>
      </c>
      <c r="Q25" s="7" t="str">
        <f t="shared" ca="1" si="14"/>
        <v>O1</v>
      </c>
      <c r="R25" s="7" t="str">
        <f t="shared" ca="1" si="15"/>
        <v>O2</v>
      </c>
      <c r="S25" s="7" t="str">
        <f t="shared" ca="1" si="16"/>
        <v>O3</v>
      </c>
      <c r="T25" s="7" t="str">
        <f t="shared" ca="1" si="17"/>
        <v>M1</v>
      </c>
      <c r="U25" s="7" t="str">
        <f t="shared" ca="1" si="18"/>
        <v>M2</v>
      </c>
      <c r="V25" s="7" t="str">
        <f t="shared" ca="1" si="19"/>
        <v>A1</v>
      </c>
      <c r="W25" s="7" t="str">
        <f t="shared" ca="1" si="20"/>
        <v>N1</v>
      </c>
      <c r="X25" s="7" t="str">
        <f t="shared" ca="1" si="21"/>
        <v>N2</v>
      </c>
      <c r="Y25" s="7" t="str">
        <f t="shared" ca="1" si="22"/>
        <v>O1</v>
      </c>
      <c r="Z25" s="7" t="str">
        <f t="shared" ca="1" si="23"/>
        <v>O2</v>
      </c>
      <c r="AA25" s="7" t="str">
        <f t="shared" ca="1" si="24"/>
        <v>O3</v>
      </c>
      <c r="AB25" s="7" t="str">
        <f t="shared" ca="1" si="25"/>
        <v>M1</v>
      </c>
      <c r="AC25" s="7" t="str">
        <f t="shared" ca="1" si="26"/>
        <v>M2</v>
      </c>
      <c r="AD25" s="7" t="str">
        <f t="shared" ca="1" si="27"/>
        <v>A1</v>
      </c>
      <c r="AE25" s="7" t="str">
        <f t="shared" ca="1" si="28"/>
        <v>N1</v>
      </c>
      <c r="AF25" s="7" t="str">
        <f t="shared" ca="1" si="29"/>
        <v>N2</v>
      </c>
      <c r="AG25" s="7" t="str">
        <f t="shared" ca="1" si="30"/>
        <v>O1</v>
      </c>
      <c r="AH25" s="7" t="str">
        <f t="shared" ca="1" si="31"/>
        <v>O2</v>
      </c>
      <c r="AI25" s="7" t="str">
        <f t="shared" si="32"/>
        <v/>
      </c>
      <c r="AK25" s="13">
        <f t="shared" ca="1" si="33"/>
        <v>7</v>
      </c>
      <c r="AL25" s="13">
        <f t="shared" ca="1" si="34"/>
        <v>4</v>
      </c>
      <c r="AM25" s="13">
        <f t="shared" ca="1" si="35"/>
        <v>8</v>
      </c>
      <c r="AN25" s="13">
        <f t="shared" ca="1" si="36"/>
        <v>11</v>
      </c>
    </row>
    <row r="26" spans="2:40" x14ac:dyDescent="0.25">
      <c r="B26" s="3" t="s">
        <v>58</v>
      </c>
      <c r="C26" s="3" t="s">
        <v>25</v>
      </c>
      <c r="E26" s="7" t="str">
        <f t="shared" si="2"/>
        <v>A1</v>
      </c>
      <c r="F26" s="7" t="str">
        <f t="shared" ca="1" si="3"/>
        <v>N1</v>
      </c>
      <c r="G26" s="7" t="str">
        <f t="shared" ca="1" si="4"/>
        <v>N2</v>
      </c>
      <c r="H26" s="7" t="str">
        <f t="shared" ca="1" si="5"/>
        <v>O1</v>
      </c>
      <c r="I26" s="7" t="str">
        <f t="shared" ca="1" si="6"/>
        <v>O2</v>
      </c>
      <c r="J26" s="7" t="str">
        <f t="shared" ca="1" si="7"/>
        <v>O3</v>
      </c>
      <c r="K26" s="7" t="str">
        <f t="shared" ca="1" si="8"/>
        <v>M1</v>
      </c>
      <c r="L26" s="7" t="str">
        <f t="shared" ca="1" si="9"/>
        <v>M2</v>
      </c>
      <c r="M26" s="7" t="str">
        <f t="shared" ca="1" si="10"/>
        <v>A1</v>
      </c>
      <c r="N26" s="7" t="str">
        <f t="shared" ca="1" si="11"/>
        <v>N1</v>
      </c>
      <c r="O26" s="7" t="str">
        <f t="shared" ca="1" si="12"/>
        <v>N2</v>
      </c>
      <c r="P26" s="7" t="str">
        <f t="shared" ca="1" si="13"/>
        <v>O1</v>
      </c>
      <c r="Q26" s="7" t="str">
        <f t="shared" ca="1" si="14"/>
        <v>O2</v>
      </c>
      <c r="R26" s="7" t="str">
        <f t="shared" ca="1" si="15"/>
        <v>O3</v>
      </c>
      <c r="S26" s="7" t="str">
        <f t="shared" ca="1" si="16"/>
        <v>M1</v>
      </c>
      <c r="T26" s="7" t="str">
        <f t="shared" ca="1" si="17"/>
        <v>M2</v>
      </c>
      <c r="U26" s="7" t="str">
        <f t="shared" ca="1" si="18"/>
        <v>A1</v>
      </c>
      <c r="V26" s="7" t="str">
        <f t="shared" ca="1" si="19"/>
        <v>N1</v>
      </c>
      <c r="W26" s="7" t="str">
        <f t="shared" ca="1" si="20"/>
        <v>N2</v>
      </c>
      <c r="X26" s="7" t="str">
        <f t="shared" ca="1" si="21"/>
        <v>O1</v>
      </c>
      <c r="Y26" s="7" t="str">
        <f t="shared" ca="1" si="22"/>
        <v>O2</v>
      </c>
      <c r="Z26" s="7" t="str">
        <f t="shared" ca="1" si="23"/>
        <v>O3</v>
      </c>
      <c r="AA26" s="7" t="str">
        <f t="shared" ca="1" si="24"/>
        <v>M1</v>
      </c>
      <c r="AB26" s="7" t="str">
        <f t="shared" ca="1" si="25"/>
        <v>M2</v>
      </c>
      <c r="AC26" s="7" t="str">
        <f t="shared" ca="1" si="26"/>
        <v>A1</v>
      </c>
      <c r="AD26" s="7" t="str">
        <f t="shared" ca="1" si="27"/>
        <v>N1</v>
      </c>
      <c r="AE26" s="7" t="str">
        <f t="shared" ca="1" si="28"/>
        <v>N2</v>
      </c>
      <c r="AF26" s="7" t="str">
        <f t="shared" ca="1" si="29"/>
        <v>O1</v>
      </c>
      <c r="AG26" s="7" t="str">
        <f t="shared" ca="1" si="30"/>
        <v>O2</v>
      </c>
      <c r="AH26" s="7" t="str">
        <f t="shared" ca="1" si="31"/>
        <v>O3</v>
      </c>
      <c r="AI26" s="7" t="str">
        <f t="shared" si="32"/>
        <v/>
      </c>
      <c r="AK26" s="13">
        <f t="shared" ca="1" si="33"/>
        <v>6</v>
      </c>
      <c r="AL26" s="13">
        <f t="shared" ca="1" si="34"/>
        <v>4</v>
      </c>
      <c r="AM26" s="13">
        <f t="shared" ca="1" si="35"/>
        <v>8</v>
      </c>
      <c r="AN26" s="13">
        <f t="shared" ca="1" si="36"/>
        <v>12</v>
      </c>
    </row>
    <row r="27" spans="2:40" x14ac:dyDescent="0.25">
      <c r="B27" s="3" t="s">
        <v>59</v>
      </c>
      <c r="C27" s="3" t="s">
        <v>26</v>
      </c>
      <c r="E27" s="7" t="str">
        <f t="shared" si="2"/>
        <v>N1</v>
      </c>
      <c r="F27" s="7" t="str">
        <f t="shared" ca="1" si="3"/>
        <v>N2</v>
      </c>
      <c r="G27" s="7" t="str">
        <f t="shared" ca="1" si="4"/>
        <v>O1</v>
      </c>
      <c r="H27" s="7" t="str">
        <f t="shared" ca="1" si="5"/>
        <v>O2</v>
      </c>
      <c r="I27" s="7" t="str">
        <f t="shared" ca="1" si="6"/>
        <v>O3</v>
      </c>
      <c r="J27" s="7" t="str">
        <f t="shared" ca="1" si="7"/>
        <v>M1</v>
      </c>
      <c r="K27" s="7" t="str">
        <f t="shared" ca="1" si="8"/>
        <v>M2</v>
      </c>
      <c r="L27" s="7" t="str">
        <f t="shared" ca="1" si="9"/>
        <v>A1</v>
      </c>
      <c r="M27" s="7" t="str">
        <f t="shared" ca="1" si="10"/>
        <v>N1</v>
      </c>
      <c r="N27" s="7" t="str">
        <f t="shared" ca="1" si="11"/>
        <v>N2</v>
      </c>
      <c r="O27" s="7" t="str">
        <f t="shared" ca="1" si="12"/>
        <v>O1</v>
      </c>
      <c r="P27" s="7" t="str">
        <f t="shared" ca="1" si="13"/>
        <v>O2</v>
      </c>
      <c r="Q27" s="7" t="str">
        <f t="shared" ca="1" si="14"/>
        <v>O3</v>
      </c>
      <c r="R27" s="7" t="str">
        <f t="shared" ca="1" si="15"/>
        <v>M1</v>
      </c>
      <c r="S27" s="7" t="str">
        <f t="shared" ca="1" si="16"/>
        <v>M2</v>
      </c>
      <c r="T27" s="7" t="str">
        <f t="shared" ca="1" si="17"/>
        <v>A1</v>
      </c>
      <c r="U27" s="7" t="str">
        <f t="shared" ca="1" si="18"/>
        <v>N1</v>
      </c>
      <c r="V27" s="7" t="str">
        <f t="shared" ca="1" si="19"/>
        <v>N2</v>
      </c>
      <c r="W27" s="7" t="str">
        <f t="shared" ca="1" si="20"/>
        <v>O1</v>
      </c>
      <c r="X27" s="7" t="str">
        <f t="shared" ca="1" si="21"/>
        <v>O2</v>
      </c>
      <c r="Y27" s="7" t="str">
        <f t="shared" ca="1" si="22"/>
        <v>O3</v>
      </c>
      <c r="Z27" s="7" t="str">
        <f t="shared" ca="1" si="23"/>
        <v>M1</v>
      </c>
      <c r="AA27" s="7" t="str">
        <f t="shared" ca="1" si="24"/>
        <v>M2</v>
      </c>
      <c r="AB27" s="7" t="str">
        <f t="shared" ca="1" si="25"/>
        <v>A1</v>
      </c>
      <c r="AC27" s="7" t="str">
        <f t="shared" ca="1" si="26"/>
        <v>N1</v>
      </c>
      <c r="AD27" s="7" t="str">
        <f t="shared" ca="1" si="27"/>
        <v>N2</v>
      </c>
      <c r="AE27" s="7" t="str">
        <f t="shared" ca="1" si="28"/>
        <v>O1</v>
      </c>
      <c r="AF27" s="7" t="str">
        <f t="shared" ca="1" si="29"/>
        <v>O2</v>
      </c>
      <c r="AG27" s="7" t="str">
        <f t="shared" ca="1" si="30"/>
        <v>O3</v>
      </c>
      <c r="AH27" s="7" t="str">
        <f t="shared" ca="1" si="31"/>
        <v>M1</v>
      </c>
      <c r="AI27" s="7" t="str">
        <f t="shared" si="32"/>
        <v/>
      </c>
      <c r="AK27" s="13">
        <f t="shared" ca="1" si="33"/>
        <v>7</v>
      </c>
      <c r="AL27" s="13">
        <f t="shared" ca="1" si="34"/>
        <v>3</v>
      </c>
      <c r="AM27" s="13">
        <f t="shared" ca="1" si="35"/>
        <v>8</v>
      </c>
      <c r="AN27" s="13">
        <f t="shared" ca="1" si="36"/>
        <v>12</v>
      </c>
    </row>
    <row r="28" spans="2:40" x14ac:dyDescent="0.25">
      <c r="B28" s="3" t="s">
        <v>60</v>
      </c>
      <c r="C28" s="3" t="s">
        <v>27</v>
      </c>
      <c r="E28" s="7" t="str">
        <f t="shared" si="2"/>
        <v>N2</v>
      </c>
      <c r="F28" s="7" t="str">
        <f t="shared" ca="1" si="3"/>
        <v>O1</v>
      </c>
      <c r="G28" s="7" t="str">
        <f t="shared" ca="1" si="4"/>
        <v>O2</v>
      </c>
      <c r="H28" s="7" t="str">
        <f t="shared" ca="1" si="5"/>
        <v>O3</v>
      </c>
      <c r="I28" s="7" t="str">
        <f t="shared" ca="1" si="6"/>
        <v>M1</v>
      </c>
      <c r="J28" s="7" t="str">
        <f t="shared" ca="1" si="7"/>
        <v>M2</v>
      </c>
      <c r="K28" s="7" t="str">
        <f t="shared" ca="1" si="8"/>
        <v>A1</v>
      </c>
      <c r="L28" s="7" t="str">
        <f t="shared" ca="1" si="9"/>
        <v>N1</v>
      </c>
      <c r="M28" s="7" t="str">
        <f t="shared" ca="1" si="10"/>
        <v>N2</v>
      </c>
      <c r="N28" s="7" t="str">
        <f t="shared" ca="1" si="11"/>
        <v>O1</v>
      </c>
      <c r="O28" s="7" t="str">
        <f t="shared" ca="1" si="12"/>
        <v>O2</v>
      </c>
      <c r="P28" s="7" t="str">
        <f t="shared" ca="1" si="13"/>
        <v>O3</v>
      </c>
      <c r="Q28" s="7" t="str">
        <f t="shared" ca="1" si="14"/>
        <v>M1</v>
      </c>
      <c r="R28" s="7" t="str">
        <f t="shared" ca="1" si="15"/>
        <v>M2</v>
      </c>
      <c r="S28" s="7" t="str">
        <f t="shared" ca="1" si="16"/>
        <v>A1</v>
      </c>
      <c r="T28" s="7" t="str">
        <f t="shared" ca="1" si="17"/>
        <v>N1</v>
      </c>
      <c r="U28" s="7" t="str">
        <f t="shared" ca="1" si="18"/>
        <v>N2</v>
      </c>
      <c r="V28" s="7" t="str">
        <f t="shared" ca="1" si="19"/>
        <v>O1</v>
      </c>
      <c r="W28" s="7" t="str">
        <f t="shared" ca="1" si="20"/>
        <v>O2</v>
      </c>
      <c r="X28" s="7" t="str">
        <f t="shared" ca="1" si="21"/>
        <v>O3</v>
      </c>
      <c r="Y28" s="7" t="str">
        <f t="shared" ca="1" si="22"/>
        <v>M1</v>
      </c>
      <c r="Z28" s="7" t="str">
        <f t="shared" ca="1" si="23"/>
        <v>M2</v>
      </c>
      <c r="AA28" s="7" t="str">
        <f t="shared" ca="1" si="24"/>
        <v>A1</v>
      </c>
      <c r="AB28" s="7" t="str">
        <f t="shared" ca="1" si="25"/>
        <v>N1</v>
      </c>
      <c r="AC28" s="7" t="str">
        <f t="shared" ca="1" si="26"/>
        <v>N2</v>
      </c>
      <c r="AD28" s="7" t="str">
        <f t="shared" ca="1" si="27"/>
        <v>O1</v>
      </c>
      <c r="AE28" s="7" t="str">
        <f t="shared" ca="1" si="28"/>
        <v>O2</v>
      </c>
      <c r="AF28" s="7" t="str">
        <f t="shared" ca="1" si="29"/>
        <v>O3</v>
      </c>
      <c r="AG28" s="7" t="str">
        <f t="shared" ca="1" si="30"/>
        <v>M1</v>
      </c>
      <c r="AH28" s="7" t="str">
        <f t="shared" ca="1" si="31"/>
        <v>M2</v>
      </c>
      <c r="AI28" s="7" t="str">
        <f t="shared" si="32"/>
        <v/>
      </c>
      <c r="AK28" s="13">
        <f t="shared" ca="1" si="33"/>
        <v>8</v>
      </c>
      <c r="AL28" s="13">
        <f t="shared" ca="1" si="34"/>
        <v>3</v>
      </c>
      <c r="AM28" s="13">
        <f t="shared" ca="1" si="35"/>
        <v>7</v>
      </c>
      <c r="AN28" s="13">
        <f t="shared" ca="1" si="36"/>
        <v>12</v>
      </c>
    </row>
    <row r="29" spans="2:40" x14ac:dyDescent="0.25">
      <c r="B29" s="3" t="s">
        <v>61</v>
      </c>
      <c r="C29" s="3" t="s">
        <v>28</v>
      </c>
      <c r="E29" s="7" t="str">
        <f t="shared" si="2"/>
        <v>O1</v>
      </c>
      <c r="F29" s="7" t="str">
        <f t="shared" ca="1" si="3"/>
        <v>O2</v>
      </c>
      <c r="G29" s="7" t="str">
        <f t="shared" ca="1" si="4"/>
        <v>O3</v>
      </c>
      <c r="H29" s="7" t="str">
        <f t="shared" ca="1" si="5"/>
        <v>M1</v>
      </c>
      <c r="I29" s="7" t="str">
        <f t="shared" ca="1" si="6"/>
        <v>M2</v>
      </c>
      <c r="J29" s="7" t="str">
        <f t="shared" ca="1" si="7"/>
        <v>A1</v>
      </c>
      <c r="K29" s="7" t="str">
        <f t="shared" ca="1" si="8"/>
        <v>N1</v>
      </c>
      <c r="L29" s="7" t="str">
        <f t="shared" ca="1" si="9"/>
        <v>N2</v>
      </c>
      <c r="M29" s="7" t="str">
        <f t="shared" ca="1" si="10"/>
        <v>O1</v>
      </c>
      <c r="N29" s="7" t="str">
        <f t="shared" ca="1" si="11"/>
        <v>O2</v>
      </c>
      <c r="O29" s="7" t="str">
        <f t="shared" ca="1" si="12"/>
        <v>O3</v>
      </c>
      <c r="P29" s="7" t="str">
        <f t="shared" ca="1" si="13"/>
        <v>M1</v>
      </c>
      <c r="Q29" s="7" t="str">
        <f t="shared" ca="1" si="14"/>
        <v>M2</v>
      </c>
      <c r="R29" s="7" t="str">
        <f t="shared" ca="1" si="15"/>
        <v>A1</v>
      </c>
      <c r="S29" s="7" t="str">
        <f t="shared" ca="1" si="16"/>
        <v>N1</v>
      </c>
      <c r="T29" s="7" t="str">
        <f t="shared" ca="1" si="17"/>
        <v>N2</v>
      </c>
      <c r="U29" s="7" t="str">
        <f t="shared" ca="1" si="18"/>
        <v>O1</v>
      </c>
      <c r="V29" s="7" t="str">
        <f t="shared" ca="1" si="19"/>
        <v>O2</v>
      </c>
      <c r="W29" s="7" t="str">
        <f t="shared" ca="1" si="20"/>
        <v>O3</v>
      </c>
      <c r="X29" s="7" t="str">
        <f t="shared" ca="1" si="21"/>
        <v>M1</v>
      </c>
      <c r="Y29" s="7" t="str">
        <f t="shared" ca="1" si="22"/>
        <v>M2</v>
      </c>
      <c r="Z29" s="7" t="str">
        <f t="shared" ca="1" si="23"/>
        <v>A1</v>
      </c>
      <c r="AA29" s="7" t="str">
        <f t="shared" ca="1" si="24"/>
        <v>N1</v>
      </c>
      <c r="AB29" s="7" t="str">
        <f t="shared" ca="1" si="25"/>
        <v>N2</v>
      </c>
      <c r="AC29" s="7" t="str">
        <f t="shared" ca="1" si="26"/>
        <v>O1</v>
      </c>
      <c r="AD29" s="7" t="str">
        <f t="shared" ca="1" si="27"/>
        <v>O2</v>
      </c>
      <c r="AE29" s="7" t="str">
        <f t="shared" ca="1" si="28"/>
        <v>O3</v>
      </c>
      <c r="AF29" s="7" t="str">
        <f t="shared" ca="1" si="29"/>
        <v>M1</v>
      </c>
      <c r="AG29" s="7" t="str">
        <f t="shared" ca="1" si="30"/>
        <v>M2</v>
      </c>
      <c r="AH29" s="7" t="str">
        <f t="shared" ca="1" si="31"/>
        <v>A1</v>
      </c>
      <c r="AI29" s="7" t="str">
        <f t="shared" si="32"/>
        <v/>
      </c>
      <c r="AK29" s="13">
        <f t="shared" ca="1" si="33"/>
        <v>8</v>
      </c>
      <c r="AL29" s="13">
        <f t="shared" ca="1" si="34"/>
        <v>4</v>
      </c>
      <c r="AM29" s="13">
        <f t="shared" ca="1" si="35"/>
        <v>6</v>
      </c>
      <c r="AN29" s="13">
        <f t="shared" ca="1" si="36"/>
        <v>12</v>
      </c>
    </row>
    <row r="30" spans="2:40" x14ac:dyDescent="0.25">
      <c r="B30" s="3" t="s">
        <v>62</v>
      </c>
      <c r="C30" s="3" t="s">
        <v>29</v>
      </c>
      <c r="E30" s="7" t="str">
        <f t="shared" si="2"/>
        <v>O2</v>
      </c>
      <c r="F30" s="7" t="str">
        <f t="shared" ca="1" si="3"/>
        <v>O3</v>
      </c>
      <c r="G30" s="7" t="str">
        <f t="shared" ca="1" si="4"/>
        <v>M1</v>
      </c>
      <c r="H30" s="7" t="str">
        <f t="shared" ca="1" si="5"/>
        <v>M2</v>
      </c>
      <c r="I30" s="7" t="str">
        <f t="shared" ca="1" si="6"/>
        <v>A1</v>
      </c>
      <c r="J30" s="7" t="str">
        <f t="shared" ca="1" si="7"/>
        <v>N1</v>
      </c>
      <c r="K30" s="7" t="str">
        <f t="shared" ca="1" si="8"/>
        <v>N2</v>
      </c>
      <c r="L30" s="7" t="str">
        <f t="shared" ca="1" si="9"/>
        <v>O1</v>
      </c>
      <c r="M30" s="7" t="str">
        <f t="shared" ca="1" si="10"/>
        <v>O2</v>
      </c>
      <c r="N30" s="7" t="str">
        <f t="shared" ca="1" si="11"/>
        <v>O3</v>
      </c>
      <c r="O30" s="7" t="str">
        <f t="shared" ca="1" si="12"/>
        <v>M1</v>
      </c>
      <c r="P30" s="7" t="str">
        <f t="shared" ca="1" si="13"/>
        <v>M2</v>
      </c>
      <c r="Q30" s="7" t="str">
        <f t="shared" ca="1" si="14"/>
        <v>A1</v>
      </c>
      <c r="R30" s="7" t="str">
        <f t="shared" ca="1" si="15"/>
        <v>N1</v>
      </c>
      <c r="S30" s="7" t="str">
        <f t="shared" ca="1" si="16"/>
        <v>N2</v>
      </c>
      <c r="T30" s="7" t="str">
        <f t="shared" ca="1" si="17"/>
        <v>O1</v>
      </c>
      <c r="U30" s="7" t="str">
        <f t="shared" ca="1" si="18"/>
        <v>O2</v>
      </c>
      <c r="V30" s="7" t="str">
        <f t="shared" ca="1" si="19"/>
        <v>O3</v>
      </c>
      <c r="W30" s="7" t="str">
        <f t="shared" ca="1" si="20"/>
        <v>M1</v>
      </c>
      <c r="X30" s="7" t="str">
        <f t="shared" ca="1" si="21"/>
        <v>M2</v>
      </c>
      <c r="Y30" s="7" t="str">
        <f t="shared" ca="1" si="22"/>
        <v>A1</v>
      </c>
      <c r="Z30" s="7" t="str">
        <f t="shared" ca="1" si="23"/>
        <v>N1</v>
      </c>
      <c r="AA30" s="7" t="str">
        <f t="shared" ca="1" si="24"/>
        <v>N2</v>
      </c>
      <c r="AB30" s="7" t="str">
        <f t="shared" ca="1" si="25"/>
        <v>O1</v>
      </c>
      <c r="AC30" s="7" t="str">
        <f t="shared" ca="1" si="26"/>
        <v>O2</v>
      </c>
      <c r="AD30" s="7" t="str">
        <f t="shared" ca="1" si="27"/>
        <v>O3</v>
      </c>
      <c r="AE30" s="7" t="str">
        <f t="shared" ca="1" si="28"/>
        <v>M1</v>
      </c>
      <c r="AF30" s="7" t="str">
        <f t="shared" ca="1" si="29"/>
        <v>M2</v>
      </c>
      <c r="AG30" s="7" t="str">
        <f t="shared" ca="1" si="30"/>
        <v>A1</v>
      </c>
      <c r="AH30" s="7" t="str">
        <f t="shared" ca="1" si="31"/>
        <v>N1</v>
      </c>
      <c r="AI30" s="7" t="str">
        <f t="shared" si="32"/>
        <v/>
      </c>
      <c r="AK30" s="13">
        <f t="shared" ca="1" si="33"/>
        <v>8</v>
      </c>
      <c r="AL30" s="13">
        <f t="shared" ca="1" si="34"/>
        <v>4</v>
      </c>
      <c r="AM30" s="13">
        <f t="shared" ca="1" si="35"/>
        <v>7</v>
      </c>
      <c r="AN30" s="13">
        <f t="shared" ca="1" si="36"/>
        <v>11</v>
      </c>
    </row>
    <row r="31" spans="2:40" x14ac:dyDescent="0.25">
      <c r="B31" s="3" t="s">
        <v>63</v>
      </c>
      <c r="C31" s="3" t="s">
        <v>30</v>
      </c>
      <c r="E31" s="7" t="str">
        <f t="shared" si="2"/>
        <v>O3</v>
      </c>
      <c r="F31" s="7" t="str">
        <f t="shared" ca="1" si="3"/>
        <v>M1</v>
      </c>
      <c r="G31" s="7" t="str">
        <f t="shared" ca="1" si="4"/>
        <v>M2</v>
      </c>
      <c r="H31" s="7" t="str">
        <f t="shared" ca="1" si="5"/>
        <v>A1</v>
      </c>
      <c r="I31" s="7" t="str">
        <f t="shared" ca="1" si="6"/>
        <v>N1</v>
      </c>
      <c r="J31" s="7" t="str">
        <f t="shared" ca="1" si="7"/>
        <v>N2</v>
      </c>
      <c r="K31" s="7" t="str">
        <f t="shared" ca="1" si="8"/>
        <v>O1</v>
      </c>
      <c r="L31" s="7" t="str">
        <f t="shared" ca="1" si="9"/>
        <v>O2</v>
      </c>
      <c r="M31" s="7" t="str">
        <f t="shared" ca="1" si="10"/>
        <v>O3</v>
      </c>
      <c r="N31" s="7" t="str">
        <f t="shared" ca="1" si="11"/>
        <v>M1</v>
      </c>
      <c r="O31" s="7" t="str">
        <f t="shared" ca="1" si="12"/>
        <v>M2</v>
      </c>
      <c r="P31" s="7" t="str">
        <f t="shared" ca="1" si="13"/>
        <v>A1</v>
      </c>
      <c r="Q31" s="7" t="str">
        <f t="shared" ca="1" si="14"/>
        <v>N1</v>
      </c>
      <c r="R31" s="7" t="str">
        <f t="shared" ca="1" si="15"/>
        <v>N2</v>
      </c>
      <c r="S31" s="7" t="str">
        <f t="shared" ca="1" si="16"/>
        <v>O1</v>
      </c>
      <c r="T31" s="7" t="str">
        <f t="shared" ca="1" si="17"/>
        <v>O2</v>
      </c>
      <c r="U31" s="7" t="str">
        <f t="shared" ca="1" si="18"/>
        <v>O3</v>
      </c>
      <c r="V31" s="7" t="str">
        <f t="shared" ca="1" si="19"/>
        <v>M1</v>
      </c>
      <c r="W31" s="7" t="str">
        <f t="shared" ca="1" si="20"/>
        <v>M2</v>
      </c>
      <c r="X31" s="7" t="str">
        <f t="shared" ca="1" si="21"/>
        <v>A1</v>
      </c>
      <c r="Y31" s="7" t="str">
        <f t="shared" ca="1" si="22"/>
        <v>N1</v>
      </c>
      <c r="Z31" s="7" t="str">
        <f t="shared" ca="1" si="23"/>
        <v>N2</v>
      </c>
      <c r="AA31" s="7" t="str">
        <f t="shared" ca="1" si="24"/>
        <v>O1</v>
      </c>
      <c r="AB31" s="7" t="str">
        <f t="shared" ca="1" si="25"/>
        <v>O2</v>
      </c>
      <c r="AC31" s="7" t="str">
        <f t="shared" ca="1" si="26"/>
        <v>O3</v>
      </c>
      <c r="AD31" s="7" t="str">
        <f t="shared" ca="1" si="27"/>
        <v>M1</v>
      </c>
      <c r="AE31" s="7" t="str">
        <f t="shared" ca="1" si="28"/>
        <v>M2</v>
      </c>
      <c r="AF31" s="7" t="str">
        <f t="shared" ca="1" si="29"/>
        <v>A1</v>
      </c>
      <c r="AG31" s="7" t="str">
        <f t="shared" ca="1" si="30"/>
        <v>N1</v>
      </c>
      <c r="AH31" s="7" t="str">
        <f t="shared" ca="1" si="31"/>
        <v>N2</v>
      </c>
      <c r="AI31" s="7" t="str">
        <f t="shared" si="32"/>
        <v/>
      </c>
      <c r="AK31" s="13">
        <f t="shared" ca="1" si="33"/>
        <v>8</v>
      </c>
      <c r="AL31" s="13">
        <f t="shared" ca="1" si="34"/>
        <v>4</v>
      </c>
      <c r="AM31" s="13">
        <f t="shared" ca="1" si="35"/>
        <v>8</v>
      </c>
      <c r="AN31" s="13">
        <f t="shared" ca="1" si="36"/>
        <v>10</v>
      </c>
    </row>
    <row r="32" spans="2:40" x14ac:dyDescent="0.25">
      <c r="B32" s="3" t="s">
        <v>64</v>
      </c>
      <c r="C32" s="3" t="s">
        <v>23</v>
      </c>
      <c r="E32" s="7" t="str">
        <f t="shared" si="2"/>
        <v>M1</v>
      </c>
      <c r="F32" s="7" t="str">
        <f t="shared" ca="1" si="3"/>
        <v>M2</v>
      </c>
      <c r="G32" s="7" t="str">
        <f t="shared" ca="1" si="4"/>
        <v>A1</v>
      </c>
      <c r="H32" s="7" t="str">
        <f t="shared" ca="1" si="5"/>
        <v>N1</v>
      </c>
      <c r="I32" s="7" t="str">
        <f t="shared" ca="1" si="6"/>
        <v>N2</v>
      </c>
      <c r="J32" s="7" t="str">
        <f t="shared" ca="1" si="7"/>
        <v>O1</v>
      </c>
      <c r="K32" s="7" t="str">
        <f t="shared" ca="1" si="8"/>
        <v>O2</v>
      </c>
      <c r="L32" s="7" t="str">
        <f t="shared" ca="1" si="9"/>
        <v>O3</v>
      </c>
      <c r="M32" s="7" t="str">
        <f t="shared" ca="1" si="10"/>
        <v>M1</v>
      </c>
      <c r="N32" s="7" t="str">
        <f t="shared" ca="1" si="11"/>
        <v>M2</v>
      </c>
      <c r="O32" s="7" t="str">
        <f t="shared" ca="1" si="12"/>
        <v>A1</v>
      </c>
      <c r="P32" s="7" t="str">
        <f t="shared" ca="1" si="13"/>
        <v>N1</v>
      </c>
      <c r="Q32" s="7" t="str">
        <f t="shared" ca="1" si="14"/>
        <v>N2</v>
      </c>
      <c r="R32" s="7" t="str">
        <f t="shared" ca="1" si="15"/>
        <v>O1</v>
      </c>
      <c r="S32" s="7" t="str">
        <f t="shared" ca="1" si="16"/>
        <v>O2</v>
      </c>
      <c r="T32" s="7" t="str">
        <f t="shared" ca="1" si="17"/>
        <v>O3</v>
      </c>
      <c r="U32" s="7" t="str">
        <f t="shared" ca="1" si="18"/>
        <v>M1</v>
      </c>
      <c r="V32" s="7" t="str">
        <f t="shared" ca="1" si="19"/>
        <v>M2</v>
      </c>
      <c r="W32" s="7" t="str">
        <f t="shared" ca="1" si="20"/>
        <v>A1</v>
      </c>
      <c r="X32" s="7" t="str">
        <f t="shared" ca="1" si="21"/>
        <v>N1</v>
      </c>
      <c r="Y32" s="7" t="str">
        <f t="shared" ca="1" si="22"/>
        <v>N2</v>
      </c>
      <c r="Z32" s="7" t="str">
        <f t="shared" ca="1" si="23"/>
        <v>O1</v>
      </c>
      <c r="AA32" s="7" t="str">
        <f t="shared" ca="1" si="24"/>
        <v>O2</v>
      </c>
      <c r="AB32" s="7" t="str">
        <f t="shared" ca="1" si="25"/>
        <v>O3</v>
      </c>
      <c r="AC32" s="7" t="str">
        <f t="shared" ca="1" si="26"/>
        <v>M1</v>
      </c>
      <c r="AD32" s="7" t="str">
        <f t="shared" ca="1" si="27"/>
        <v>M2</v>
      </c>
      <c r="AE32" s="7" t="str">
        <f t="shared" ca="1" si="28"/>
        <v>A1</v>
      </c>
      <c r="AF32" s="7" t="str">
        <f t="shared" ca="1" si="29"/>
        <v>N1</v>
      </c>
      <c r="AG32" s="7" t="str">
        <f t="shared" ca="1" si="30"/>
        <v>N2</v>
      </c>
      <c r="AH32" s="7" t="str">
        <f t="shared" ca="1" si="31"/>
        <v>O1</v>
      </c>
      <c r="AI32" s="7" t="str">
        <f t="shared" si="32"/>
        <v/>
      </c>
      <c r="AK32" s="13">
        <f t="shared" ca="1" si="33"/>
        <v>8</v>
      </c>
      <c r="AL32" s="13">
        <f t="shared" ca="1" si="34"/>
        <v>4</v>
      </c>
      <c r="AM32" s="13">
        <f t="shared" ca="1" si="35"/>
        <v>8</v>
      </c>
      <c r="AN32" s="13">
        <f t="shared" ca="1" si="36"/>
        <v>10</v>
      </c>
    </row>
    <row r="33" spans="2:40" x14ac:dyDescent="0.25">
      <c r="B33" s="3" t="s">
        <v>65</v>
      </c>
      <c r="C33" s="3" t="s">
        <v>24</v>
      </c>
      <c r="E33" s="7" t="str">
        <f t="shared" si="2"/>
        <v>M2</v>
      </c>
      <c r="F33" s="7" t="str">
        <f t="shared" ca="1" si="3"/>
        <v>A1</v>
      </c>
      <c r="G33" s="7" t="str">
        <f t="shared" ca="1" si="4"/>
        <v>N1</v>
      </c>
      <c r="H33" s="7" t="str">
        <f t="shared" ca="1" si="5"/>
        <v>N2</v>
      </c>
      <c r="I33" s="7" t="str">
        <f t="shared" ca="1" si="6"/>
        <v>O1</v>
      </c>
      <c r="J33" s="7" t="str">
        <f t="shared" ca="1" si="7"/>
        <v>O2</v>
      </c>
      <c r="K33" s="7" t="str">
        <f t="shared" ca="1" si="8"/>
        <v>O3</v>
      </c>
      <c r="L33" s="7" t="str">
        <f t="shared" ca="1" si="9"/>
        <v>M1</v>
      </c>
      <c r="M33" s="7" t="str">
        <f t="shared" ca="1" si="10"/>
        <v>M2</v>
      </c>
      <c r="N33" s="7" t="str">
        <f t="shared" ca="1" si="11"/>
        <v>A1</v>
      </c>
      <c r="O33" s="7" t="str">
        <f t="shared" ca="1" si="12"/>
        <v>N1</v>
      </c>
      <c r="P33" s="7" t="str">
        <f t="shared" ca="1" si="13"/>
        <v>N2</v>
      </c>
      <c r="Q33" s="7" t="str">
        <f t="shared" ca="1" si="14"/>
        <v>O1</v>
      </c>
      <c r="R33" s="7" t="str">
        <f t="shared" ca="1" si="15"/>
        <v>O2</v>
      </c>
      <c r="S33" s="7" t="str">
        <f t="shared" ca="1" si="16"/>
        <v>O3</v>
      </c>
      <c r="T33" s="7" t="str">
        <f t="shared" ca="1" si="17"/>
        <v>M1</v>
      </c>
      <c r="U33" s="7" t="str">
        <f t="shared" ca="1" si="18"/>
        <v>M2</v>
      </c>
      <c r="V33" s="7" t="str">
        <f t="shared" ca="1" si="19"/>
        <v>A1</v>
      </c>
      <c r="W33" s="7" t="str">
        <f t="shared" ca="1" si="20"/>
        <v>N1</v>
      </c>
      <c r="X33" s="7" t="str">
        <f t="shared" ca="1" si="21"/>
        <v>N2</v>
      </c>
      <c r="Y33" s="7" t="str">
        <f t="shared" ca="1" si="22"/>
        <v>O1</v>
      </c>
      <c r="Z33" s="7" t="str">
        <f t="shared" ca="1" si="23"/>
        <v>O2</v>
      </c>
      <c r="AA33" s="7" t="str">
        <f t="shared" ca="1" si="24"/>
        <v>O3</v>
      </c>
      <c r="AB33" s="7" t="str">
        <f t="shared" ca="1" si="25"/>
        <v>M1</v>
      </c>
      <c r="AC33" s="7" t="str">
        <f t="shared" ca="1" si="26"/>
        <v>M2</v>
      </c>
      <c r="AD33" s="7" t="str">
        <f t="shared" ca="1" si="27"/>
        <v>A1</v>
      </c>
      <c r="AE33" s="7" t="str">
        <f t="shared" ca="1" si="28"/>
        <v>N1</v>
      </c>
      <c r="AF33" s="7" t="str">
        <f t="shared" ca="1" si="29"/>
        <v>N2</v>
      </c>
      <c r="AG33" s="7" t="str">
        <f t="shared" ca="1" si="30"/>
        <v>O1</v>
      </c>
      <c r="AH33" s="7" t="str">
        <f t="shared" ca="1" si="31"/>
        <v>O2</v>
      </c>
      <c r="AI33" s="7" t="str">
        <f t="shared" si="32"/>
        <v/>
      </c>
      <c r="AK33" s="13">
        <f t="shared" ca="1" si="33"/>
        <v>7</v>
      </c>
      <c r="AL33" s="13">
        <f t="shared" ca="1" si="34"/>
        <v>4</v>
      </c>
      <c r="AM33" s="13">
        <f t="shared" ca="1" si="35"/>
        <v>8</v>
      </c>
      <c r="AN33" s="13">
        <f t="shared" ca="1" si="36"/>
        <v>11</v>
      </c>
    </row>
    <row r="34" spans="2:40" x14ac:dyDescent="0.25">
      <c r="B34" s="3" t="s">
        <v>66</v>
      </c>
      <c r="C34" s="3" t="s">
        <v>25</v>
      </c>
      <c r="E34" s="7" t="str">
        <f t="shared" si="2"/>
        <v>A1</v>
      </c>
      <c r="F34" s="7" t="str">
        <f t="shared" ca="1" si="3"/>
        <v>N1</v>
      </c>
      <c r="G34" s="7" t="str">
        <f t="shared" ca="1" si="4"/>
        <v>N2</v>
      </c>
      <c r="H34" s="7" t="str">
        <f t="shared" ca="1" si="5"/>
        <v>O1</v>
      </c>
      <c r="I34" s="7" t="str">
        <f t="shared" ca="1" si="6"/>
        <v>O2</v>
      </c>
      <c r="J34" s="7" t="str">
        <f t="shared" ca="1" si="7"/>
        <v>O3</v>
      </c>
      <c r="K34" s="7" t="str">
        <f t="shared" ca="1" si="8"/>
        <v>M1</v>
      </c>
      <c r="L34" s="7" t="str">
        <f t="shared" ca="1" si="9"/>
        <v>M2</v>
      </c>
      <c r="M34" s="7" t="str">
        <f t="shared" ca="1" si="10"/>
        <v>A1</v>
      </c>
      <c r="N34" s="7" t="str">
        <f t="shared" ca="1" si="11"/>
        <v>N1</v>
      </c>
      <c r="O34" s="7" t="str">
        <f t="shared" ca="1" si="12"/>
        <v>N2</v>
      </c>
      <c r="P34" s="7" t="str">
        <f t="shared" ca="1" si="13"/>
        <v>O1</v>
      </c>
      <c r="Q34" s="7" t="str">
        <f t="shared" ca="1" si="14"/>
        <v>O2</v>
      </c>
      <c r="R34" s="7" t="str">
        <f t="shared" ca="1" si="15"/>
        <v>O3</v>
      </c>
      <c r="S34" s="7" t="str">
        <f t="shared" ca="1" si="16"/>
        <v>M1</v>
      </c>
      <c r="T34" s="7" t="str">
        <f t="shared" ca="1" si="17"/>
        <v>M2</v>
      </c>
      <c r="U34" s="7" t="str">
        <f t="shared" ca="1" si="18"/>
        <v>A1</v>
      </c>
      <c r="V34" s="7" t="str">
        <f t="shared" ca="1" si="19"/>
        <v>N1</v>
      </c>
      <c r="W34" s="7" t="str">
        <f t="shared" ca="1" si="20"/>
        <v>N2</v>
      </c>
      <c r="X34" s="7" t="str">
        <f t="shared" ca="1" si="21"/>
        <v>O1</v>
      </c>
      <c r="Y34" s="7" t="str">
        <f t="shared" ca="1" si="22"/>
        <v>O2</v>
      </c>
      <c r="Z34" s="7" t="str">
        <f t="shared" ca="1" si="23"/>
        <v>O3</v>
      </c>
      <c r="AA34" s="7" t="str">
        <f t="shared" ca="1" si="24"/>
        <v>M1</v>
      </c>
      <c r="AB34" s="7" t="str">
        <f t="shared" ca="1" si="25"/>
        <v>M2</v>
      </c>
      <c r="AC34" s="7" t="str">
        <f t="shared" ca="1" si="26"/>
        <v>A1</v>
      </c>
      <c r="AD34" s="7" t="str">
        <f t="shared" ca="1" si="27"/>
        <v>N1</v>
      </c>
      <c r="AE34" s="7" t="str">
        <f t="shared" ca="1" si="28"/>
        <v>N2</v>
      </c>
      <c r="AF34" s="7" t="str">
        <f t="shared" ca="1" si="29"/>
        <v>O1</v>
      </c>
      <c r="AG34" s="7" t="str">
        <f t="shared" ca="1" si="30"/>
        <v>O2</v>
      </c>
      <c r="AH34" s="7" t="str">
        <f t="shared" ca="1" si="31"/>
        <v>O3</v>
      </c>
      <c r="AI34" s="7" t="str">
        <f t="shared" si="32"/>
        <v/>
      </c>
      <c r="AK34" s="13">
        <f t="shared" ca="1" si="33"/>
        <v>6</v>
      </c>
      <c r="AL34" s="13">
        <f t="shared" ca="1" si="34"/>
        <v>4</v>
      </c>
      <c r="AM34" s="13">
        <f t="shared" ca="1" si="35"/>
        <v>8</v>
      </c>
      <c r="AN34" s="13">
        <f t="shared" ca="1" si="36"/>
        <v>12</v>
      </c>
    </row>
    <row r="35" spans="2:40" x14ac:dyDescent="0.25">
      <c r="B35" s="3" t="s">
        <v>67</v>
      </c>
      <c r="C35" s="3" t="s">
        <v>26</v>
      </c>
      <c r="E35" s="7" t="str">
        <f t="shared" si="2"/>
        <v>N1</v>
      </c>
      <c r="F35" s="7" t="str">
        <f t="shared" ca="1" si="3"/>
        <v>N2</v>
      </c>
      <c r="G35" s="7" t="str">
        <f t="shared" ca="1" si="4"/>
        <v>O1</v>
      </c>
      <c r="H35" s="7" t="str">
        <f t="shared" ca="1" si="5"/>
        <v>O2</v>
      </c>
      <c r="I35" s="7" t="str">
        <f t="shared" ca="1" si="6"/>
        <v>O3</v>
      </c>
      <c r="J35" s="7" t="str">
        <f t="shared" ca="1" si="7"/>
        <v>M1</v>
      </c>
      <c r="K35" s="7" t="str">
        <f t="shared" ca="1" si="8"/>
        <v>M2</v>
      </c>
      <c r="L35" s="7" t="str">
        <f t="shared" ca="1" si="9"/>
        <v>A1</v>
      </c>
      <c r="M35" s="7" t="str">
        <f t="shared" ca="1" si="10"/>
        <v>N1</v>
      </c>
      <c r="N35" s="7" t="str">
        <f t="shared" ca="1" si="11"/>
        <v>N2</v>
      </c>
      <c r="O35" s="7" t="str">
        <f t="shared" ca="1" si="12"/>
        <v>O1</v>
      </c>
      <c r="P35" s="7" t="str">
        <f t="shared" ca="1" si="13"/>
        <v>O2</v>
      </c>
      <c r="Q35" s="7" t="str">
        <f t="shared" ca="1" si="14"/>
        <v>O3</v>
      </c>
      <c r="R35" s="7" t="str">
        <f t="shared" ca="1" si="15"/>
        <v>M1</v>
      </c>
      <c r="S35" s="7" t="str">
        <f t="shared" ca="1" si="16"/>
        <v>M2</v>
      </c>
      <c r="T35" s="7" t="str">
        <f t="shared" ca="1" si="17"/>
        <v>A1</v>
      </c>
      <c r="U35" s="7" t="str">
        <f t="shared" ca="1" si="18"/>
        <v>N1</v>
      </c>
      <c r="V35" s="7" t="str">
        <f t="shared" ca="1" si="19"/>
        <v>N2</v>
      </c>
      <c r="W35" s="7" t="str">
        <f t="shared" ca="1" si="20"/>
        <v>O1</v>
      </c>
      <c r="X35" s="7" t="str">
        <f t="shared" ca="1" si="21"/>
        <v>O2</v>
      </c>
      <c r="Y35" s="7" t="str">
        <f t="shared" ca="1" si="22"/>
        <v>O3</v>
      </c>
      <c r="Z35" s="7" t="str">
        <f t="shared" ca="1" si="23"/>
        <v>M1</v>
      </c>
      <c r="AA35" s="7" t="str">
        <f t="shared" ca="1" si="24"/>
        <v>M2</v>
      </c>
      <c r="AB35" s="7" t="str">
        <f t="shared" ca="1" si="25"/>
        <v>A1</v>
      </c>
      <c r="AC35" s="7" t="str">
        <f t="shared" ca="1" si="26"/>
        <v>N1</v>
      </c>
      <c r="AD35" s="7" t="str">
        <f t="shared" ca="1" si="27"/>
        <v>N2</v>
      </c>
      <c r="AE35" s="7" t="str">
        <f t="shared" ca="1" si="28"/>
        <v>O1</v>
      </c>
      <c r="AF35" s="7" t="str">
        <f t="shared" ca="1" si="29"/>
        <v>O2</v>
      </c>
      <c r="AG35" s="7" t="str">
        <f t="shared" ca="1" si="30"/>
        <v>O3</v>
      </c>
      <c r="AH35" s="7" t="str">
        <f t="shared" ca="1" si="31"/>
        <v>M1</v>
      </c>
      <c r="AI35" s="7" t="str">
        <f t="shared" si="32"/>
        <v/>
      </c>
      <c r="AK35" s="13">
        <f t="shared" ca="1" si="33"/>
        <v>7</v>
      </c>
      <c r="AL35" s="13">
        <f t="shared" ca="1" si="34"/>
        <v>3</v>
      </c>
      <c r="AM35" s="13">
        <f t="shared" ca="1" si="35"/>
        <v>8</v>
      </c>
      <c r="AN35" s="13">
        <f t="shared" ca="1" si="36"/>
        <v>12</v>
      </c>
    </row>
    <row r="36" spans="2:40" x14ac:dyDescent="0.25">
      <c r="B36" s="3" t="s">
        <v>68</v>
      </c>
      <c r="C36" s="3" t="s">
        <v>27</v>
      </c>
      <c r="E36" s="7" t="str">
        <f t="shared" si="2"/>
        <v>N2</v>
      </c>
      <c r="F36" s="7" t="str">
        <f t="shared" ca="1" si="3"/>
        <v>O1</v>
      </c>
      <c r="G36" s="7" t="str">
        <f t="shared" ca="1" si="4"/>
        <v>O2</v>
      </c>
      <c r="H36" s="7" t="str">
        <f t="shared" ca="1" si="5"/>
        <v>O3</v>
      </c>
      <c r="I36" s="7" t="str">
        <f t="shared" ca="1" si="6"/>
        <v>M1</v>
      </c>
      <c r="J36" s="7" t="str">
        <f t="shared" ca="1" si="7"/>
        <v>M2</v>
      </c>
      <c r="K36" s="7" t="str">
        <f t="shared" ca="1" si="8"/>
        <v>A1</v>
      </c>
      <c r="L36" s="7" t="str">
        <f t="shared" ca="1" si="9"/>
        <v>N1</v>
      </c>
      <c r="M36" s="7" t="str">
        <f t="shared" ca="1" si="10"/>
        <v>N2</v>
      </c>
      <c r="N36" s="7" t="str">
        <f t="shared" ca="1" si="11"/>
        <v>O1</v>
      </c>
      <c r="O36" s="7" t="str">
        <f t="shared" ca="1" si="12"/>
        <v>O2</v>
      </c>
      <c r="P36" s="7" t="str">
        <f t="shared" ca="1" si="13"/>
        <v>O3</v>
      </c>
      <c r="Q36" s="7" t="str">
        <f t="shared" ca="1" si="14"/>
        <v>M1</v>
      </c>
      <c r="R36" s="7" t="str">
        <f t="shared" ca="1" si="15"/>
        <v>M2</v>
      </c>
      <c r="S36" s="7" t="str">
        <f t="shared" ca="1" si="16"/>
        <v>A1</v>
      </c>
      <c r="T36" s="7" t="str">
        <f t="shared" ca="1" si="17"/>
        <v>N1</v>
      </c>
      <c r="U36" s="7" t="str">
        <f t="shared" ca="1" si="18"/>
        <v>N2</v>
      </c>
      <c r="V36" s="7" t="str">
        <f t="shared" ca="1" si="19"/>
        <v>O1</v>
      </c>
      <c r="W36" s="7" t="str">
        <f t="shared" ca="1" si="20"/>
        <v>O2</v>
      </c>
      <c r="X36" s="7" t="str">
        <f t="shared" ca="1" si="21"/>
        <v>O3</v>
      </c>
      <c r="Y36" s="7" t="str">
        <f t="shared" ca="1" si="22"/>
        <v>M1</v>
      </c>
      <c r="Z36" s="7" t="str">
        <f t="shared" ca="1" si="23"/>
        <v>M2</v>
      </c>
      <c r="AA36" s="7" t="str">
        <f t="shared" ca="1" si="24"/>
        <v>A1</v>
      </c>
      <c r="AB36" s="7" t="str">
        <f t="shared" ca="1" si="25"/>
        <v>N1</v>
      </c>
      <c r="AC36" s="7" t="str">
        <f t="shared" ca="1" si="26"/>
        <v>N2</v>
      </c>
      <c r="AD36" s="7" t="str">
        <f t="shared" ca="1" si="27"/>
        <v>O1</v>
      </c>
      <c r="AE36" s="7" t="str">
        <f t="shared" ca="1" si="28"/>
        <v>O2</v>
      </c>
      <c r="AF36" s="7" t="str">
        <f t="shared" ca="1" si="29"/>
        <v>O3</v>
      </c>
      <c r="AG36" s="7" t="str">
        <f t="shared" ca="1" si="30"/>
        <v>M1</v>
      </c>
      <c r="AH36" s="7" t="str">
        <f t="shared" ca="1" si="31"/>
        <v>M2</v>
      </c>
      <c r="AI36" s="7" t="str">
        <f t="shared" si="32"/>
        <v/>
      </c>
      <c r="AK36" s="13">
        <f t="shared" ca="1" si="33"/>
        <v>8</v>
      </c>
      <c r="AL36" s="13">
        <f t="shared" ca="1" si="34"/>
        <v>3</v>
      </c>
      <c r="AM36" s="13">
        <f t="shared" ca="1" si="35"/>
        <v>7</v>
      </c>
      <c r="AN36" s="13">
        <f t="shared" ca="1" si="36"/>
        <v>12</v>
      </c>
    </row>
    <row r="37" spans="2:40" x14ac:dyDescent="0.25">
      <c r="B37" s="3" t="s">
        <v>69</v>
      </c>
      <c r="C37" s="3" t="s">
        <v>28</v>
      </c>
      <c r="E37" s="7" t="str">
        <f t="shared" si="2"/>
        <v>O1</v>
      </c>
      <c r="F37" s="7" t="str">
        <f t="shared" ca="1" si="3"/>
        <v>O2</v>
      </c>
      <c r="G37" s="7" t="str">
        <f t="shared" ca="1" si="4"/>
        <v>O3</v>
      </c>
      <c r="H37" s="7" t="str">
        <f t="shared" ca="1" si="5"/>
        <v>M1</v>
      </c>
      <c r="I37" s="7" t="str">
        <f t="shared" ca="1" si="6"/>
        <v>M2</v>
      </c>
      <c r="J37" s="7" t="str">
        <f t="shared" ca="1" si="7"/>
        <v>A1</v>
      </c>
      <c r="K37" s="7" t="str">
        <f t="shared" ca="1" si="8"/>
        <v>N1</v>
      </c>
      <c r="L37" s="7" t="str">
        <f t="shared" ca="1" si="9"/>
        <v>N2</v>
      </c>
      <c r="M37" s="7" t="str">
        <f t="shared" ca="1" si="10"/>
        <v>O1</v>
      </c>
      <c r="N37" s="7" t="str">
        <f t="shared" ca="1" si="11"/>
        <v>O2</v>
      </c>
      <c r="O37" s="7" t="str">
        <f t="shared" ca="1" si="12"/>
        <v>O3</v>
      </c>
      <c r="P37" s="7" t="str">
        <f t="shared" ca="1" si="13"/>
        <v>M1</v>
      </c>
      <c r="Q37" s="7" t="str">
        <f t="shared" ca="1" si="14"/>
        <v>M2</v>
      </c>
      <c r="R37" s="7" t="str">
        <f t="shared" ca="1" si="15"/>
        <v>A1</v>
      </c>
      <c r="S37" s="7" t="str">
        <f t="shared" ca="1" si="16"/>
        <v>N1</v>
      </c>
      <c r="T37" s="7" t="str">
        <f t="shared" ca="1" si="17"/>
        <v>N2</v>
      </c>
      <c r="U37" s="7" t="str">
        <f t="shared" ca="1" si="18"/>
        <v>O1</v>
      </c>
      <c r="V37" s="7" t="str">
        <f t="shared" ca="1" si="19"/>
        <v>O2</v>
      </c>
      <c r="W37" s="7" t="str">
        <f t="shared" ca="1" si="20"/>
        <v>O3</v>
      </c>
      <c r="X37" s="7" t="str">
        <f t="shared" ca="1" si="21"/>
        <v>M1</v>
      </c>
      <c r="Y37" s="7" t="str">
        <f t="shared" ca="1" si="22"/>
        <v>M2</v>
      </c>
      <c r="Z37" s="7" t="str">
        <f t="shared" ca="1" si="23"/>
        <v>A1</v>
      </c>
      <c r="AA37" s="7" t="str">
        <f t="shared" ca="1" si="24"/>
        <v>N1</v>
      </c>
      <c r="AB37" s="7" t="str">
        <f t="shared" ca="1" si="25"/>
        <v>N2</v>
      </c>
      <c r="AC37" s="7" t="str">
        <f t="shared" ca="1" si="26"/>
        <v>O1</v>
      </c>
      <c r="AD37" s="7" t="str">
        <f t="shared" ca="1" si="27"/>
        <v>O2</v>
      </c>
      <c r="AE37" s="7" t="str">
        <f t="shared" ca="1" si="28"/>
        <v>O3</v>
      </c>
      <c r="AF37" s="7" t="str">
        <f t="shared" ca="1" si="29"/>
        <v>M1</v>
      </c>
      <c r="AG37" s="7" t="str">
        <f t="shared" ca="1" si="30"/>
        <v>M2</v>
      </c>
      <c r="AH37" s="7" t="str">
        <f t="shared" ca="1" si="31"/>
        <v>A1</v>
      </c>
      <c r="AI37" s="7" t="str">
        <f t="shared" si="32"/>
        <v/>
      </c>
      <c r="AK37" s="13">
        <f t="shared" ca="1" si="33"/>
        <v>8</v>
      </c>
      <c r="AL37" s="13">
        <f t="shared" ca="1" si="34"/>
        <v>4</v>
      </c>
      <c r="AM37" s="13">
        <f t="shared" ca="1" si="35"/>
        <v>6</v>
      </c>
      <c r="AN37" s="13">
        <f t="shared" ca="1" si="36"/>
        <v>12</v>
      </c>
    </row>
    <row r="39" spans="2:40" x14ac:dyDescent="0.25">
      <c r="B39" s="131" t="s">
        <v>70</v>
      </c>
      <c r="C39" s="131"/>
      <c r="E39" s="13">
        <f t="shared" ref="E39:AI39" si="37">COUNTIF(E$8:E$37,"M*")</f>
        <v>8</v>
      </c>
      <c r="F39" s="13">
        <f t="shared" ca="1" si="37"/>
        <v>6</v>
      </c>
      <c r="G39" s="13">
        <f t="shared" ca="1" si="37"/>
        <v>6</v>
      </c>
      <c r="H39" s="13">
        <f t="shared" ca="1" si="37"/>
        <v>7</v>
      </c>
      <c r="I39" s="13">
        <f t="shared" ca="1" si="37"/>
        <v>8</v>
      </c>
      <c r="J39" s="13">
        <f t="shared" ca="1" si="37"/>
        <v>8</v>
      </c>
      <c r="K39" s="13">
        <f t="shared" ca="1" si="37"/>
        <v>8</v>
      </c>
      <c r="L39" s="13">
        <f t="shared" ca="1" si="37"/>
        <v>9</v>
      </c>
      <c r="M39" s="13">
        <f t="shared" ca="1" si="37"/>
        <v>8</v>
      </c>
      <c r="N39" s="13">
        <f t="shared" ca="1" si="37"/>
        <v>6</v>
      </c>
      <c r="O39" s="13">
        <f t="shared" ca="1" si="37"/>
        <v>6</v>
      </c>
      <c r="P39" s="13">
        <f t="shared" ca="1" si="37"/>
        <v>7</v>
      </c>
      <c r="Q39" s="13">
        <f t="shared" ca="1" si="37"/>
        <v>8</v>
      </c>
      <c r="R39" s="13">
        <f t="shared" ca="1" si="37"/>
        <v>8</v>
      </c>
      <c r="S39" s="13">
        <f t="shared" ca="1" si="37"/>
        <v>8</v>
      </c>
      <c r="T39" s="13">
        <f t="shared" ca="1" si="37"/>
        <v>9</v>
      </c>
      <c r="U39" s="13">
        <f t="shared" ca="1" si="37"/>
        <v>8</v>
      </c>
      <c r="V39" s="13">
        <f t="shared" ca="1" si="37"/>
        <v>6</v>
      </c>
      <c r="W39" s="13">
        <f t="shared" ca="1" si="37"/>
        <v>6</v>
      </c>
      <c r="X39" s="13">
        <f t="shared" ca="1" si="37"/>
        <v>7</v>
      </c>
      <c r="Y39" s="13">
        <f t="shared" ca="1" si="37"/>
        <v>8</v>
      </c>
      <c r="Z39" s="13">
        <f t="shared" ca="1" si="37"/>
        <v>8</v>
      </c>
      <c r="AA39" s="13">
        <f t="shared" ca="1" si="37"/>
        <v>8</v>
      </c>
      <c r="AB39" s="13">
        <f t="shared" ca="1" si="37"/>
        <v>9</v>
      </c>
      <c r="AC39" s="13">
        <f t="shared" ca="1" si="37"/>
        <v>8</v>
      </c>
      <c r="AD39" s="13">
        <f t="shared" ca="1" si="37"/>
        <v>6</v>
      </c>
      <c r="AE39" s="13">
        <f t="shared" ca="1" si="37"/>
        <v>6</v>
      </c>
      <c r="AF39" s="13">
        <f t="shared" ca="1" si="37"/>
        <v>7</v>
      </c>
      <c r="AG39" s="13">
        <f t="shared" ca="1" si="37"/>
        <v>8</v>
      </c>
      <c r="AH39" s="13">
        <f t="shared" ca="1" si="37"/>
        <v>8</v>
      </c>
      <c r="AI39" s="13">
        <f t="shared" si="37"/>
        <v>0</v>
      </c>
    </row>
    <row r="40" spans="2:40" x14ac:dyDescent="0.25">
      <c r="B40" s="131" t="s">
        <v>71</v>
      </c>
      <c r="C40" s="131"/>
      <c r="E40" s="13">
        <f t="shared" ref="E40:AI40" si="38">COUNTIF(E$8:E$37,"A*")</f>
        <v>4</v>
      </c>
      <c r="F40" s="13">
        <f t="shared" ca="1" si="38"/>
        <v>5</v>
      </c>
      <c r="G40" s="13">
        <f t="shared" ca="1" si="38"/>
        <v>3</v>
      </c>
      <c r="H40" s="13">
        <f t="shared" ca="1" si="38"/>
        <v>3</v>
      </c>
      <c r="I40" s="13">
        <f t="shared" ca="1" si="38"/>
        <v>3</v>
      </c>
      <c r="J40" s="13">
        <f t="shared" ca="1" si="38"/>
        <v>4</v>
      </c>
      <c r="K40" s="13">
        <f t="shared" ca="1" si="38"/>
        <v>4</v>
      </c>
      <c r="L40" s="13">
        <f t="shared" ca="1" si="38"/>
        <v>4</v>
      </c>
      <c r="M40" s="13">
        <f t="shared" ca="1" si="38"/>
        <v>4</v>
      </c>
      <c r="N40" s="13">
        <f t="shared" ca="1" si="38"/>
        <v>5</v>
      </c>
      <c r="O40" s="13">
        <f t="shared" ca="1" si="38"/>
        <v>3</v>
      </c>
      <c r="P40" s="13">
        <f t="shared" ca="1" si="38"/>
        <v>3</v>
      </c>
      <c r="Q40" s="13">
        <f t="shared" ca="1" si="38"/>
        <v>3</v>
      </c>
      <c r="R40" s="13">
        <f t="shared" ca="1" si="38"/>
        <v>4</v>
      </c>
      <c r="S40" s="13">
        <f t="shared" ca="1" si="38"/>
        <v>4</v>
      </c>
      <c r="T40" s="13">
        <f t="shared" ca="1" si="38"/>
        <v>4</v>
      </c>
      <c r="U40" s="13">
        <f t="shared" ca="1" si="38"/>
        <v>4</v>
      </c>
      <c r="V40" s="13">
        <f t="shared" ca="1" si="38"/>
        <v>5</v>
      </c>
      <c r="W40" s="13">
        <f t="shared" ca="1" si="38"/>
        <v>3</v>
      </c>
      <c r="X40" s="13">
        <f t="shared" ca="1" si="38"/>
        <v>3</v>
      </c>
      <c r="Y40" s="13">
        <f t="shared" ca="1" si="38"/>
        <v>3</v>
      </c>
      <c r="Z40" s="13">
        <f t="shared" ca="1" si="38"/>
        <v>4</v>
      </c>
      <c r="AA40" s="13">
        <f t="shared" ca="1" si="38"/>
        <v>4</v>
      </c>
      <c r="AB40" s="13">
        <f t="shared" ca="1" si="38"/>
        <v>4</v>
      </c>
      <c r="AC40" s="13">
        <f t="shared" ca="1" si="38"/>
        <v>4</v>
      </c>
      <c r="AD40" s="13">
        <f t="shared" ca="1" si="38"/>
        <v>5</v>
      </c>
      <c r="AE40" s="13">
        <f t="shared" ca="1" si="38"/>
        <v>3</v>
      </c>
      <c r="AF40" s="13">
        <f t="shared" ca="1" si="38"/>
        <v>3</v>
      </c>
      <c r="AG40" s="13">
        <f t="shared" ca="1" si="38"/>
        <v>3</v>
      </c>
      <c r="AH40" s="13">
        <f t="shared" ca="1" si="38"/>
        <v>4</v>
      </c>
      <c r="AI40" s="13">
        <f t="shared" si="38"/>
        <v>0</v>
      </c>
    </row>
    <row r="41" spans="2:40" x14ac:dyDescent="0.25">
      <c r="B41" s="131" t="s">
        <v>72</v>
      </c>
      <c r="C41" s="131"/>
      <c r="E41" s="13">
        <f t="shared" ref="E41:AI41" si="39">COUNTIF(E$8:E$37,"N*")</f>
        <v>8</v>
      </c>
      <c r="F41" s="13">
        <f t="shared" ca="1" si="39"/>
        <v>8</v>
      </c>
      <c r="G41" s="13">
        <f t="shared" ca="1" si="39"/>
        <v>9</v>
      </c>
      <c r="H41" s="13">
        <f t="shared" ca="1" si="39"/>
        <v>8</v>
      </c>
      <c r="I41" s="13">
        <f t="shared" ca="1" si="39"/>
        <v>6</v>
      </c>
      <c r="J41" s="13">
        <f t="shared" ca="1" si="39"/>
        <v>6</v>
      </c>
      <c r="K41" s="13">
        <f t="shared" ca="1" si="39"/>
        <v>7</v>
      </c>
      <c r="L41" s="13">
        <f t="shared" ca="1" si="39"/>
        <v>8</v>
      </c>
      <c r="M41" s="13">
        <f t="shared" ca="1" si="39"/>
        <v>8</v>
      </c>
      <c r="N41" s="13">
        <f t="shared" ca="1" si="39"/>
        <v>8</v>
      </c>
      <c r="O41" s="13">
        <f t="shared" ca="1" si="39"/>
        <v>9</v>
      </c>
      <c r="P41" s="13">
        <f t="shared" ca="1" si="39"/>
        <v>8</v>
      </c>
      <c r="Q41" s="13">
        <f t="shared" ca="1" si="39"/>
        <v>6</v>
      </c>
      <c r="R41" s="13">
        <f t="shared" ca="1" si="39"/>
        <v>6</v>
      </c>
      <c r="S41" s="13">
        <f t="shared" ca="1" si="39"/>
        <v>7</v>
      </c>
      <c r="T41" s="13">
        <f t="shared" ca="1" si="39"/>
        <v>8</v>
      </c>
      <c r="U41" s="13">
        <f t="shared" ca="1" si="39"/>
        <v>8</v>
      </c>
      <c r="V41" s="13">
        <f t="shared" ca="1" si="39"/>
        <v>8</v>
      </c>
      <c r="W41" s="13">
        <f t="shared" ca="1" si="39"/>
        <v>9</v>
      </c>
      <c r="X41" s="13">
        <f t="shared" ca="1" si="39"/>
        <v>8</v>
      </c>
      <c r="Y41" s="13">
        <f t="shared" ca="1" si="39"/>
        <v>6</v>
      </c>
      <c r="Z41" s="13">
        <f t="shared" ca="1" si="39"/>
        <v>6</v>
      </c>
      <c r="AA41" s="13">
        <f t="shared" ca="1" si="39"/>
        <v>7</v>
      </c>
      <c r="AB41" s="13">
        <f t="shared" ca="1" si="39"/>
        <v>8</v>
      </c>
      <c r="AC41" s="13">
        <f t="shared" ca="1" si="39"/>
        <v>8</v>
      </c>
      <c r="AD41" s="13">
        <f t="shared" ca="1" si="39"/>
        <v>8</v>
      </c>
      <c r="AE41" s="13">
        <f t="shared" ca="1" si="39"/>
        <v>9</v>
      </c>
      <c r="AF41" s="13">
        <f t="shared" ca="1" si="39"/>
        <v>8</v>
      </c>
      <c r="AG41" s="13">
        <f t="shared" ca="1" si="39"/>
        <v>6</v>
      </c>
      <c r="AH41" s="13">
        <f t="shared" ca="1" si="39"/>
        <v>6</v>
      </c>
      <c r="AI41" s="13">
        <f t="shared" si="39"/>
        <v>0</v>
      </c>
    </row>
    <row r="42" spans="2:40" x14ac:dyDescent="0.25">
      <c r="B42" s="131" t="s">
        <v>73</v>
      </c>
      <c r="C42" s="131"/>
      <c r="E42" s="13">
        <f t="shared" ref="E42:AI42" si="40">COUNTIF(E$8:E$37,"O*")</f>
        <v>10</v>
      </c>
      <c r="F42" s="13">
        <f t="shared" ca="1" si="40"/>
        <v>11</v>
      </c>
      <c r="G42" s="13">
        <f t="shared" ca="1" si="40"/>
        <v>12</v>
      </c>
      <c r="H42" s="13">
        <f t="shared" ca="1" si="40"/>
        <v>12</v>
      </c>
      <c r="I42" s="13">
        <f t="shared" ca="1" si="40"/>
        <v>13</v>
      </c>
      <c r="J42" s="13">
        <f t="shared" ca="1" si="40"/>
        <v>12</v>
      </c>
      <c r="K42" s="13">
        <f t="shared" ca="1" si="40"/>
        <v>11</v>
      </c>
      <c r="L42" s="13">
        <f t="shared" ca="1" si="40"/>
        <v>9</v>
      </c>
      <c r="M42" s="13">
        <f t="shared" ca="1" si="40"/>
        <v>10</v>
      </c>
      <c r="N42" s="13">
        <f t="shared" ca="1" si="40"/>
        <v>11</v>
      </c>
      <c r="O42" s="13">
        <f t="shared" ca="1" si="40"/>
        <v>12</v>
      </c>
      <c r="P42" s="13">
        <f t="shared" ca="1" si="40"/>
        <v>12</v>
      </c>
      <c r="Q42" s="13">
        <f t="shared" ca="1" si="40"/>
        <v>13</v>
      </c>
      <c r="R42" s="13">
        <f t="shared" ca="1" si="40"/>
        <v>12</v>
      </c>
      <c r="S42" s="13">
        <f t="shared" ca="1" si="40"/>
        <v>11</v>
      </c>
      <c r="T42" s="13">
        <f t="shared" ca="1" si="40"/>
        <v>9</v>
      </c>
      <c r="U42" s="13">
        <f t="shared" ca="1" si="40"/>
        <v>10</v>
      </c>
      <c r="V42" s="13">
        <f t="shared" ca="1" si="40"/>
        <v>11</v>
      </c>
      <c r="W42" s="13">
        <f t="shared" ca="1" si="40"/>
        <v>12</v>
      </c>
      <c r="X42" s="13">
        <f t="shared" ca="1" si="40"/>
        <v>12</v>
      </c>
      <c r="Y42" s="13">
        <f t="shared" ca="1" si="40"/>
        <v>13</v>
      </c>
      <c r="Z42" s="13">
        <f t="shared" ca="1" si="40"/>
        <v>12</v>
      </c>
      <c r="AA42" s="13">
        <f t="shared" ca="1" si="40"/>
        <v>11</v>
      </c>
      <c r="AB42" s="13">
        <f t="shared" ca="1" si="40"/>
        <v>9</v>
      </c>
      <c r="AC42" s="13">
        <f t="shared" ca="1" si="40"/>
        <v>10</v>
      </c>
      <c r="AD42" s="13">
        <f t="shared" ca="1" si="40"/>
        <v>11</v>
      </c>
      <c r="AE42" s="13">
        <f t="shared" ca="1" si="40"/>
        <v>12</v>
      </c>
      <c r="AF42" s="13">
        <f t="shared" ca="1" si="40"/>
        <v>12</v>
      </c>
      <c r="AG42" s="13">
        <f t="shared" ca="1" si="40"/>
        <v>13</v>
      </c>
      <c r="AH42" s="13">
        <f t="shared" ca="1" si="40"/>
        <v>12</v>
      </c>
      <c r="AI42" s="13">
        <f t="shared" si="40"/>
        <v>0</v>
      </c>
    </row>
    <row r="44" spans="2:40" x14ac:dyDescent="0.25">
      <c r="E44" s="6">
        <f>SUM(E39:E42)</f>
        <v>30</v>
      </c>
    </row>
  </sheetData>
  <mergeCells count="22">
    <mergeCell ref="E1:AI1"/>
    <mergeCell ref="E4:I4"/>
    <mergeCell ref="M4:O4"/>
    <mergeCell ref="P4:R4"/>
    <mergeCell ref="U4:W4"/>
    <mergeCell ref="X4:Z4"/>
    <mergeCell ref="AK2:AN4"/>
    <mergeCell ref="B41:C41"/>
    <mergeCell ref="B42:C42"/>
    <mergeCell ref="AK6:AK7"/>
    <mergeCell ref="AL6:AL7"/>
    <mergeCell ref="AM6:AM7"/>
    <mergeCell ref="AN6:AN7"/>
    <mergeCell ref="AC4:AE4"/>
    <mergeCell ref="B6:B7"/>
    <mergeCell ref="C6:C7"/>
    <mergeCell ref="B39:C39"/>
    <mergeCell ref="B40:C40"/>
    <mergeCell ref="B2:C4"/>
    <mergeCell ref="E2:V2"/>
    <mergeCell ref="W2:AB2"/>
    <mergeCell ref="AC2:AF2"/>
  </mergeCells>
  <conditionalFormatting sqref="E8:AI37 AK8:AN37 E39:AI42">
    <cfRule type="expression" dxfId="204" priority="4">
      <formula>LEFT(E8,1)="N"</formula>
    </cfRule>
    <cfRule type="expression" dxfId="203" priority="5">
      <formula>LEFT(E8,1)="A"</formula>
    </cfRule>
    <cfRule type="expression" dxfId="202" priority="7">
      <formula>LEFT(E8,1)="M"</formula>
    </cfRule>
    <cfRule type="expression" dxfId="201" priority="8">
      <formula>LEFT(E8,1)="D"</formula>
    </cfRule>
  </conditionalFormatting>
  <conditionalFormatting sqref="E39:AI42 E8:AI37 AK8:AN37">
    <cfRule type="expression" dxfId="200" priority="3">
      <formula>LEFT(E8,1)="O"</formula>
    </cfRule>
  </conditionalFormatting>
  <conditionalFormatting sqref="E39:AI42">
    <cfRule type="expression" dxfId="199" priority="1">
      <formula>ISEVEN(ROW($E39))</formula>
    </cfRule>
  </conditionalFormatting>
  <dataValidations count="3">
    <dataValidation type="list" allowBlank="1" showInputMessage="1" showErrorMessage="1" sqref="W2:AB2" xr:uid="{A7408420-B6BF-4D9A-863E-01ACDD7B9A6D}">
      <formula1>setting_MonthList</formula1>
    </dataValidation>
    <dataValidation type="list" allowBlank="1" showInputMessage="1" showErrorMessage="1" sqref="AC2:AF2" xr:uid="{745AD477-42CD-4822-8B92-33638AA099C6}">
      <formula1>Settings_YearList</formula1>
    </dataValidation>
    <dataValidation type="list" allowBlank="1" showInputMessage="1" showErrorMessage="1" sqref="C8:C37" xr:uid="{F74BE74D-0059-458E-AFC0-E683D39988B1}">
      <formula1>Settings_ShiftLegends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7D31-A428-49C7-B3CE-66B468A7BADA}">
  <dimension ref="B1:AP105"/>
  <sheetViews>
    <sheetView topLeftCell="A35" zoomScale="60" zoomScaleNormal="60" workbookViewId="0">
      <selection activeCell="AI30" sqref="AI3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38" width="23.42578125" style="18" bestFit="1" customWidth="1"/>
    <col min="39" max="39" width="10.85546875" style="18" customWidth="1"/>
    <col min="40" max="41" width="11" style="18" customWidth="1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9" t="s">
        <v>126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.75" thickBot="1" x14ac:dyDescent="0.3">
      <c r="B3" s="148" t="s">
        <v>105</v>
      </c>
      <c r="C3" s="148"/>
      <c r="D3" s="148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3"/>
      <c r="AM3" s="143"/>
      <c r="AN3" s="143"/>
      <c r="AO3" s="143"/>
      <c r="AP3" s="143"/>
    </row>
    <row r="4" spans="2:42" ht="19.5" customHeight="1" thickBot="1" x14ac:dyDescent="0.35">
      <c r="B4" s="148"/>
      <c r="C4" s="148"/>
      <c r="D4" s="148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28">
        <v>31</v>
      </c>
      <c r="AL4" s="144"/>
      <c r="AM4" s="144"/>
      <c r="AN4" s="144"/>
      <c r="AO4" s="144"/>
      <c r="AP4" s="144"/>
    </row>
    <row r="5" spans="2:42" ht="19.5" customHeight="1" x14ac:dyDescent="0.25">
      <c r="B5" s="37" t="s">
        <v>267</v>
      </c>
      <c r="C5" s="145" t="s">
        <v>187</v>
      </c>
      <c r="D5" s="145"/>
      <c r="F5" s="264" t="s">
        <v>258</v>
      </c>
      <c r="G5" s="264" t="s">
        <v>258</v>
      </c>
      <c r="H5" s="264" t="s">
        <v>258</v>
      </c>
      <c r="I5" s="264" t="s">
        <v>258</v>
      </c>
      <c r="J5" s="264" t="s">
        <v>258</v>
      </c>
      <c r="K5" s="264" t="s">
        <v>258</v>
      </c>
      <c r="L5" s="264" t="s">
        <v>258</v>
      </c>
      <c r="M5" s="264" t="s">
        <v>258</v>
      </c>
      <c r="N5" s="51" t="s">
        <v>257</v>
      </c>
      <c r="O5" s="51" t="s">
        <v>257</v>
      </c>
      <c r="P5" s="51" t="s">
        <v>237</v>
      </c>
      <c r="Q5" s="51" t="s">
        <v>237</v>
      </c>
      <c r="R5" s="51" t="s">
        <v>237</v>
      </c>
      <c r="S5" s="51" t="s">
        <v>237</v>
      </c>
      <c r="T5" s="51" t="s">
        <v>237</v>
      </c>
      <c r="U5" s="51" t="s">
        <v>257</v>
      </c>
      <c r="V5" s="51" t="s">
        <v>257</v>
      </c>
      <c r="W5" s="51" t="s">
        <v>237</v>
      </c>
      <c r="X5" s="51" t="s">
        <v>237</v>
      </c>
      <c r="Y5" s="51" t="s">
        <v>237</v>
      </c>
      <c r="Z5" s="51" t="s">
        <v>237</v>
      </c>
      <c r="AA5" s="51" t="s">
        <v>237</v>
      </c>
      <c r="AB5" s="51" t="s">
        <v>257</v>
      </c>
      <c r="AC5" s="51" t="s">
        <v>257</v>
      </c>
      <c r="AD5" s="51" t="s">
        <v>237</v>
      </c>
      <c r="AE5" s="51" t="s">
        <v>237</v>
      </c>
      <c r="AF5" s="51" t="s">
        <v>237</v>
      </c>
      <c r="AG5" s="51" t="s">
        <v>237</v>
      </c>
      <c r="AH5" s="51" t="s">
        <v>237</v>
      </c>
      <c r="AI5" s="23" t="s">
        <v>257</v>
      </c>
      <c r="AJ5" s="23" t="s">
        <v>257</v>
      </c>
      <c r="AL5" s="127">
        <f>COUNTIF($F5:$AJ5,"ST*")</f>
        <v>0</v>
      </c>
      <c r="AM5" s="127">
        <f>COUNTIF($F5:$AJ5,"M*")</f>
        <v>15</v>
      </c>
      <c r="AN5" s="127">
        <f>COUNTIF($F5:$AJ5,"A*")</f>
        <v>0</v>
      </c>
      <c r="AO5" s="127">
        <f>COUNTIF($F5:$AJ5,"N*")</f>
        <v>0</v>
      </c>
      <c r="AP5" s="127">
        <f>COUNTIF($F5:$AJ5,"O*")</f>
        <v>8</v>
      </c>
    </row>
    <row r="6" spans="2:42" ht="19.5" customHeight="1" x14ac:dyDescent="0.25">
      <c r="B6" s="37" t="s">
        <v>267</v>
      </c>
      <c r="C6" s="145" t="s">
        <v>190</v>
      </c>
      <c r="D6" s="145"/>
      <c r="F6" s="264" t="s">
        <v>258</v>
      </c>
      <c r="G6" s="51" t="s">
        <v>257</v>
      </c>
      <c r="H6" s="51" t="s">
        <v>257</v>
      </c>
      <c r="I6" s="264" t="s">
        <v>258</v>
      </c>
      <c r="J6" s="264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51" t="s">
        <v>237</v>
      </c>
      <c r="Q6" s="51" t="s">
        <v>237</v>
      </c>
      <c r="R6" s="51" t="s">
        <v>237</v>
      </c>
      <c r="S6" s="51" t="s">
        <v>237</v>
      </c>
      <c r="T6" s="51" t="s">
        <v>237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127">
        <f t="shared" ref="AL6:AL8" si="0">COUNTIF($F6:$AJ6,"ST*")</f>
        <v>0</v>
      </c>
      <c r="AM6" s="127">
        <f t="shared" ref="AM6:AM8" si="1">COUNTIF($F6:$AJ6,"M*")</f>
        <v>18</v>
      </c>
      <c r="AN6" s="127">
        <f t="shared" ref="AN6:AN8" si="2">COUNTIF($F6:$AJ6,"A*")</f>
        <v>0</v>
      </c>
      <c r="AO6" s="127">
        <f t="shared" ref="AO6:AO8" si="3">COUNTIF($F6:$AJ6,"N*")</f>
        <v>0</v>
      </c>
      <c r="AP6" s="127">
        <f t="shared" ref="AP6:AP8" si="4">COUNTIF($F6:$AJ6,"O*")</f>
        <v>10</v>
      </c>
    </row>
    <row r="7" spans="2:42" ht="19.5" customHeight="1" x14ac:dyDescent="0.25">
      <c r="B7" s="37" t="s">
        <v>267</v>
      </c>
      <c r="C7" s="145" t="s">
        <v>188</v>
      </c>
      <c r="D7" s="145"/>
      <c r="F7" s="51" t="s">
        <v>229</v>
      </c>
      <c r="G7" s="51" t="s">
        <v>229</v>
      </c>
      <c r="H7" s="51" t="s">
        <v>230</v>
      </c>
      <c r="I7" s="51" t="s">
        <v>230</v>
      </c>
      <c r="J7" s="51" t="s">
        <v>257</v>
      </c>
      <c r="K7" s="51" t="s">
        <v>257</v>
      </c>
      <c r="L7" s="51" t="s">
        <v>229</v>
      </c>
      <c r="M7" s="51" t="s">
        <v>229</v>
      </c>
      <c r="N7" s="51" t="s">
        <v>229</v>
      </c>
      <c r="O7" s="51" t="s">
        <v>230</v>
      </c>
      <c r="P7" s="51" t="s">
        <v>230</v>
      </c>
      <c r="Q7" s="51" t="s">
        <v>257</v>
      </c>
      <c r="R7" s="51" t="s">
        <v>257</v>
      </c>
      <c r="S7" s="51" t="s">
        <v>229</v>
      </c>
      <c r="T7" s="51" t="s">
        <v>229</v>
      </c>
      <c r="U7" s="51" t="s">
        <v>229</v>
      </c>
      <c r="V7" s="51" t="s">
        <v>230</v>
      </c>
      <c r="W7" s="51" t="s">
        <v>230</v>
      </c>
      <c r="X7" s="51" t="s">
        <v>257</v>
      </c>
      <c r="Y7" s="51" t="s">
        <v>257</v>
      </c>
      <c r="Z7" s="51" t="s">
        <v>229</v>
      </c>
      <c r="AA7" s="51" t="s">
        <v>229</v>
      </c>
      <c r="AB7" s="51" t="s">
        <v>229</v>
      </c>
      <c r="AC7" s="51" t="s">
        <v>230</v>
      </c>
      <c r="AD7" s="51" t="s">
        <v>144</v>
      </c>
      <c r="AE7" s="51" t="s">
        <v>257</v>
      </c>
      <c r="AF7" s="51" t="s">
        <v>257</v>
      </c>
      <c r="AG7" s="51" t="s">
        <v>229</v>
      </c>
      <c r="AH7" s="51" t="s">
        <v>229</v>
      </c>
      <c r="AI7" s="51" t="s">
        <v>229</v>
      </c>
      <c r="AJ7" s="51" t="s">
        <v>229</v>
      </c>
      <c r="AL7" s="127">
        <f t="shared" si="0"/>
        <v>0</v>
      </c>
      <c r="AM7" s="127">
        <f t="shared" si="1"/>
        <v>15</v>
      </c>
      <c r="AN7" s="127">
        <f t="shared" si="2"/>
        <v>7</v>
      </c>
      <c r="AO7" s="127">
        <f t="shared" si="3"/>
        <v>0</v>
      </c>
      <c r="AP7" s="127">
        <f t="shared" si="4"/>
        <v>8</v>
      </c>
    </row>
    <row r="8" spans="2:42" ht="19.5" customHeight="1" thickBot="1" x14ac:dyDescent="0.3">
      <c r="B8" s="37" t="s">
        <v>267</v>
      </c>
      <c r="C8" s="145" t="s">
        <v>189</v>
      </c>
      <c r="D8" s="145"/>
      <c r="F8" s="51" t="s">
        <v>230</v>
      </c>
      <c r="G8" s="51" t="s">
        <v>230</v>
      </c>
      <c r="H8" s="51" t="s">
        <v>257</v>
      </c>
      <c r="I8" s="51" t="s">
        <v>257</v>
      </c>
      <c r="J8" s="51" t="s">
        <v>229</v>
      </c>
      <c r="K8" s="51" t="s">
        <v>229</v>
      </c>
      <c r="L8" s="51" t="s">
        <v>230</v>
      </c>
      <c r="M8" s="51" t="s">
        <v>230</v>
      </c>
      <c r="N8" s="51" t="s">
        <v>230</v>
      </c>
      <c r="O8" s="51" t="s">
        <v>257</v>
      </c>
      <c r="P8" s="51" t="s">
        <v>257</v>
      </c>
      <c r="Q8" s="51" t="s">
        <v>229</v>
      </c>
      <c r="R8" s="51" t="s">
        <v>229</v>
      </c>
      <c r="S8" s="51" t="s">
        <v>230</v>
      </c>
      <c r="T8" s="51" t="s">
        <v>230</v>
      </c>
      <c r="U8" s="51" t="s">
        <v>230</v>
      </c>
      <c r="V8" s="56" t="s">
        <v>257</v>
      </c>
      <c r="W8" s="56" t="s">
        <v>257</v>
      </c>
      <c r="X8" s="51" t="s">
        <v>229</v>
      </c>
      <c r="Y8" s="51" t="s">
        <v>229</v>
      </c>
      <c r="Z8" s="51" t="s">
        <v>230</v>
      </c>
      <c r="AA8" s="51" t="s">
        <v>230</v>
      </c>
      <c r="AB8" s="51" t="s">
        <v>230</v>
      </c>
      <c r="AC8" s="51" t="s">
        <v>257</v>
      </c>
      <c r="AD8" s="51" t="s">
        <v>257</v>
      </c>
      <c r="AE8" s="51" t="s">
        <v>144</v>
      </c>
      <c r="AF8" s="51" t="s">
        <v>229</v>
      </c>
      <c r="AG8" s="51" t="s">
        <v>230</v>
      </c>
      <c r="AH8" s="51" t="s">
        <v>230</v>
      </c>
      <c r="AI8" s="51" t="s">
        <v>230</v>
      </c>
      <c r="AJ8" s="51" t="s">
        <v>230</v>
      </c>
      <c r="AL8" s="127">
        <f t="shared" si="0"/>
        <v>0</v>
      </c>
      <c r="AM8" s="127">
        <f t="shared" si="1"/>
        <v>7</v>
      </c>
      <c r="AN8" s="127">
        <f t="shared" si="2"/>
        <v>15</v>
      </c>
      <c r="AO8" s="127">
        <f t="shared" si="3"/>
        <v>0</v>
      </c>
      <c r="AP8" s="127">
        <f t="shared" si="4"/>
        <v>8</v>
      </c>
    </row>
    <row r="9" spans="2:42" ht="18.75" x14ac:dyDescent="0.25">
      <c r="B9" s="37" t="s">
        <v>246</v>
      </c>
      <c r="C9" s="145" t="s">
        <v>178</v>
      </c>
      <c r="D9" s="145"/>
      <c r="F9" s="44" t="s">
        <v>257</v>
      </c>
      <c r="G9" s="44" t="s">
        <v>258</v>
      </c>
      <c r="H9" s="44" t="s">
        <v>258</v>
      </c>
      <c r="I9" s="44" t="s">
        <v>258</v>
      </c>
      <c r="J9" s="44" t="s">
        <v>258</v>
      </c>
      <c r="K9" s="44" t="s">
        <v>258</v>
      </c>
      <c r="L9" s="44" t="s">
        <v>258</v>
      </c>
      <c r="M9" s="44" t="s">
        <v>257</v>
      </c>
      <c r="N9" s="44" t="s">
        <v>257</v>
      </c>
      <c r="O9" s="44" t="s">
        <v>229</v>
      </c>
      <c r="P9" s="44" t="s">
        <v>229</v>
      </c>
      <c r="Q9" s="44" t="s">
        <v>230</v>
      </c>
      <c r="R9" s="44" t="s">
        <v>230</v>
      </c>
      <c r="S9" s="44" t="s">
        <v>254</v>
      </c>
      <c r="T9" s="44" t="s">
        <v>257</v>
      </c>
      <c r="U9" s="44" t="s">
        <v>257</v>
      </c>
      <c r="V9" s="44" t="s">
        <v>257</v>
      </c>
      <c r="W9" s="44" t="s">
        <v>229</v>
      </c>
      <c r="X9" s="44" t="s">
        <v>229</v>
      </c>
      <c r="Y9" s="44" t="s">
        <v>230</v>
      </c>
      <c r="Z9" s="44" t="s">
        <v>230</v>
      </c>
      <c r="AA9" s="44" t="s">
        <v>254</v>
      </c>
      <c r="AB9" s="44" t="s">
        <v>257</v>
      </c>
      <c r="AC9" s="44" t="s">
        <v>257</v>
      </c>
      <c r="AD9" s="44" t="s">
        <v>257</v>
      </c>
      <c r="AE9" s="44" t="s">
        <v>229</v>
      </c>
      <c r="AF9" s="44" t="s">
        <v>229</v>
      </c>
      <c r="AG9" s="44" t="s">
        <v>230</v>
      </c>
      <c r="AH9" s="44" t="s">
        <v>230</v>
      </c>
      <c r="AI9" s="44" t="s">
        <v>254</v>
      </c>
      <c r="AJ9" s="44" t="s">
        <v>257</v>
      </c>
      <c r="AL9" s="50">
        <f t="shared" ref="AL9:AL14" si="5">COUNTIF($F9:$AJ9,"ST*")</f>
        <v>0</v>
      </c>
      <c r="AM9" s="50">
        <f t="shared" ref="AM9:AM14" si="6">COUNTIF($F9:$AJ9,"M*")</f>
        <v>6</v>
      </c>
      <c r="AN9" s="50">
        <f t="shared" ref="AN9:AN14" si="7">COUNTIF($F9:$AJ9,"A*")</f>
        <v>6</v>
      </c>
      <c r="AO9" s="50">
        <f t="shared" ref="AO9:AO14" si="8">COUNTIF($F9:$AJ9,"N*")</f>
        <v>3</v>
      </c>
      <c r="AP9" s="50">
        <f t="shared" ref="AP9:AP14" si="9">COUNTIF($F9:$AJ9,"O*")</f>
        <v>10</v>
      </c>
    </row>
    <row r="10" spans="2:42" ht="18.75" x14ac:dyDescent="0.25">
      <c r="B10" s="37" t="s">
        <v>246</v>
      </c>
      <c r="C10" s="145" t="s">
        <v>179</v>
      </c>
      <c r="D10" s="145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51" t="s">
        <v>229</v>
      </c>
      <c r="M10" s="51" t="s">
        <v>229</v>
      </c>
      <c r="N10" s="51" t="s">
        <v>230</v>
      </c>
      <c r="O10" s="51" t="s">
        <v>230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1" t="s">
        <v>229</v>
      </c>
      <c r="U10" s="51" t="s">
        <v>229</v>
      </c>
      <c r="V10" s="51" t="s">
        <v>230</v>
      </c>
      <c r="W10" s="51" t="s">
        <v>230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51" t="s">
        <v>229</v>
      </c>
      <c r="AC10" s="51" t="s">
        <v>229</v>
      </c>
      <c r="AD10" s="51" t="s">
        <v>230</v>
      </c>
      <c r="AE10" s="51" t="s">
        <v>230</v>
      </c>
      <c r="AF10" s="51" t="s">
        <v>254</v>
      </c>
      <c r="AG10" s="51" t="s">
        <v>257</v>
      </c>
      <c r="AH10" s="51" t="s">
        <v>257</v>
      </c>
      <c r="AI10" s="51" t="s">
        <v>257</v>
      </c>
      <c r="AJ10" s="51" t="s">
        <v>229</v>
      </c>
      <c r="AL10" s="50">
        <f t="shared" si="5"/>
        <v>0</v>
      </c>
      <c r="AM10" s="50">
        <f t="shared" si="6"/>
        <v>7</v>
      </c>
      <c r="AN10" s="50">
        <f t="shared" si="7"/>
        <v>8</v>
      </c>
      <c r="AO10" s="50">
        <f t="shared" si="8"/>
        <v>4</v>
      </c>
      <c r="AP10" s="50">
        <f t="shared" si="9"/>
        <v>12</v>
      </c>
    </row>
    <row r="11" spans="2:42" ht="18.75" x14ac:dyDescent="0.25">
      <c r="B11" s="37" t="s">
        <v>246</v>
      </c>
      <c r="C11" s="145" t="s">
        <v>180</v>
      </c>
      <c r="D11" s="145"/>
      <c r="F11" s="51" t="s">
        <v>258</v>
      </c>
      <c r="G11" s="51" t="s">
        <v>258</v>
      </c>
      <c r="H11" s="51" t="s">
        <v>258</v>
      </c>
      <c r="I11" s="51" t="s">
        <v>258</v>
      </c>
      <c r="J11" s="51" t="s">
        <v>258</v>
      </c>
      <c r="K11" s="51" t="s">
        <v>258</v>
      </c>
      <c r="L11" s="51" t="s">
        <v>258</v>
      </c>
      <c r="M11" s="51" t="s">
        <v>258</v>
      </c>
      <c r="N11" s="51" t="s">
        <v>258</v>
      </c>
      <c r="O11" s="51" t="s">
        <v>258</v>
      </c>
      <c r="P11" s="51" t="s">
        <v>258</v>
      </c>
      <c r="Q11" s="51" t="s">
        <v>258</v>
      </c>
      <c r="R11" s="51" t="s">
        <v>258</v>
      </c>
      <c r="S11" s="51" t="s">
        <v>258</v>
      </c>
      <c r="T11" s="51" t="s">
        <v>258</v>
      </c>
      <c r="U11" s="51" t="s">
        <v>258</v>
      </c>
      <c r="V11" s="51" t="s">
        <v>258</v>
      </c>
      <c r="W11" s="51" t="s">
        <v>258</v>
      </c>
      <c r="X11" s="51" t="s">
        <v>258</v>
      </c>
      <c r="Y11" s="51" t="s">
        <v>258</v>
      </c>
      <c r="Z11" s="51" t="s">
        <v>258</v>
      </c>
      <c r="AA11" s="51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258</v>
      </c>
      <c r="AH11" s="51" t="s">
        <v>258</v>
      </c>
      <c r="AI11" s="51" t="s">
        <v>258</v>
      </c>
      <c r="AJ11" s="51" t="s">
        <v>258</v>
      </c>
      <c r="AL11" s="50">
        <f t="shared" si="5"/>
        <v>0</v>
      </c>
      <c r="AM11" s="50">
        <f t="shared" si="6"/>
        <v>0</v>
      </c>
      <c r="AN11" s="50">
        <f t="shared" si="7"/>
        <v>0</v>
      </c>
      <c r="AO11" s="50">
        <f t="shared" si="8"/>
        <v>0</v>
      </c>
      <c r="AP11" s="50">
        <f t="shared" si="9"/>
        <v>0</v>
      </c>
    </row>
    <row r="12" spans="2:42" ht="18.75" x14ac:dyDescent="0.25">
      <c r="B12" s="37" t="s">
        <v>246</v>
      </c>
      <c r="C12" s="145" t="s">
        <v>181</v>
      </c>
      <c r="D12" s="145"/>
      <c r="F12" s="51" t="s">
        <v>229</v>
      </c>
      <c r="G12" s="51" t="s">
        <v>229</v>
      </c>
      <c r="H12" s="51" t="s">
        <v>230</v>
      </c>
      <c r="I12" s="51" t="s">
        <v>254</v>
      </c>
      <c r="J12" s="51" t="s">
        <v>254</v>
      </c>
      <c r="K12" s="51" t="s">
        <v>257</v>
      </c>
      <c r="L12" s="51" t="s">
        <v>257</v>
      </c>
      <c r="M12" s="51" t="s">
        <v>257</v>
      </c>
      <c r="N12" s="51" t="s">
        <v>229</v>
      </c>
      <c r="O12" s="51" t="s">
        <v>229</v>
      </c>
      <c r="P12" s="51" t="s">
        <v>230</v>
      </c>
      <c r="Q12" s="51" t="s">
        <v>254</v>
      </c>
      <c r="R12" s="51" t="s">
        <v>254</v>
      </c>
      <c r="S12" s="51" t="s">
        <v>257</v>
      </c>
      <c r="T12" s="51" t="s">
        <v>257</v>
      </c>
      <c r="U12" s="51" t="s">
        <v>257</v>
      </c>
      <c r="V12" s="51" t="s">
        <v>258</v>
      </c>
      <c r="W12" s="51" t="s">
        <v>258</v>
      </c>
      <c r="X12" s="51" t="s">
        <v>258</v>
      </c>
      <c r="Y12" s="51" t="s">
        <v>258</v>
      </c>
      <c r="Z12" s="51" t="s">
        <v>258</v>
      </c>
      <c r="AA12" s="51" t="s">
        <v>258</v>
      </c>
      <c r="AB12" s="51" t="s">
        <v>258</v>
      </c>
      <c r="AC12" s="51" t="s">
        <v>258</v>
      </c>
      <c r="AD12" s="51" t="s">
        <v>258</v>
      </c>
      <c r="AE12" s="51" t="s">
        <v>258</v>
      </c>
      <c r="AF12" s="51" t="s">
        <v>258</v>
      </c>
      <c r="AG12" s="51" t="s">
        <v>258</v>
      </c>
      <c r="AH12" s="51" t="s">
        <v>258</v>
      </c>
      <c r="AI12" s="51" t="s">
        <v>258</v>
      </c>
      <c r="AJ12" s="51" t="s">
        <v>257</v>
      </c>
      <c r="AL12" s="50">
        <f t="shared" si="5"/>
        <v>0</v>
      </c>
      <c r="AM12" s="50">
        <f t="shared" si="6"/>
        <v>4</v>
      </c>
      <c r="AN12" s="50">
        <f t="shared" si="7"/>
        <v>2</v>
      </c>
      <c r="AO12" s="50">
        <f t="shared" si="8"/>
        <v>4</v>
      </c>
      <c r="AP12" s="50">
        <f t="shared" si="9"/>
        <v>7</v>
      </c>
    </row>
    <row r="13" spans="2:42" ht="18.75" x14ac:dyDescent="0.25">
      <c r="B13" s="37" t="s">
        <v>246</v>
      </c>
      <c r="C13" s="145" t="s">
        <v>182</v>
      </c>
      <c r="D13" s="145"/>
      <c r="F13" s="51" t="s">
        <v>257</v>
      </c>
      <c r="G13" s="51" t="s">
        <v>257</v>
      </c>
      <c r="H13" s="51" t="s">
        <v>257</v>
      </c>
      <c r="I13" s="51" t="s">
        <v>229</v>
      </c>
      <c r="J13" s="51" t="s">
        <v>229</v>
      </c>
      <c r="K13" s="51" t="s">
        <v>230</v>
      </c>
      <c r="L13" s="51" t="s">
        <v>254</v>
      </c>
      <c r="M13" s="51" t="s">
        <v>254</v>
      </c>
      <c r="N13" s="51" t="s">
        <v>257</v>
      </c>
      <c r="O13" s="51" t="s">
        <v>257</v>
      </c>
      <c r="P13" s="51" t="s">
        <v>257</v>
      </c>
      <c r="Q13" s="51" t="s">
        <v>229</v>
      </c>
      <c r="R13" s="51" t="s">
        <v>229</v>
      </c>
      <c r="S13" s="51" t="s">
        <v>230</v>
      </c>
      <c r="T13" s="51" t="s">
        <v>254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1" t="s">
        <v>229</v>
      </c>
      <c r="Z13" s="51" t="s">
        <v>229</v>
      </c>
      <c r="AA13" s="51" t="s">
        <v>230</v>
      </c>
      <c r="AB13" s="51" t="s">
        <v>254</v>
      </c>
      <c r="AC13" s="51" t="s">
        <v>254</v>
      </c>
      <c r="AD13" s="51" t="s">
        <v>257</v>
      </c>
      <c r="AE13" s="51" t="s">
        <v>257</v>
      </c>
      <c r="AF13" s="51" t="s">
        <v>257</v>
      </c>
      <c r="AG13" s="51" t="s">
        <v>229</v>
      </c>
      <c r="AH13" s="51" t="s">
        <v>229</v>
      </c>
      <c r="AI13" s="51" t="s">
        <v>230</v>
      </c>
      <c r="AJ13" s="51" t="s">
        <v>254</v>
      </c>
      <c r="AK13" s="99"/>
      <c r="AL13" s="50">
        <f t="shared" si="5"/>
        <v>0</v>
      </c>
      <c r="AM13" s="50">
        <f t="shared" si="6"/>
        <v>8</v>
      </c>
      <c r="AN13" s="50">
        <f t="shared" si="7"/>
        <v>4</v>
      </c>
      <c r="AO13" s="50">
        <f t="shared" si="8"/>
        <v>7</v>
      </c>
      <c r="AP13" s="50">
        <f t="shared" si="9"/>
        <v>12</v>
      </c>
    </row>
    <row r="14" spans="2:42" ht="19.5" thickBot="1" x14ac:dyDescent="0.3">
      <c r="B14" s="37" t="s">
        <v>246</v>
      </c>
      <c r="C14" s="145" t="s">
        <v>183</v>
      </c>
      <c r="D14" s="145"/>
      <c r="F14" s="64" t="s">
        <v>229</v>
      </c>
      <c r="G14" s="64" t="s">
        <v>257</v>
      </c>
      <c r="H14" s="64" t="s">
        <v>257</v>
      </c>
      <c r="I14" s="64" t="s">
        <v>229</v>
      </c>
      <c r="J14" s="64" t="s">
        <v>229</v>
      </c>
      <c r="K14" s="64" t="s">
        <v>144</v>
      </c>
      <c r="L14" s="64" t="s">
        <v>229</v>
      </c>
      <c r="M14" s="64" t="s">
        <v>229</v>
      </c>
      <c r="N14" s="64" t="s">
        <v>257</v>
      </c>
      <c r="O14" s="64" t="s">
        <v>257</v>
      </c>
      <c r="P14" s="64" t="s">
        <v>229</v>
      </c>
      <c r="Q14" s="64" t="s">
        <v>229</v>
      </c>
      <c r="R14" s="64" t="s">
        <v>229</v>
      </c>
      <c r="S14" s="64" t="s">
        <v>144</v>
      </c>
      <c r="T14" s="64" t="s">
        <v>229</v>
      </c>
      <c r="U14" s="64" t="s">
        <v>257</v>
      </c>
      <c r="V14" s="64" t="s">
        <v>257</v>
      </c>
      <c r="W14" s="64" t="s">
        <v>229</v>
      </c>
      <c r="X14" s="64" t="s">
        <v>229</v>
      </c>
      <c r="Y14" s="64" t="s">
        <v>229</v>
      </c>
      <c r="Z14" s="64" t="s">
        <v>229</v>
      </c>
      <c r="AA14" s="64" t="s">
        <v>229</v>
      </c>
      <c r="AB14" s="64" t="s">
        <v>257</v>
      </c>
      <c r="AC14" s="64" t="s">
        <v>257</v>
      </c>
      <c r="AD14" s="64" t="s">
        <v>229</v>
      </c>
      <c r="AE14" s="64" t="s">
        <v>229</v>
      </c>
      <c r="AF14" s="64" t="s">
        <v>229</v>
      </c>
      <c r="AG14" s="64" t="s">
        <v>229</v>
      </c>
      <c r="AH14" s="64" t="s">
        <v>229</v>
      </c>
      <c r="AI14" s="64" t="s">
        <v>257</v>
      </c>
      <c r="AJ14" s="64" t="s">
        <v>257</v>
      </c>
      <c r="AL14" s="50">
        <f t="shared" si="5"/>
        <v>0</v>
      </c>
      <c r="AM14" s="50">
        <f t="shared" si="6"/>
        <v>19</v>
      </c>
      <c r="AN14" s="50">
        <f t="shared" si="7"/>
        <v>0</v>
      </c>
      <c r="AO14" s="50">
        <f t="shared" si="8"/>
        <v>0</v>
      </c>
      <c r="AP14" s="50">
        <f t="shared" si="9"/>
        <v>10</v>
      </c>
    </row>
    <row r="15" spans="2:42" ht="18.75" x14ac:dyDescent="0.25">
      <c r="B15" s="37" t="s">
        <v>247</v>
      </c>
      <c r="C15" s="146" t="s">
        <v>225</v>
      </c>
      <c r="D15" s="147"/>
      <c r="E15" s="97"/>
      <c r="F15" s="44" t="s">
        <v>257</v>
      </c>
      <c r="G15" s="44" t="s">
        <v>257</v>
      </c>
      <c r="H15" s="44" t="s">
        <v>257</v>
      </c>
      <c r="I15" s="105" t="s">
        <v>253</v>
      </c>
      <c r="J15" s="105" t="s">
        <v>229</v>
      </c>
      <c r="K15" s="44" t="s">
        <v>230</v>
      </c>
      <c r="L15" s="44" t="s">
        <v>230</v>
      </c>
      <c r="M15" s="44" t="s">
        <v>254</v>
      </c>
      <c r="N15" s="44" t="s">
        <v>257</v>
      </c>
      <c r="O15" s="44" t="s">
        <v>257</v>
      </c>
      <c r="P15" s="44" t="s">
        <v>257</v>
      </c>
      <c r="Q15" s="105" t="s">
        <v>229</v>
      </c>
      <c r="R15" s="44" t="s">
        <v>230</v>
      </c>
      <c r="S15" s="44" t="s">
        <v>144</v>
      </c>
      <c r="T15" s="44" t="s">
        <v>255</v>
      </c>
      <c r="U15" s="44" t="s">
        <v>254</v>
      </c>
      <c r="V15" s="44" t="s">
        <v>257</v>
      </c>
      <c r="W15" s="44" t="s">
        <v>257</v>
      </c>
      <c r="X15" s="44" t="s">
        <v>257</v>
      </c>
      <c r="Y15" s="110" t="s">
        <v>229</v>
      </c>
      <c r="Z15" s="105" t="s">
        <v>253</v>
      </c>
      <c r="AA15" s="44" t="s">
        <v>229</v>
      </c>
      <c r="AB15" s="44" t="s">
        <v>230</v>
      </c>
      <c r="AC15" s="44" t="s">
        <v>254</v>
      </c>
      <c r="AD15" s="44" t="s">
        <v>257</v>
      </c>
      <c r="AE15" s="44" t="s">
        <v>257</v>
      </c>
      <c r="AF15" s="44" t="s">
        <v>257</v>
      </c>
      <c r="AG15" s="105" t="s">
        <v>229</v>
      </c>
      <c r="AH15" s="105" t="s">
        <v>229</v>
      </c>
      <c r="AI15" s="44" t="s">
        <v>230</v>
      </c>
      <c r="AJ15" s="44" t="s">
        <v>256</v>
      </c>
      <c r="AL15" s="50">
        <f>COUNTIF($F15:$AJ15,"ST*")</f>
        <v>4</v>
      </c>
      <c r="AM15" s="50">
        <f>COUNTIF($F15:$AJ15,"M*")</f>
        <v>6</v>
      </c>
      <c r="AN15" s="50">
        <f>COUNTIF($F15:$AJ15,"A*")</f>
        <v>5</v>
      </c>
      <c r="AO15" s="50">
        <f>COUNTIF($F15:$AJ15,"N*")</f>
        <v>3</v>
      </c>
      <c r="AP15" s="50">
        <f>COUNTIF($F15:$AJ15,"O*")</f>
        <v>12</v>
      </c>
    </row>
    <row r="16" spans="2:42" ht="18.75" x14ac:dyDescent="0.25">
      <c r="B16" s="41" t="s">
        <v>247</v>
      </c>
      <c r="C16" s="146" t="s">
        <v>214</v>
      </c>
      <c r="D16" s="147"/>
      <c r="E16" s="97"/>
      <c r="F16" s="51" t="s">
        <v>257</v>
      </c>
      <c r="G16" s="51" t="s">
        <v>257</v>
      </c>
      <c r="H16" s="56" t="s">
        <v>253</v>
      </c>
      <c r="I16" s="56" t="s">
        <v>230</v>
      </c>
      <c r="J16" s="56" t="s">
        <v>230</v>
      </c>
      <c r="K16" s="56" t="s">
        <v>144</v>
      </c>
      <c r="L16" s="56" t="s">
        <v>254</v>
      </c>
      <c r="M16" s="51" t="s">
        <v>257</v>
      </c>
      <c r="N16" s="51" t="s">
        <v>257</v>
      </c>
      <c r="O16" s="51" t="s">
        <v>257</v>
      </c>
      <c r="P16" s="56" t="s">
        <v>229</v>
      </c>
      <c r="Q16" s="51" t="s">
        <v>253</v>
      </c>
      <c r="R16" s="51" t="s">
        <v>230</v>
      </c>
      <c r="S16" s="51" t="s">
        <v>230</v>
      </c>
      <c r="T16" s="51" t="s">
        <v>254</v>
      </c>
      <c r="U16" s="51" t="s">
        <v>257</v>
      </c>
      <c r="V16" s="51" t="s">
        <v>257</v>
      </c>
      <c r="W16" s="51" t="s">
        <v>257</v>
      </c>
      <c r="X16" s="56" t="s">
        <v>229</v>
      </c>
      <c r="Y16" s="51" t="s">
        <v>255</v>
      </c>
      <c r="Z16" s="51" t="s">
        <v>230</v>
      </c>
      <c r="AA16" s="51" t="s">
        <v>256</v>
      </c>
      <c r="AB16" s="51" t="s">
        <v>254</v>
      </c>
      <c r="AC16" s="51" t="s">
        <v>257</v>
      </c>
      <c r="AD16" s="51" t="s">
        <v>257</v>
      </c>
      <c r="AE16" s="51" t="s">
        <v>257</v>
      </c>
      <c r="AF16" s="56" t="s">
        <v>229</v>
      </c>
      <c r="AG16" s="56" t="s">
        <v>253</v>
      </c>
      <c r="AH16" s="56" t="s">
        <v>230</v>
      </c>
      <c r="AI16" s="56" t="s">
        <v>255</v>
      </c>
      <c r="AJ16" s="56" t="s">
        <v>254</v>
      </c>
      <c r="AL16" s="50">
        <f t="shared" ref="AL16:AL29" si="10">COUNTIF($F16:$AJ16,"ST*")</f>
        <v>6</v>
      </c>
      <c r="AM16" s="50">
        <f t="shared" ref="AM16:AM29" si="11">COUNTIF($F16:$AJ16,"M*")</f>
        <v>3</v>
      </c>
      <c r="AN16" s="50">
        <f t="shared" ref="AN16:AN29" si="12">COUNTIF($F16:$AJ16,"A*")</f>
        <v>6</v>
      </c>
      <c r="AO16" s="50">
        <f t="shared" ref="AO16:AO29" si="13">COUNTIF($F16:$AJ16,"N*")</f>
        <v>4</v>
      </c>
      <c r="AP16" s="50">
        <f t="shared" ref="AP16:AP29" si="14">COUNTIF($F16:$AJ16,"O*")</f>
        <v>11</v>
      </c>
    </row>
    <row r="17" spans="2:42" ht="18.75" x14ac:dyDescent="0.25">
      <c r="B17" s="41" t="s">
        <v>247</v>
      </c>
      <c r="C17" s="146" t="s">
        <v>215</v>
      </c>
      <c r="D17" s="147"/>
      <c r="E17" s="97"/>
      <c r="F17" s="51" t="s">
        <v>257</v>
      </c>
      <c r="G17" s="56" t="s">
        <v>253</v>
      </c>
      <c r="H17" s="98" t="s">
        <v>230</v>
      </c>
      <c r="I17" s="51" t="s">
        <v>255</v>
      </c>
      <c r="J17" s="51" t="s">
        <v>230</v>
      </c>
      <c r="K17" s="51" t="s">
        <v>254</v>
      </c>
      <c r="L17" s="51" t="s">
        <v>257</v>
      </c>
      <c r="M17" s="51" t="s">
        <v>257</v>
      </c>
      <c r="N17" s="51" t="s">
        <v>257</v>
      </c>
      <c r="O17" s="56" t="s">
        <v>253</v>
      </c>
      <c r="P17" s="98" t="s">
        <v>229</v>
      </c>
      <c r="Q17" s="51" t="s">
        <v>230</v>
      </c>
      <c r="R17" s="51" t="s">
        <v>254</v>
      </c>
      <c r="S17" s="51" t="s">
        <v>254</v>
      </c>
      <c r="T17" s="51" t="s">
        <v>257</v>
      </c>
      <c r="U17" s="51" t="s">
        <v>257</v>
      </c>
      <c r="V17" s="51" t="s">
        <v>257</v>
      </c>
      <c r="W17" s="56" t="s">
        <v>229</v>
      </c>
      <c r="X17" s="98" t="s">
        <v>229</v>
      </c>
      <c r="Y17" s="51" t="s">
        <v>230</v>
      </c>
      <c r="Z17" s="51" t="s">
        <v>256</v>
      </c>
      <c r="AA17" s="51" t="s">
        <v>254</v>
      </c>
      <c r="AB17" s="51" t="s">
        <v>257</v>
      </c>
      <c r="AC17" s="51" t="s">
        <v>257</v>
      </c>
      <c r="AD17" s="51" t="s">
        <v>257</v>
      </c>
      <c r="AE17" s="56" t="s">
        <v>229</v>
      </c>
      <c r="AF17" s="98" t="s">
        <v>253</v>
      </c>
      <c r="AG17" s="51" t="s">
        <v>230</v>
      </c>
      <c r="AH17" s="51" t="s">
        <v>255</v>
      </c>
      <c r="AI17" s="51" t="s">
        <v>254</v>
      </c>
      <c r="AJ17" s="51" t="s">
        <v>257</v>
      </c>
      <c r="AL17" s="50">
        <f t="shared" si="10"/>
        <v>6</v>
      </c>
      <c r="AM17" s="50">
        <f t="shared" si="11"/>
        <v>4</v>
      </c>
      <c r="AN17" s="50">
        <f t="shared" si="12"/>
        <v>5</v>
      </c>
      <c r="AO17" s="50">
        <f t="shared" si="13"/>
        <v>5</v>
      </c>
      <c r="AP17" s="50">
        <f t="shared" si="14"/>
        <v>11</v>
      </c>
    </row>
    <row r="18" spans="2:42" ht="18.75" x14ac:dyDescent="0.25">
      <c r="B18" s="41" t="s">
        <v>247</v>
      </c>
      <c r="C18" s="146" t="s">
        <v>216</v>
      </c>
      <c r="D18" s="147"/>
      <c r="E18" s="97"/>
      <c r="F18" s="56" t="s">
        <v>229</v>
      </c>
      <c r="G18" s="98" t="s">
        <v>229</v>
      </c>
      <c r="H18" s="51" t="s">
        <v>255</v>
      </c>
      <c r="I18" s="51" t="s">
        <v>254</v>
      </c>
      <c r="J18" s="51" t="s">
        <v>254</v>
      </c>
      <c r="K18" s="51" t="s">
        <v>257</v>
      </c>
      <c r="L18" s="51" t="s">
        <v>257</v>
      </c>
      <c r="M18" s="51" t="s">
        <v>257</v>
      </c>
      <c r="N18" s="56" t="s">
        <v>229</v>
      </c>
      <c r="O18" s="98" t="s">
        <v>230</v>
      </c>
      <c r="P18" s="51" t="s">
        <v>230</v>
      </c>
      <c r="Q18" s="51" t="s">
        <v>254</v>
      </c>
      <c r="R18" s="51" t="s">
        <v>229</v>
      </c>
      <c r="S18" s="51" t="s">
        <v>257</v>
      </c>
      <c r="T18" s="51" t="s">
        <v>257</v>
      </c>
      <c r="U18" s="51" t="s">
        <v>257</v>
      </c>
      <c r="V18" s="51" t="s">
        <v>229</v>
      </c>
      <c r="W18" s="98" t="s">
        <v>255</v>
      </c>
      <c r="X18" s="51" t="s">
        <v>230</v>
      </c>
      <c r="Y18" s="51" t="s">
        <v>256</v>
      </c>
      <c r="Z18" s="51" t="s">
        <v>254</v>
      </c>
      <c r="AA18" s="51" t="s">
        <v>257</v>
      </c>
      <c r="AB18" s="51" t="s">
        <v>257</v>
      </c>
      <c r="AC18" s="51" t="s">
        <v>257</v>
      </c>
      <c r="AD18" s="56" t="s">
        <v>229</v>
      </c>
      <c r="AE18" s="98" t="s">
        <v>253</v>
      </c>
      <c r="AF18" s="51" t="s">
        <v>230</v>
      </c>
      <c r="AG18" s="51" t="s">
        <v>255</v>
      </c>
      <c r="AH18" s="51" t="s">
        <v>254</v>
      </c>
      <c r="AI18" s="51" t="s">
        <v>257</v>
      </c>
      <c r="AJ18" s="51" t="s">
        <v>257</v>
      </c>
      <c r="AL18" s="50">
        <f t="shared" si="10"/>
        <v>5</v>
      </c>
      <c r="AM18" s="50">
        <f t="shared" si="11"/>
        <v>6</v>
      </c>
      <c r="AN18" s="50">
        <f t="shared" si="12"/>
        <v>4</v>
      </c>
      <c r="AO18" s="50">
        <f t="shared" si="13"/>
        <v>5</v>
      </c>
      <c r="AP18" s="50">
        <f t="shared" si="14"/>
        <v>11</v>
      </c>
    </row>
    <row r="19" spans="2:42" ht="18.75" x14ac:dyDescent="0.25">
      <c r="B19" s="41" t="s">
        <v>247</v>
      </c>
      <c r="C19" s="146" t="s">
        <v>217</v>
      </c>
      <c r="D19" s="147"/>
      <c r="E19" s="97"/>
      <c r="F19" s="98" t="s">
        <v>229</v>
      </c>
      <c r="G19" s="51" t="s">
        <v>255</v>
      </c>
      <c r="H19" s="51" t="s">
        <v>254</v>
      </c>
      <c r="I19" s="51" t="s">
        <v>254</v>
      </c>
      <c r="J19" s="51" t="s">
        <v>257</v>
      </c>
      <c r="K19" s="51" t="s">
        <v>257</v>
      </c>
      <c r="L19" s="51" t="s">
        <v>257</v>
      </c>
      <c r="M19" s="56" t="s">
        <v>229</v>
      </c>
      <c r="N19" s="98" t="s">
        <v>230</v>
      </c>
      <c r="O19" s="51" t="s">
        <v>230</v>
      </c>
      <c r="P19" s="51" t="s">
        <v>254</v>
      </c>
      <c r="Q19" s="51" t="s">
        <v>254</v>
      </c>
      <c r="R19" s="51" t="s">
        <v>257</v>
      </c>
      <c r="S19" s="51" t="s">
        <v>257</v>
      </c>
      <c r="T19" s="51" t="s">
        <v>257</v>
      </c>
      <c r="U19" s="56" t="s">
        <v>229</v>
      </c>
      <c r="V19" s="98" t="s">
        <v>253</v>
      </c>
      <c r="W19" s="51" t="s">
        <v>230</v>
      </c>
      <c r="X19" s="51" t="s">
        <v>255</v>
      </c>
      <c r="Y19" s="51" t="s">
        <v>254</v>
      </c>
      <c r="Z19" s="51" t="s">
        <v>257</v>
      </c>
      <c r="AA19" s="51" t="s">
        <v>257</v>
      </c>
      <c r="AB19" s="51" t="s">
        <v>257</v>
      </c>
      <c r="AC19" s="56" t="s">
        <v>229</v>
      </c>
      <c r="AD19" s="98" t="s">
        <v>230</v>
      </c>
      <c r="AE19" s="51" t="s">
        <v>230</v>
      </c>
      <c r="AF19" s="51" t="s">
        <v>254</v>
      </c>
      <c r="AG19" s="51" t="s">
        <v>254</v>
      </c>
      <c r="AH19" s="51" t="s">
        <v>257</v>
      </c>
      <c r="AI19" s="51" t="s">
        <v>257</v>
      </c>
      <c r="AJ19" s="51" t="s">
        <v>257</v>
      </c>
      <c r="AL19" s="50">
        <f t="shared" si="10"/>
        <v>3</v>
      </c>
      <c r="AM19" s="50">
        <f t="shared" si="11"/>
        <v>4</v>
      </c>
      <c r="AN19" s="50">
        <f t="shared" si="12"/>
        <v>5</v>
      </c>
      <c r="AO19" s="50">
        <f t="shared" si="13"/>
        <v>7</v>
      </c>
      <c r="AP19" s="50">
        <f t="shared" si="14"/>
        <v>12</v>
      </c>
    </row>
    <row r="20" spans="2:42" ht="18.75" x14ac:dyDescent="0.25">
      <c r="B20" s="41" t="s">
        <v>247</v>
      </c>
      <c r="C20" s="146" t="s">
        <v>218</v>
      </c>
      <c r="D20" s="147"/>
      <c r="E20" s="97"/>
      <c r="F20" s="51" t="s">
        <v>230</v>
      </c>
      <c r="G20" s="51" t="s">
        <v>230</v>
      </c>
      <c r="H20" s="51" t="s">
        <v>254</v>
      </c>
      <c r="I20" s="51" t="s">
        <v>257</v>
      </c>
      <c r="J20" s="51" t="s">
        <v>257</v>
      </c>
      <c r="K20" s="51" t="s">
        <v>257</v>
      </c>
      <c r="L20" s="98" t="s">
        <v>229</v>
      </c>
      <c r="M20" s="51" t="s">
        <v>229</v>
      </c>
      <c r="N20" s="51" t="s">
        <v>230</v>
      </c>
      <c r="O20" s="51" t="s">
        <v>256</v>
      </c>
      <c r="P20" s="51" t="s">
        <v>254</v>
      </c>
      <c r="Q20" s="51" t="s">
        <v>257</v>
      </c>
      <c r="R20" s="51" t="s">
        <v>257</v>
      </c>
      <c r="S20" s="51" t="s">
        <v>257</v>
      </c>
      <c r="T20" s="56" t="s">
        <v>229</v>
      </c>
      <c r="U20" s="98" t="s">
        <v>253</v>
      </c>
      <c r="V20" s="51" t="s">
        <v>230</v>
      </c>
      <c r="W20" s="51" t="s">
        <v>255</v>
      </c>
      <c r="X20" s="51" t="s">
        <v>254</v>
      </c>
      <c r="Y20" s="51" t="s">
        <v>257</v>
      </c>
      <c r="Z20" s="51" t="s">
        <v>257</v>
      </c>
      <c r="AA20" s="51" t="s">
        <v>257</v>
      </c>
      <c r="AB20" s="98" t="s">
        <v>258</v>
      </c>
      <c r="AC20" s="51" t="s">
        <v>258</v>
      </c>
      <c r="AD20" s="51" t="s">
        <v>258</v>
      </c>
      <c r="AE20" s="51" t="s">
        <v>258</v>
      </c>
      <c r="AF20" s="51" t="s">
        <v>258</v>
      </c>
      <c r="AG20" s="51" t="s">
        <v>258</v>
      </c>
      <c r="AH20" s="51" t="s">
        <v>257</v>
      </c>
      <c r="AI20" s="51" t="s">
        <v>257</v>
      </c>
      <c r="AJ20" s="98" t="s">
        <v>229</v>
      </c>
      <c r="AL20" s="50">
        <f t="shared" si="10"/>
        <v>3</v>
      </c>
      <c r="AM20" s="50">
        <f t="shared" si="11"/>
        <v>4</v>
      </c>
      <c r="AN20" s="50">
        <f t="shared" si="12"/>
        <v>4</v>
      </c>
      <c r="AO20" s="50">
        <f t="shared" si="13"/>
        <v>3</v>
      </c>
      <c r="AP20" s="50">
        <f t="shared" si="14"/>
        <v>11</v>
      </c>
    </row>
    <row r="21" spans="2:42" ht="18.75" x14ac:dyDescent="0.25">
      <c r="B21" s="41" t="s">
        <v>247</v>
      </c>
      <c r="C21" s="146" t="s">
        <v>219</v>
      </c>
      <c r="D21" s="147"/>
      <c r="E21" s="97"/>
      <c r="F21" s="51" t="s">
        <v>256</v>
      </c>
      <c r="G21" s="51" t="s">
        <v>254</v>
      </c>
      <c r="H21" s="51" t="s">
        <v>257</v>
      </c>
      <c r="I21" s="51" t="s">
        <v>257</v>
      </c>
      <c r="J21" s="51" t="s">
        <v>257</v>
      </c>
      <c r="K21" s="56" t="s">
        <v>229</v>
      </c>
      <c r="L21" s="56" t="s">
        <v>253</v>
      </c>
      <c r="M21" s="56" t="s">
        <v>230</v>
      </c>
      <c r="N21" s="56" t="s">
        <v>254</v>
      </c>
      <c r="O21" s="56" t="s">
        <v>254</v>
      </c>
      <c r="P21" s="51" t="s">
        <v>257</v>
      </c>
      <c r="Q21" s="51" t="s">
        <v>257</v>
      </c>
      <c r="R21" s="51" t="s">
        <v>257</v>
      </c>
      <c r="S21" s="56" t="s">
        <v>229</v>
      </c>
      <c r="T21" s="98" t="s">
        <v>230</v>
      </c>
      <c r="U21" s="51" t="s">
        <v>255</v>
      </c>
      <c r="V21" s="51" t="s">
        <v>254</v>
      </c>
      <c r="W21" s="51" t="s">
        <v>254</v>
      </c>
      <c r="X21" s="51" t="s">
        <v>257</v>
      </c>
      <c r="Y21" s="51" t="s">
        <v>257</v>
      </c>
      <c r="Z21" s="51" t="s">
        <v>257</v>
      </c>
      <c r="AA21" s="98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257</v>
      </c>
      <c r="AH21" s="51" t="s">
        <v>257</v>
      </c>
      <c r="AI21" s="56" t="s">
        <v>229</v>
      </c>
      <c r="AJ21" s="56" t="s">
        <v>253</v>
      </c>
      <c r="AL21" s="50">
        <f t="shared" si="10"/>
        <v>4</v>
      </c>
      <c r="AM21" s="50">
        <f t="shared" si="11"/>
        <v>3</v>
      </c>
      <c r="AN21" s="50">
        <f t="shared" si="12"/>
        <v>2</v>
      </c>
      <c r="AO21" s="50">
        <f t="shared" si="13"/>
        <v>5</v>
      </c>
      <c r="AP21" s="50">
        <f t="shared" si="14"/>
        <v>11</v>
      </c>
    </row>
    <row r="22" spans="2:42" ht="18.75" x14ac:dyDescent="0.25">
      <c r="B22" s="41" t="s">
        <v>247</v>
      </c>
      <c r="C22" s="146" t="s">
        <v>220</v>
      </c>
      <c r="D22" s="147"/>
      <c r="E22" s="97"/>
      <c r="F22" s="56" t="s">
        <v>254</v>
      </c>
      <c r="G22" s="51" t="s">
        <v>257</v>
      </c>
      <c r="H22" s="51" t="s">
        <v>257</v>
      </c>
      <c r="I22" s="51" t="s">
        <v>257</v>
      </c>
      <c r="J22" s="98" t="s">
        <v>258</v>
      </c>
      <c r="K22" s="98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257</v>
      </c>
      <c r="Q22" s="51" t="s">
        <v>257</v>
      </c>
      <c r="R22" s="98" t="s">
        <v>229</v>
      </c>
      <c r="S22" s="98" t="s">
        <v>253</v>
      </c>
      <c r="T22" s="51" t="s">
        <v>230</v>
      </c>
      <c r="U22" s="51" t="s">
        <v>256</v>
      </c>
      <c r="V22" s="51" t="s">
        <v>254</v>
      </c>
      <c r="W22" s="51" t="s">
        <v>257</v>
      </c>
      <c r="X22" s="51" t="s">
        <v>257</v>
      </c>
      <c r="Y22" s="51" t="s">
        <v>257</v>
      </c>
      <c r="Z22" s="56" t="s">
        <v>229</v>
      </c>
      <c r="AA22" s="56" t="s">
        <v>253</v>
      </c>
      <c r="AB22" s="56" t="s">
        <v>230</v>
      </c>
      <c r="AC22" s="56" t="s">
        <v>230</v>
      </c>
      <c r="AD22" s="56" t="s">
        <v>254</v>
      </c>
      <c r="AE22" s="51" t="s">
        <v>257</v>
      </c>
      <c r="AF22" s="51" t="s">
        <v>257</v>
      </c>
      <c r="AG22" s="51" t="s">
        <v>257</v>
      </c>
      <c r="AH22" s="98" t="s">
        <v>229</v>
      </c>
      <c r="AI22" s="98" t="s">
        <v>253</v>
      </c>
      <c r="AJ22" s="51" t="s">
        <v>230</v>
      </c>
      <c r="AL22" s="50">
        <f t="shared" si="10"/>
        <v>4</v>
      </c>
      <c r="AM22" s="50">
        <f t="shared" si="11"/>
        <v>3</v>
      </c>
      <c r="AN22" s="50">
        <f t="shared" si="12"/>
        <v>4</v>
      </c>
      <c r="AO22" s="50">
        <f t="shared" si="13"/>
        <v>3</v>
      </c>
      <c r="AP22" s="50">
        <f t="shared" si="14"/>
        <v>11</v>
      </c>
    </row>
    <row r="23" spans="2:42" ht="18.75" x14ac:dyDescent="0.25">
      <c r="B23" s="41" t="s">
        <v>247</v>
      </c>
      <c r="C23" s="146" t="s">
        <v>221</v>
      </c>
      <c r="D23" s="147"/>
      <c r="E23" s="97"/>
      <c r="F23" s="56" t="s">
        <v>257</v>
      </c>
      <c r="G23" s="56" t="s">
        <v>257</v>
      </c>
      <c r="H23" s="56" t="s">
        <v>257</v>
      </c>
      <c r="I23" s="56" t="s">
        <v>229</v>
      </c>
      <c r="J23" s="56" t="s">
        <v>229</v>
      </c>
      <c r="K23" s="56" t="s">
        <v>230</v>
      </c>
      <c r="L23" s="56" t="s">
        <v>230</v>
      </c>
      <c r="M23" s="56" t="s">
        <v>254</v>
      </c>
      <c r="N23" s="51" t="s">
        <v>257</v>
      </c>
      <c r="O23" s="51" t="s">
        <v>257</v>
      </c>
      <c r="P23" s="51" t="s">
        <v>257</v>
      </c>
      <c r="Q23" s="98" t="s">
        <v>144</v>
      </c>
      <c r="R23" s="98" t="s">
        <v>253</v>
      </c>
      <c r="S23" s="51" t="s">
        <v>230</v>
      </c>
      <c r="T23" s="51" t="s">
        <v>256</v>
      </c>
      <c r="U23" s="51" t="s">
        <v>254</v>
      </c>
      <c r="V23" s="51" t="s">
        <v>257</v>
      </c>
      <c r="W23" s="51" t="s">
        <v>257</v>
      </c>
      <c r="X23" s="51" t="s">
        <v>257</v>
      </c>
      <c r="Y23" s="56" t="s">
        <v>253</v>
      </c>
      <c r="Z23" s="56" t="s">
        <v>229</v>
      </c>
      <c r="AA23" s="56" t="s">
        <v>230</v>
      </c>
      <c r="AB23" s="56" t="s">
        <v>255</v>
      </c>
      <c r="AC23" s="56" t="s">
        <v>254</v>
      </c>
      <c r="AD23" s="56" t="s">
        <v>257</v>
      </c>
      <c r="AE23" s="56" t="s">
        <v>257</v>
      </c>
      <c r="AF23" s="56" t="s">
        <v>257</v>
      </c>
      <c r="AG23" s="56" t="s">
        <v>258</v>
      </c>
      <c r="AH23" s="56" t="s">
        <v>258</v>
      </c>
      <c r="AI23" s="56" t="s">
        <v>258</v>
      </c>
      <c r="AJ23" s="56" t="s">
        <v>258</v>
      </c>
      <c r="AL23" s="50">
        <f t="shared" si="10"/>
        <v>4</v>
      </c>
      <c r="AM23" s="50">
        <f t="shared" si="11"/>
        <v>3</v>
      </c>
      <c r="AN23" s="50">
        <f t="shared" si="12"/>
        <v>4</v>
      </c>
      <c r="AO23" s="50">
        <f t="shared" si="13"/>
        <v>3</v>
      </c>
      <c r="AP23" s="50">
        <f t="shared" si="14"/>
        <v>12</v>
      </c>
    </row>
    <row r="24" spans="2:42" ht="18.75" x14ac:dyDescent="0.25">
      <c r="B24" s="41" t="s">
        <v>247</v>
      </c>
      <c r="C24" s="146" t="s">
        <v>145</v>
      </c>
      <c r="D24" s="147"/>
      <c r="E24" s="97"/>
      <c r="F24" s="51" t="s">
        <v>257</v>
      </c>
      <c r="G24" s="51" t="s">
        <v>257</v>
      </c>
      <c r="H24" s="56" t="s">
        <v>229</v>
      </c>
      <c r="I24" s="98" t="s">
        <v>229</v>
      </c>
      <c r="J24" s="51" t="s">
        <v>253</v>
      </c>
      <c r="K24" s="51" t="s">
        <v>144</v>
      </c>
      <c r="L24" s="51" t="s">
        <v>254</v>
      </c>
      <c r="M24" s="51" t="s">
        <v>257</v>
      </c>
      <c r="N24" s="51" t="s">
        <v>257</v>
      </c>
      <c r="O24" s="51" t="s">
        <v>257</v>
      </c>
      <c r="P24" s="56" t="s">
        <v>253</v>
      </c>
      <c r="Q24" s="51" t="s">
        <v>229</v>
      </c>
      <c r="R24" s="51" t="s">
        <v>255</v>
      </c>
      <c r="S24" s="51" t="s">
        <v>254</v>
      </c>
      <c r="T24" s="51" t="s">
        <v>254</v>
      </c>
      <c r="U24" s="51" t="s">
        <v>257</v>
      </c>
      <c r="V24" s="51" t="s">
        <v>257</v>
      </c>
      <c r="W24" s="51" t="s">
        <v>257</v>
      </c>
      <c r="X24" s="56" t="s">
        <v>253</v>
      </c>
      <c r="Y24" s="98" t="s">
        <v>253</v>
      </c>
      <c r="Z24" s="98" t="s">
        <v>230</v>
      </c>
      <c r="AA24" s="51" t="s">
        <v>230</v>
      </c>
      <c r="AB24" s="51" t="s">
        <v>254</v>
      </c>
      <c r="AC24" s="51" t="s">
        <v>257</v>
      </c>
      <c r="AD24" s="51" t="s">
        <v>257</v>
      </c>
      <c r="AE24" s="51" t="s">
        <v>257</v>
      </c>
      <c r="AF24" s="56" t="s">
        <v>229</v>
      </c>
      <c r="AG24" s="98" t="s">
        <v>229</v>
      </c>
      <c r="AH24" s="51" t="s">
        <v>230</v>
      </c>
      <c r="AI24" s="51" t="s">
        <v>230</v>
      </c>
      <c r="AJ24" s="51" t="s">
        <v>254</v>
      </c>
      <c r="AL24" s="50">
        <f t="shared" si="10"/>
        <v>5</v>
      </c>
      <c r="AM24" s="50">
        <f t="shared" si="11"/>
        <v>5</v>
      </c>
      <c r="AN24" s="50">
        <f t="shared" si="12"/>
        <v>4</v>
      </c>
      <c r="AO24" s="50">
        <f t="shared" si="13"/>
        <v>5</v>
      </c>
      <c r="AP24" s="50">
        <f t="shared" si="14"/>
        <v>11</v>
      </c>
    </row>
    <row r="25" spans="2:42" ht="18.75" x14ac:dyDescent="0.25">
      <c r="B25" s="41" t="s">
        <v>247</v>
      </c>
      <c r="C25" s="146" t="s">
        <v>147</v>
      </c>
      <c r="D25" s="147"/>
      <c r="E25" s="97"/>
      <c r="F25" s="51" t="s">
        <v>257</v>
      </c>
      <c r="G25" s="56" t="s">
        <v>229</v>
      </c>
      <c r="H25" s="98" t="s">
        <v>229</v>
      </c>
      <c r="I25" s="51" t="s">
        <v>230</v>
      </c>
      <c r="J25" s="51" t="s">
        <v>254</v>
      </c>
      <c r="K25" s="51" t="s">
        <v>254</v>
      </c>
      <c r="L25" s="51" t="s">
        <v>257</v>
      </c>
      <c r="M25" s="51" t="s">
        <v>257</v>
      </c>
      <c r="N25" s="51" t="s">
        <v>257</v>
      </c>
      <c r="O25" s="56" t="s">
        <v>229</v>
      </c>
      <c r="P25" s="98" t="s">
        <v>255</v>
      </c>
      <c r="Q25" s="51" t="s">
        <v>230</v>
      </c>
      <c r="R25" s="51" t="s">
        <v>256</v>
      </c>
      <c r="S25" s="51" t="s">
        <v>144</v>
      </c>
      <c r="T25" s="51" t="s">
        <v>257</v>
      </c>
      <c r="U25" s="51" t="s">
        <v>257</v>
      </c>
      <c r="V25" s="51" t="s">
        <v>257</v>
      </c>
      <c r="W25" s="98" t="s">
        <v>229</v>
      </c>
      <c r="X25" s="98" t="s">
        <v>253</v>
      </c>
      <c r="Y25" s="98" t="s">
        <v>229</v>
      </c>
      <c r="Z25" s="51" t="s">
        <v>255</v>
      </c>
      <c r="AA25" s="51" t="s">
        <v>254</v>
      </c>
      <c r="AB25" s="51" t="s">
        <v>257</v>
      </c>
      <c r="AC25" s="51" t="s">
        <v>257</v>
      </c>
      <c r="AD25" s="51" t="s">
        <v>257</v>
      </c>
      <c r="AE25" s="56" t="s">
        <v>229</v>
      </c>
      <c r="AF25" s="98" t="s">
        <v>255</v>
      </c>
      <c r="AG25" s="51" t="s">
        <v>230</v>
      </c>
      <c r="AH25" s="51" t="s">
        <v>256</v>
      </c>
      <c r="AI25" s="51" t="s">
        <v>254</v>
      </c>
      <c r="AJ25" s="51" t="s">
        <v>257</v>
      </c>
      <c r="AL25" s="50">
        <f t="shared" si="10"/>
        <v>6</v>
      </c>
      <c r="AM25" s="50">
        <f t="shared" si="11"/>
        <v>6</v>
      </c>
      <c r="AN25" s="50">
        <f t="shared" si="12"/>
        <v>3</v>
      </c>
      <c r="AO25" s="50">
        <f t="shared" si="13"/>
        <v>4</v>
      </c>
      <c r="AP25" s="50">
        <f t="shared" si="14"/>
        <v>11</v>
      </c>
    </row>
    <row r="26" spans="2:42" ht="18.75" x14ac:dyDescent="0.25">
      <c r="B26" s="41" t="s">
        <v>247</v>
      </c>
      <c r="C26" s="146" t="s">
        <v>170</v>
      </c>
      <c r="D26" s="147"/>
      <c r="E26" s="97"/>
      <c r="F26" s="56" t="s">
        <v>258</v>
      </c>
      <c r="G26" s="98" t="s">
        <v>258</v>
      </c>
      <c r="H26" s="51" t="s">
        <v>230</v>
      </c>
      <c r="I26" s="51" t="s">
        <v>256</v>
      </c>
      <c r="J26" s="51" t="s">
        <v>256</v>
      </c>
      <c r="K26" s="51" t="s">
        <v>257</v>
      </c>
      <c r="L26" s="51" t="s">
        <v>257</v>
      </c>
      <c r="M26" s="51" t="s">
        <v>257</v>
      </c>
      <c r="N26" s="56" t="s">
        <v>229</v>
      </c>
      <c r="O26" s="98" t="s">
        <v>229</v>
      </c>
      <c r="P26" s="51" t="s">
        <v>230</v>
      </c>
      <c r="Q26" s="51" t="s">
        <v>144</v>
      </c>
      <c r="R26" s="51" t="s">
        <v>254</v>
      </c>
      <c r="S26" s="51" t="s">
        <v>257</v>
      </c>
      <c r="T26" s="51" t="s">
        <v>257</v>
      </c>
      <c r="U26" s="51" t="s">
        <v>257</v>
      </c>
      <c r="V26" s="56" t="s">
        <v>229</v>
      </c>
      <c r="W26" s="56" t="s">
        <v>253</v>
      </c>
      <c r="X26" s="56" t="s">
        <v>230</v>
      </c>
      <c r="Y26" s="56" t="s">
        <v>230</v>
      </c>
      <c r="Z26" s="56" t="s">
        <v>254</v>
      </c>
      <c r="AA26" s="51" t="s">
        <v>257</v>
      </c>
      <c r="AB26" s="51" t="s">
        <v>257</v>
      </c>
      <c r="AC26" s="51" t="s">
        <v>257</v>
      </c>
      <c r="AD26" s="56" t="s">
        <v>229</v>
      </c>
      <c r="AE26" s="98" t="s">
        <v>255</v>
      </c>
      <c r="AF26" s="51" t="s">
        <v>230</v>
      </c>
      <c r="AG26" s="51" t="s">
        <v>256</v>
      </c>
      <c r="AH26" s="51" t="s">
        <v>254</v>
      </c>
      <c r="AI26" s="51" t="s">
        <v>257</v>
      </c>
      <c r="AJ26" s="51" t="s">
        <v>257</v>
      </c>
      <c r="AL26" s="50">
        <f t="shared" si="10"/>
        <v>5</v>
      </c>
      <c r="AM26" s="50">
        <f t="shared" si="11"/>
        <v>4</v>
      </c>
      <c r="AN26" s="50">
        <f t="shared" si="12"/>
        <v>5</v>
      </c>
      <c r="AO26" s="50">
        <f t="shared" si="13"/>
        <v>3</v>
      </c>
      <c r="AP26" s="50">
        <f t="shared" si="14"/>
        <v>11</v>
      </c>
    </row>
    <row r="27" spans="2:42" ht="18.75" x14ac:dyDescent="0.25">
      <c r="B27" s="41" t="s">
        <v>247</v>
      </c>
      <c r="C27" s="146" t="s">
        <v>222</v>
      </c>
      <c r="D27" s="147"/>
      <c r="E27" s="97"/>
      <c r="F27" s="98" t="s">
        <v>258</v>
      </c>
      <c r="G27" s="98" t="s">
        <v>258</v>
      </c>
      <c r="H27" s="98" t="s">
        <v>258</v>
      </c>
      <c r="I27" s="98" t="s">
        <v>258</v>
      </c>
      <c r="J27" s="98" t="s">
        <v>258</v>
      </c>
      <c r="K27" s="98" t="s">
        <v>258</v>
      </c>
      <c r="L27" s="98" t="s">
        <v>258</v>
      </c>
      <c r="M27" s="98" t="s">
        <v>258</v>
      </c>
      <c r="N27" s="98" t="s">
        <v>258</v>
      </c>
      <c r="O27" s="98" t="s">
        <v>258</v>
      </c>
      <c r="P27" s="98" t="s">
        <v>258</v>
      </c>
      <c r="Q27" s="98" t="s">
        <v>258</v>
      </c>
      <c r="R27" s="98" t="s">
        <v>258</v>
      </c>
      <c r="S27" s="51" t="s">
        <v>257</v>
      </c>
      <c r="T27" s="51" t="s">
        <v>257</v>
      </c>
      <c r="U27" s="56" t="s">
        <v>229</v>
      </c>
      <c r="V27" s="98" t="s">
        <v>255</v>
      </c>
      <c r="W27" s="51" t="s">
        <v>230</v>
      </c>
      <c r="X27" s="51" t="s">
        <v>256</v>
      </c>
      <c r="Y27" s="51" t="s">
        <v>254</v>
      </c>
      <c r="Z27" s="51" t="s">
        <v>257</v>
      </c>
      <c r="AA27" s="51" t="s">
        <v>257</v>
      </c>
      <c r="AB27" s="51" t="s">
        <v>257</v>
      </c>
      <c r="AC27" s="98" t="s">
        <v>229</v>
      </c>
      <c r="AD27" s="98" t="s">
        <v>253</v>
      </c>
      <c r="AE27" s="51" t="s">
        <v>230</v>
      </c>
      <c r="AF27" s="51" t="s">
        <v>256</v>
      </c>
      <c r="AG27" s="51" t="s">
        <v>254</v>
      </c>
      <c r="AH27" s="51" t="s">
        <v>257</v>
      </c>
      <c r="AI27" s="51" t="s">
        <v>257</v>
      </c>
      <c r="AJ27" s="51" t="s">
        <v>257</v>
      </c>
      <c r="AL27" s="50">
        <f t="shared" si="10"/>
        <v>4</v>
      </c>
      <c r="AM27" s="50">
        <f t="shared" si="11"/>
        <v>2</v>
      </c>
      <c r="AN27" s="50">
        <f t="shared" si="12"/>
        <v>2</v>
      </c>
      <c r="AO27" s="50">
        <f t="shared" si="13"/>
        <v>2</v>
      </c>
      <c r="AP27" s="50">
        <f t="shared" si="14"/>
        <v>8</v>
      </c>
    </row>
    <row r="28" spans="2:42" ht="18.75" x14ac:dyDescent="0.25">
      <c r="B28" s="41" t="s">
        <v>247</v>
      </c>
      <c r="C28" s="146" t="s">
        <v>223</v>
      </c>
      <c r="D28" s="147"/>
      <c r="E28" s="97"/>
      <c r="F28" s="51" t="s">
        <v>230</v>
      </c>
      <c r="G28" s="51" t="s">
        <v>230</v>
      </c>
      <c r="H28" s="51" t="s">
        <v>256</v>
      </c>
      <c r="I28" s="51" t="s">
        <v>257</v>
      </c>
      <c r="J28" s="51" t="s">
        <v>257</v>
      </c>
      <c r="K28" s="51" t="s">
        <v>257</v>
      </c>
      <c r="L28" s="98" t="s">
        <v>258</v>
      </c>
      <c r="M28" s="98" t="s">
        <v>258</v>
      </c>
      <c r="N28" s="51" t="s">
        <v>258</v>
      </c>
      <c r="O28" s="51" t="s">
        <v>258</v>
      </c>
      <c r="P28" s="51" t="s">
        <v>258</v>
      </c>
      <c r="Q28" s="51" t="s">
        <v>257</v>
      </c>
      <c r="R28" s="51" t="s">
        <v>257</v>
      </c>
      <c r="S28" s="51" t="s">
        <v>257</v>
      </c>
      <c r="T28" s="56" t="s">
        <v>229</v>
      </c>
      <c r="U28" s="98" t="s">
        <v>230</v>
      </c>
      <c r="V28" s="51" t="s">
        <v>230</v>
      </c>
      <c r="W28" s="51" t="s">
        <v>256</v>
      </c>
      <c r="X28" s="51" t="s">
        <v>254</v>
      </c>
      <c r="Y28" s="51" t="s">
        <v>257</v>
      </c>
      <c r="Z28" s="51" t="s">
        <v>257</v>
      </c>
      <c r="AA28" s="51" t="s">
        <v>257</v>
      </c>
      <c r="AB28" s="98" t="s">
        <v>229</v>
      </c>
      <c r="AC28" s="98" t="s">
        <v>253</v>
      </c>
      <c r="AD28" s="51" t="s">
        <v>230</v>
      </c>
      <c r="AE28" s="51" t="s">
        <v>254</v>
      </c>
      <c r="AF28" s="51" t="s">
        <v>254</v>
      </c>
      <c r="AG28" s="51" t="s">
        <v>257</v>
      </c>
      <c r="AH28" s="51" t="s">
        <v>257</v>
      </c>
      <c r="AI28" s="51" t="s">
        <v>257</v>
      </c>
      <c r="AJ28" s="98" t="s">
        <v>229</v>
      </c>
      <c r="AL28" s="50">
        <f t="shared" si="10"/>
        <v>3</v>
      </c>
      <c r="AM28" s="50">
        <f t="shared" si="11"/>
        <v>3</v>
      </c>
      <c r="AN28" s="50">
        <f t="shared" si="12"/>
        <v>5</v>
      </c>
      <c r="AO28" s="50">
        <f t="shared" si="13"/>
        <v>3</v>
      </c>
      <c r="AP28" s="50">
        <f t="shared" si="14"/>
        <v>12</v>
      </c>
    </row>
    <row r="29" spans="2:42" ht="19.5" thickBot="1" x14ac:dyDescent="0.3">
      <c r="B29" s="41" t="s">
        <v>247</v>
      </c>
      <c r="C29" s="149" t="s">
        <v>224</v>
      </c>
      <c r="D29" s="150"/>
      <c r="E29" s="97"/>
      <c r="F29" s="64" t="s">
        <v>254</v>
      </c>
      <c r="G29" s="64" t="s">
        <v>254</v>
      </c>
      <c r="H29" s="64" t="s">
        <v>257</v>
      </c>
      <c r="I29" s="64" t="s">
        <v>257</v>
      </c>
      <c r="J29" s="64" t="s">
        <v>257</v>
      </c>
      <c r="K29" s="106" t="s">
        <v>229</v>
      </c>
      <c r="L29" s="64" t="s">
        <v>229</v>
      </c>
      <c r="M29" s="64" t="s">
        <v>230</v>
      </c>
      <c r="N29" s="64" t="s">
        <v>254</v>
      </c>
      <c r="O29" s="64" t="s">
        <v>254</v>
      </c>
      <c r="P29" s="64" t="s">
        <v>257</v>
      </c>
      <c r="Q29" s="64" t="s">
        <v>257</v>
      </c>
      <c r="R29" s="64" t="s">
        <v>257</v>
      </c>
      <c r="S29" s="106" t="s">
        <v>229</v>
      </c>
      <c r="T29" s="106" t="s">
        <v>253</v>
      </c>
      <c r="U29" s="64" t="s">
        <v>230</v>
      </c>
      <c r="V29" s="64" t="s">
        <v>256</v>
      </c>
      <c r="W29" s="64" t="s">
        <v>254</v>
      </c>
      <c r="X29" s="64" t="s">
        <v>257</v>
      </c>
      <c r="Y29" s="64" t="s">
        <v>257</v>
      </c>
      <c r="Z29" s="64" t="s">
        <v>257</v>
      </c>
      <c r="AA29" s="64" t="s">
        <v>229</v>
      </c>
      <c r="AB29" s="64" t="s">
        <v>229</v>
      </c>
      <c r="AC29" s="64" t="s">
        <v>230</v>
      </c>
      <c r="AD29" s="64" t="s">
        <v>254</v>
      </c>
      <c r="AE29" s="64" t="s">
        <v>254</v>
      </c>
      <c r="AF29" s="64" t="s">
        <v>257</v>
      </c>
      <c r="AG29" s="64" t="s">
        <v>257</v>
      </c>
      <c r="AH29" s="64" t="s">
        <v>257</v>
      </c>
      <c r="AI29" s="106" t="s">
        <v>229</v>
      </c>
      <c r="AJ29" s="64" t="s">
        <v>230</v>
      </c>
      <c r="AL29" s="50">
        <f t="shared" si="10"/>
        <v>2</v>
      </c>
      <c r="AM29" s="50">
        <f t="shared" si="11"/>
        <v>6</v>
      </c>
      <c r="AN29" s="50">
        <f t="shared" si="12"/>
        <v>4</v>
      </c>
      <c r="AO29" s="50">
        <f t="shared" si="13"/>
        <v>7</v>
      </c>
      <c r="AP29" s="50">
        <f t="shared" si="14"/>
        <v>12</v>
      </c>
    </row>
    <row r="30" spans="2:42" ht="18.75" x14ac:dyDescent="0.25">
      <c r="B30" s="37" t="s">
        <v>248</v>
      </c>
      <c r="C30" s="145" t="s">
        <v>146</v>
      </c>
      <c r="D30" s="145"/>
      <c r="E30" s="69"/>
      <c r="F30" s="44" t="s">
        <v>257</v>
      </c>
      <c r="G30" s="44" t="s">
        <v>257</v>
      </c>
      <c r="H30" s="44" t="s">
        <v>229</v>
      </c>
      <c r="I30" s="44" t="s">
        <v>229</v>
      </c>
      <c r="J30" s="44" t="s">
        <v>230</v>
      </c>
      <c r="K30" s="44" t="s">
        <v>230</v>
      </c>
      <c r="L30" s="44" t="s">
        <v>254</v>
      </c>
      <c r="M30" s="44" t="s">
        <v>257</v>
      </c>
      <c r="N30" s="44" t="s">
        <v>257</v>
      </c>
      <c r="O30" s="44" t="s">
        <v>257</v>
      </c>
      <c r="P30" s="44" t="s">
        <v>229</v>
      </c>
      <c r="Q30" s="44" t="s">
        <v>229</v>
      </c>
      <c r="R30" s="44" t="s">
        <v>230</v>
      </c>
      <c r="S30" s="44" t="s">
        <v>254</v>
      </c>
      <c r="T30" s="44" t="s">
        <v>254</v>
      </c>
      <c r="U30" s="44" t="s">
        <v>257</v>
      </c>
      <c r="V30" s="44" t="s">
        <v>257</v>
      </c>
      <c r="W30" s="44" t="s">
        <v>257</v>
      </c>
      <c r="X30" s="44" t="s">
        <v>229</v>
      </c>
      <c r="Y30" s="44" t="s">
        <v>230</v>
      </c>
      <c r="Z30" s="44" t="s">
        <v>230</v>
      </c>
      <c r="AA30" s="44" t="s">
        <v>254</v>
      </c>
      <c r="AB30" s="44" t="s">
        <v>254</v>
      </c>
      <c r="AC30" s="44" t="s">
        <v>257</v>
      </c>
      <c r="AD30" s="44" t="s">
        <v>257</v>
      </c>
      <c r="AE30" s="44" t="s">
        <v>257</v>
      </c>
      <c r="AF30" s="44" t="s">
        <v>258</v>
      </c>
      <c r="AG30" s="44" t="s">
        <v>258</v>
      </c>
      <c r="AH30" s="44" t="s">
        <v>258</v>
      </c>
      <c r="AI30" s="44" t="s">
        <v>258</v>
      </c>
      <c r="AJ30" s="44" t="s">
        <v>258</v>
      </c>
      <c r="AL30" s="50">
        <f t="shared" ref="AL30:AL65" si="15">COUNTIF($F30:$AJ30,"ST*")</f>
        <v>0</v>
      </c>
      <c r="AM30" s="50">
        <f t="shared" ref="AM30:AM65" si="16">COUNTIF($F30:$AJ30,"M*")</f>
        <v>5</v>
      </c>
      <c r="AN30" s="50">
        <f t="shared" ref="AN30:AN65" si="17">COUNTIF($F30:$AJ30,"A*")</f>
        <v>5</v>
      </c>
      <c r="AO30" s="50">
        <f t="shared" ref="AO30:AO65" si="18">COUNTIF($F30:$AJ30,"N*")</f>
        <v>5</v>
      </c>
      <c r="AP30" s="50">
        <f t="shared" ref="AP30:AP65" si="19">COUNTIF($F30:$AJ30,"O*")</f>
        <v>11</v>
      </c>
    </row>
    <row r="31" spans="2:42" ht="18.75" x14ac:dyDescent="0.25">
      <c r="B31" s="37" t="s">
        <v>248</v>
      </c>
      <c r="C31" s="145" t="s">
        <v>149</v>
      </c>
      <c r="D31" s="145"/>
      <c r="F31" s="51" t="s">
        <v>229</v>
      </c>
      <c r="G31" s="51" t="s">
        <v>230</v>
      </c>
      <c r="H31" s="51" t="s">
        <v>254</v>
      </c>
      <c r="I31" s="51" t="s">
        <v>254</v>
      </c>
      <c r="J31" s="51" t="s">
        <v>257</v>
      </c>
      <c r="K31" s="51" t="s">
        <v>257</v>
      </c>
      <c r="L31" s="51" t="s">
        <v>257</v>
      </c>
      <c r="M31" s="51" t="s">
        <v>229</v>
      </c>
      <c r="N31" s="51" t="s">
        <v>229</v>
      </c>
      <c r="O31" s="51" t="s">
        <v>230</v>
      </c>
      <c r="P31" s="51" t="s">
        <v>254</v>
      </c>
      <c r="Q31" s="51" t="s">
        <v>254</v>
      </c>
      <c r="R31" s="51" t="s">
        <v>257</v>
      </c>
      <c r="S31" s="51" t="s">
        <v>257</v>
      </c>
      <c r="T31" s="51" t="s">
        <v>257</v>
      </c>
      <c r="U31" s="51" t="s">
        <v>229</v>
      </c>
      <c r="V31" s="51" t="s">
        <v>229</v>
      </c>
      <c r="W31" s="51" t="s">
        <v>230</v>
      </c>
      <c r="X31" s="51" t="s">
        <v>254</v>
      </c>
      <c r="Y31" s="51" t="s">
        <v>254</v>
      </c>
      <c r="Z31" s="51" t="s">
        <v>257</v>
      </c>
      <c r="AA31" s="51" t="s">
        <v>257</v>
      </c>
      <c r="AB31" s="51" t="s">
        <v>257</v>
      </c>
      <c r="AC31" s="51" t="s">
        <v>229</v>
      </c>
      <c r="AD31" s="51" t="s">
        <v>229</v>
      </c>
      <c r="AE31" s="51" t="s">
        <v>229</v>
      </c>
      <c r="AF31" s="51" t="s">
        <v>230</v>
      </c>
      <c r="AG31" s="51" t="s">
        <v>254</v>
      </c>
      <c r="AH31" s="51" t="s">
        <v>257</v>
      </c>
      <c r="AI31" s="51" t="s">
        <v>257</v>
      </c>
      <c r="AJ31" s="51" t="s">
        <v>257</v>
      </c>
      <c r="AL31" s="50">
        <f t="shared" si="15"/>
        <v>0</v>
      </c>
      <c r="AM31" s="50">
        <f t="shared" si="16"/>
        <v>8</v>
      </c>
      <c r="AN31" s="50">
        <f t="shared" si="17"/>
        <v>4</v>
      </c>
      <c r="AO31" s="50">
        <f t="shared" si="18"/>
        <v>7</v>
      </c>
      <c r="AP31" s="50">
        <f t="shared" si="19"/>
        <v>12</v>
      </c>
    </row>
    <row r="32" spans="2:42" ht="18.75" x14ac:dyDescent="0.25">
      <c r="B32" s="37" t="s">
        <v>248</v>
      </c>
      <c r="C32" s="145" t="s">
        <v>150</v>
      </c>
      <c r="D32" s="145"/>
      <c r="F32" s="51" t="s">
        <v>230</v>
      </c>
      <c r="G32" s="51" t="s">
        <v>254</v>
      </c>
      <c r="H32" s="51" t="s">
        <v>254</v>
      </c>
      <c r="I32" s="51" t="s">
        <v>257</v>
      </c>
      <c r="J32" s="51" t="s">
        <v>257</v>
      </c>
      <c r="K32" s="51" t="s">
        <v>257</v>
      </c>
      <c r="L32" s="51" t="s">
        <v>229</v>
      </c>
      <c r="M32" s="51" t="s">
        <v>230</v>
      </c>
      <c r="N32" s="51" t="s">
        <v>254</v>
      </c>
      <c r="O32" s="51" t="s">
        <v>254</v>
      </c>
      <c r="P32" s="51" t="s">
        <v>254</v>
      </c>
      <c r="Q32" s="51" t="s">
        <v>257</v>
      </c>
      <c r="R32" s="51" t="s">
        <v>257</v>
      </c>
      <c r="S32" s="51" t="s">
        <v>257</v>
      </c>
      <c r="T32" s="51" t="s">
        <v>229</v>
      </c>
      <c r="U32" s="51" t="s">
        <v>229</v>
      </c>
      <c r="V32" s="51" t="s">
        <v>230</v>
      </c>
      <c r="W32" s="51" t="s">
        <v>254</v>
      </c>
      <c r="X32" s="51" t="s">
        <v>254</v>
      </c>
      <c r="Y32" s="51" t="s">
        <v>257</v>
      </c>
      <c r="Z32" s="51" t="s">
        <v>257</v>
      </c>
      <c r="AA32" s="51" t="s">
        <v>257</v>
      </c>
      <c r="AB32" s="51" t="s">
        <v>229</v>
      </c>
      <c r="AC32" s="51" t="s">
        <v>229</v>
      </c>
      <c r="AD32" s="51" t="s">
        <v>230</v>
      </c>
      <c r="AE32" s="51" t="s">
        <v>230</v>
      </c>
      <c r="AF32" s="51" t="s">
        <v>254</v>
      </c>
      <c r="AG32" s="51" t="s">
        <v>257</v>
      </c>
      <c r="AH32" s="51" t="s">
        <v>257</v>
      </c>
      <c r="AI32" s="51" t="s">
        <v>257</v>
      </c>
      <c r="AJ32" s="51" t="s">
        <v>229</v>
      </c>
      <c r="AL32" s="50">
        <f t="shared" si="15"/>
        <v>0</v>
      </c>
      <c r="AM32" s="50">
        <f t="shared" si="16"/>
        <v>6</v>
      </c>
      <c r="AN32" s="50">
        <f t="shared" si="17"/>
        <v>5</v>
      </c>
      <c r="AO32" s="50">
        <f t="shared" si="18"/>
        <v>8</v>
      </c>
      <c r="AP32" s="50">
        <f t="shared" si="19"/>
        <v>12</v>
      </c>
    </row>
    <row r="33" spans="2:42" ht="18.75" x14ac:dyDescent="0.25">
      <c r="B33" s="37" t="s">
        <v>248</v>
      </c>
      <c r="C33" s="145" t="s">
        <v>151</v>
      </c>
      <c r="D33" s="145"/>
      <c r="F33" s="51" t="s">
        <v>254</v>
      </c>
      <c r="G33" s="51" t="s">
        <v>254</v>
      </c>
      <c r="H33" s="51" t="s">
        <v>257</v>
      </c>
      <c r="I33" s="51" t="s">
        <v>257</v>
      </c>
      <c r="J33" s="51" t="s">
        <v>257</v>
      </c>
      <c r="K33" s="56" t="s">
        <v>258</v>
      </c>
      <c r="L33" s="56" t="s">
        <v>258</v>
      </c>
      <c r="M33" s="56" t="s">
        <v>258</v>
      </c>
      <c r="N33" s="56" t="s">
        <v>258</v>
      </c>
      <c r="O33" s="56" t="s">
        <v>258</v>
      </c>
      <c r="P33" s="56" t="s">
        <v>258</v>
      </c>
      <c r="Q33" s="56" t="s">
        <v>257</v>
      </c>
      <c r="R33" s="56" t="s">
        <v>257</v>
      </c>
      <c r="S33" s="51" t="s">
        <v>229</v>
      </c>
      <c r="T33" s="51" t="s">
        <v>229</v>
      </c>
      <c r="U33" s="51" t="s">
        <v>230</v>
      </c>
      <c r="V33" s="51" t="s">
        <v>230</v>
      </c>
      <c r="W33" s="51" t="s">
        <v>254</v>
      </c>
      <c r="X33" s="51" t="s">
        <v>257</v>
      </c>
      <c r="Y33" s="51" t="s">
        <v>257</v>
      </c>
      <c r="Z33" s="51" t="s">
        <v>257</v>
      </c>
      <c r="AA33" s="51" t="s">
        <v>229</v>
      </c>
      <c r="AB33" s="51" t="s">
        <v>229</v>
      </c>
      <c r="AC33" s="51" t="s">
        <v>230</v>
      </c>
      <c r="AD33" s="51" t="s">
        <v>254</v>
      </c>
      <c r="AE33" s="51" t="s">
        <v>254</v>
      </c>
      <c r="AF33" s="51" t="s">
        <v>257</v>
      </c>
      <c r="AG33" s="51" t="s">
        <v>257</v>
      </c>
      <c r="AH33" s="51" t="s">
        <v>257</v>
      </c>
      <c r="AI33" s="56" t="s">
        <v>229</v>
      </c>
      <c r="AJ33" s="56" t="s">
        <v>230</v>
      </c>
      <c r="AL33" s="50">
        <f t="shared" si="15"/>
        <v>0</v>
      </c>
      <c r="AM33" s="50">
        <f t="shared" si="16"/>
        <v>5</v>
      </c>
      <c r="AN33" s="50">
        <f t="shared" si="17"/>
        <v>4</v>
      </c>
      <c r="AO33" s="50">
        <f t="shared" si="18"/>
        <v>5</v>
      </c>
      <c r="AP33" s="50">
        <f t="shared" si="19"/>
        <v>11</v>
      </c>
    </row>
    <row r="34" spans="2:42" ht="18.75" x14ac:dyDescent="0.25">
      <c r="B34" s="37" t="s">
        <v>248</v>
      </c>
      <c r="C34" s="145" t="s">
        <v>152</v>
      </c>
      <c r="D34" s="145"/>
      <c r="F34" s="51" t="s">
        <v>254</v>
      </c>
      <c r="G34" s="51" t="s">
        <v>257</v>
      </c>
      <c r="H34" s="51" t="s">
        <v>257</v>
      </c>
      <c r="I34" s="51" t="s">
        <v>257</v>
      </c>
      <c r="J34" s="51" t="s">
        <v>229</v>
      </c>
      <c r="K34" s="51" t="s">
        <v>229</v>
      </c>
      <c r="L34" s="51" t="s">
        <v>230</v>
      </c>
      <c r="M34" s="51" t="s">
        <v>254</v>
      </c>
      <c r="N34" s="51" t="s">
        <v>254</v>
      </c>
      <c r="O34" s="51" t="s">
        <v>257</v>
      </c>
      <c r="P34" s="51" t="s">
        <v>257</v>
      </c>
      <c r="Q34" s="51" t="s">
        <v>257</v>
      </c>
      <c r="R34" s="51" t="s">
        <v>229</v>
      </c>
      <c r="S34" s="51" t="s">
        <v>230</v>
      </c>
      <c r="T34" s="51" t="s">
        <v>230</v>
      </c>
      <c r="U34" s="51" t="s">
        <v>254</v>
      </c>
      <c r="V34" s="51" t="s">
        <v>254</v>
      </c>
      <c r="W34" s="51" t="s">
        <v>257</v>
      </c>
      <c r="X34" s="51" t="s">
        <v>257</v>
      </c>
      <c r="Y34" s="51" t="s">
        <v>257</v>
      </c>
      <c r="Z34" s="51" t="s">
        <v>229</v>
      </c>
      <c r="AA34" s="51" t="s">
        <v>229</v>
      </c>
      <c r="AB34" s="51" t="s">
        <v>230</v>
      </c>
      <c r="AC34" s="51" t="s">
        <v>254</v>
      </c>
      <c r="AD34" s="51" t="s">
        <v>254</v>
      </c>
      <c r="AE34" s="51" t="s">
        <v>257</v>
      </c>
      <c r="AF34" s="51" t="s">
        <v>257</v>
      </c>
      <c r="AG34" s="51" t="s">
        <v>257</v>
      </c>
      <c r="AH34" s="51" t="s">
        <v>229</v>
      </c>
      <c r="AI34" s="51" t="s">
        <v>230</v>
      </c>
      <c r="AJ34" s="51" t="s">
        <v>230</v>
      </c>
      <c r="AL34" s="50">
        <f t="shared" si="15"/>
        <v>0</v>
      </c>
      <c r="AM34" s="50">
        <f t="shared" si="16"/>
        <v>6</v>
      </c>
      <c r="AN34" s="50">
        <f t="shared" si="17"/>
        <v>6</v>
      </c>
      <c r="AO34" s="50">
        <f t="shared" si="18"/>
        <v>7</v>
      </c>
      <c r="AP34" s="50">
        <f t="shared" si="19"/>
        <v>12</v>
      </c>
    </row>
    <row r="35" spans="2:42" ht="18.75" x14ac:dyDescent="0.25">
      <c r="B35" s="37" t="s">
        <v>248</v>
      </c>
      <c r="C35" s="145" t="s">
        <v>153</v>
      </c>
      <c r="D35" s="145"/>
      <c r="F35" s="51" t="s">
        <v>257</v>
      </c>
      <c r="G35" s="51" t="s">
        <v>257</v>
      </c>
      <c r="H35" s="51" t="s">
        <v>257</v>
      </c>
      <c r="I35" s="51" t="s">
        <v>229</v>
      </c>
      <c r="J35" s="51" t="s">
        <v>144</v>
      </c>
      <c r="K35" s="51" t="s">
        <v>230</v>
      </c>
      <c r="L35" s="51" t="s">
        <v>254</v>
      </c>
      <c r="M35" s="51" t="s">
        <v>254</v>
      </c>
      <c r="N35" s="51" t="s">
        <v>257</v>
      </c>
      <c r="O35" s="51" t="s">
        <v>257</v>
      </c>
      <c r="P35" s="51" t="s">
        <v>257</v>
      </c>
      <c r="Q35" s="51" t="s">
        <v>229</v>
      </c>
      <c r="R35" s="51" t="s">
        <v>230</v>
      </c>
      <c r="S35" s="51" t="s">
        <v>230</v>
      </c>
      <c r="T35" s="51" t="s">
        <v>254</v>
      </c>
      <c r="U35" s="51" t="s">
        <v>254</v>
      </c>
      <c r="V35" s="51" t="s">
        <v>257</v>
      </c>
      <c r="W35" s="51" t="s">
        <v>257</v>
      </c>
      <c r="X35" s="51" t="s">
        <v>257</v>
      </c>
      <c r="Y35" s="51" t="s">
        <v>229</v>
      </c>
      <c r="Z35" s="51" t="s">
        <v>230</v>
      </c>
      <c r="AA35" s="51" t="s">
        <v>230</v>
      </c>
      <c r="AB35" s="51" t="s">
        <v>254</v>
      </c>
      <c r="AC35" s="51" t="s">
        <v>254</v>
      </c>
      <c r="AD35" s="51" t="s">
        <v>257</v>
      </c>
      <c r="AE35" s="51" t="s">
        <v>257</v>
      </c>
      <c r="AF35" s="51" t="s">
        <v>257</v>
      </c>
      <c r="AG35" s="51" t="s">
        <v>229</v>
      </c>
      <c r="AH35" s="51" t="s">
        <v>230</v>
      </c>
      <c r="AI35" s="51" t="s">
        <v>230</v>
      </c>
      <c r="AJ35" s="51" t="s">
        <v>254</v>
      </c>
      <c r="AL35" s="50">
        <f t="shared" si="15"/>
        <v>0</v>
      </c>
      <c r="AM35" s="50">
        <f t="shared" si="16"/>
        <v>4</v>
      </c>
      <c r="AN35" s="50">
        <f t="shared" si="17"/>
        <v>7</v>
      </c>
      <c r="AO35" s="50">
        <f t="shared" si="18"/>
        <v>7</v>
      </c>
      <c r="AP35" s="50">
        <f t="shared" si="19"/>
        <v>12</v>
      </c>
    </row>
    <row r="36" spans="2:42" ht="18.75" x14ac:dyDescent="0.25">
      <c r="B36" s="37" t="s">
        <v>248</v>
      </c>
      <c r="C36" s="145" t="s">
        <v>154</v>
      </c>
      <c r="D36" s="145"/>
      <c r="F36" s="51" t="s">
        <v>257</v>
      </c>
      <c r="G36" s="51" t="s">
        <v>257</v>
      </c>
      <c r="H36" s="51" t="s">
        <v>229</v>
      </c>
      <c r="I36" s="51" t="s">
        <v>229</v>
      </c>
      <c r="J36" s="51" t="s">
        <v>230</v>
      </c>
      <c r="K36" s="51" t="s">
        <v>254</v>
      </c>
      <c r="L36" s="51" t="s">
        <v>254</v>
      </c>
      <c r="M36" s="51" t="s">
        <v>257</v>
      </c>
      <c r="N36" s="51" t="s">
        <v>257</v>
      </c>
      <c r="O36" s="51" t="s">
        <v>257</v>
      </c>
      <c r="P36" s="103" t="s">
        <v>229</v>
      </c>
      <c r="Q36" s="104" t="s">
        <v>144</v>
      </c>
      <c r="R36" s="104" t="s">
        <v>230</v>
      </c>
      <c r="S36" s="104" t="s">
        <v>254</v>
      </c>
      <c r="T36" s="104" t="s">
        <v>254</v>
      </c>
      <c r="U36" s="56" t="s">
        <v>257</v>
      </c>
      <c r="V36" s="57" t="s">
        <v>257</v>
      </c>
      <c r="W36" s="51" t="s">
        <v>257</v>
      </c>
      <c r="X36" s="51" t="s">
        <v>229</v>
      </c>
      <c r="Y36" s="51" t="s">
        <v>230</v>
      </c>
      <c r="Z36" s="51" t="s">
        <v>230</v>
      </c>
      <c r="AA36" s="51" t="s">
        <v>230</v>
      </c>
      <c r="AB36" s="51" t="s">
        <v>254</v>
      </c>
      <c r="AC36" s="51" t="s">
        <v>257</v>
      </c>
      <c r="AD36" s="51" t="s">
        <v>257</v>
      </c>
      <c r="AE36" s="51" t="s">
        <v>257</v>
      </c>
      <c r="AF36" s="51" t="s">
        <v>229</v>
      </c>
      <c r="AG36" s="51" t="s">
        <v>230</v>
      </c>
      <c r="AH36" s="51" t="s">
        <v>254</v>
      </c>
      <c r="AI36" s="51" t="s">
        <v>254</v>
      </c>
      <c r="AJ36" s="51" t="s">
        <v>254</v>
      </c>
      <c r="AL36" s="50">
        <f t="shared" si="15"/>
        <v>0</v>
      </c>
      <c r="AM36" s="50">
        <f t="shared" si="16"/>
        <v>5</v>
      </c>
      <c r="AN36" s="50">
        <f t="shared" si="17"/>
        <v>6</v>
      </c>
      <c r="AO36" s="50">
        <f t="shared" si="18"/>
        <v>8</v>
      </c>
      <c r="AP36" s="50">
        <f t="shared" si="19"/>
        <v>11</v>
      </c>
    </row>
    <row r="37" spans="2:42" ht="18.75" x14ac:dyDescent="0.25">
      <c r="B37" s="37" t="s">
        <v>248</v>
      </c>
      <c r="C37" s="145" t="s">
        <v>155</v>
      </c>
      <c r="D37" s="145"/>
      <c r="F37" s="51" t="s">
        <v>257</v>
      </c>
      <c r="G37" s="51" t="s">
        <v>258</v>
      </c>
      <c r="H37" s="51" t="s">
        <v>258</v>
      </c>
      <c r="I37" s="51" t="s">
        <v>258</v>
      </c>
      <c r="J37" s="51" t="s">
        <v>258</v>
      </c>
      <c r="K37" s="51" t="s">
        <v>258</v>
      </c>
      <c r="L37" s="51" t="s">
        <v>258</v>
      </c>
      <c r="M37" s="51" t="s">
        <v>257</v>
      </c>
      <c r="N37" s="51" t="s">
        <v>257</v>
      </c>
      <c r="O37" s="103" t="s">
        <v>229</v>
      </c>
      <c r="P37" s="104" t="s">
        <v>230</v>
      </c>
      <c r="Q37" s="104" t="s">
        <v>230</v>
      </c>
      <c r="R37" s="104" t="s">
        <v>254</v>
      </c>
      <c r="S37" s="104" t="s">
        <v>254</v>
      </c>
      <c r="T37" s="56" t="s">
        <v>257</v>
      </c>
      <c r="U37" s="56" t="s">
        <v>257</v>
      </c>
      <c r="V37" s="57" t="s">
        <v>257</v>
      </c>
      <c r="W37" s="51" t="s">
        <v>229</v>
      </c>
      <c r="X37" s="51" t="s">
        <v>230</v>
      </c>
      <c r="Y37" s="51" t="s">
        <v>254</v>
      </c>
      <c r="Z37" s="51" t="s">
        <v>254</v>
      </c>
      <c r="AA37" s="51" t="s">
        <v>254</v>
      </c>
      <c r="AB37" s="51" t="s">
        <v>257</v>
      </c>
      <c r="AC37" s="51" t="s">
        <v>257</v>
      </c>
      <c r="AD37" s="51" t="s">
        <v>257</v>
      </c>
      <c r="AE37" s="51" t="s">
        <v>229</v>
      </c>
      <c r="AF37" s="51" t="s">
        <v>230</v>
      </c>
      <c r="AG37" s="51" t="s">
        <v>230</v>
      </c>
      <c r="AH37" s="51" t="s">
        <v>254</v>
      </c>
      <c r="AI37" s="51" t="s">
        <v>254</v>
      </c>
      <c r="AJ37" s="51" t="s">
        <v>257</v>
      </c>
      <c r="AL37" s="50">
        <f t="shared" si="15"/>
        <v>0</v>
      </c>
      <c r="AM37" s="50">
        <f t="shared" si="16"/>
        <v>3</v>
      </c>
      <c r="AN37" s="50">
        <f t="shared" si="17"/>
        <v>5</v>
      </c>
      <c r="AO37" s="50">
        <f t="shared" si="18"/>
        <v>7</v>
      </c>
      <c r="AP37" s="50">
        <f t="shared" si="19"/>
        <v>10</v>
      </c>
    </row>
    <row r="38" spans="2:42" ht="18.75" x14ac:dyDescent="0.25">
      <c r="B38" s="37" t="s">
        <v>248</v>
      </c>
      <c r="C38" s="145" t="s">
        <v>156</v>
      </c>
      <c r="D38" s="145"/>
      <c r="F38" s="51" t="s">
        <v>229</v>
      </c>
      <c r="G38" s="51" t="s">
        <v>230</v>
      </c>
      <c r="H38" s="51" t="s">
        <v>230</v>
      </c>
      <c r="I38" s="51" t="s">
        <v>230</v>
      </c>
      <c r="J38" s="51" t="s">
        <v>254</v>
      </c>
      <c r="K38" s="51" t="s">
        <v>257</v>
      </c>
      <c r="L38" s="51" t="s">
        <v>257</v>
      </c>
      <c r="M38" s="51" t="s">
        <v>257</v>
      </c>
      <c r="N38" s="103" t="s">
        <v>229</v>
      </c>
      <c r="O38" s="104" t="s">
        <v>230</v>
      </c>
      <c r="P38" s="104" t="s">
        <v>230</v>
      </c>
      <c r="Q38" s="104" t="s">
        <v>254</v>
      </c>
      <c r="R38" s="104" t="s">
        <v>254</v>
      </c>
      <c r="S38" s="56" t="s">
        <v>257</v>
      </c>
      <c r="T38" s="56" t="s">
        <v>257</v>
      </c>
      <c r="U38" s="56" t="s">
        <v>257</v>
      </c>
      <c r="V38" s="51" t="s">
        <v>258</v>
      </c>
      <c r="W38" s="51" t="s">
        <v>258</v>
      </c>
      <c r="X38" s="51" t="s">
        <v>258</v>
      </c>
      <c r="Y38" s="51" t="s">
        <v>258</v>
      </c>
      <c r="Z38" s="51" t="s">
        <v>258</v>
      </c>
      <c r="AA38" s="51" t="s">
        <v>258</v>
      </c>
      <c r="AB38" s="51" t="s">
        <v>257</v>
      </c>
      <c r="AC38" s="51" t="s">
        <v>257</v>
      </c>
      <c r="AD38" s="51" t="s">
        <v>229</v>
      </c>
      <c r="AE38" s="51" t="s">
        <v>230</v>
      </c>
      <c r="AF38" s="51" t="s">
        <v>230</v>
      </c>
      <c r="AG38" s="51" t="s">
        <v>254</v>
      </c>
      <c r="AH38" s="51" t="s">
        <v>254</v>
      </c>
      <c r="AI38" s="51" t="s">
        <v>257</v>
      </c>
      <c r="AJ38" s="51" t="s">
        <v>257</v>
      </c>
      <c r="AL38" s="50">
        <f t="shared" si="15"/>
        <v>0</v>
      </c>
      <c r="AM38" s="50">
        <f t="shared" si="16"/>
        <v>3</v>
      </c>
      <c r="AN38" s="50">
        <f t="shared" si="17"/>
        <v>7</v>
      </c>
      <c r="AO38" s="50">
        <f t="shared" si="18"/>
        <v>5</v>
      </c>
      <c r="AP38" s="50">
        <f t="shared" si="19"/>
        <v>10</v>
      </c>
    </row>
    <row r="39" spans="2:42" ht="18.75" x14ac:dyDescent="0.25">
      <c r="B39" s="37" t="s">
        <v>248</v>
      </c>
      <c r="C39" s="145" t="s">
        <v>157</v>
      </c>
      <c r="D39" s="145"/>
      <c r="F39" s="51" t="s">
        <v>230</v>
      </c>
      <c r="G39" s="51" t="s">
        <v>230</v>
      </c>
      <c r="H39" s="51" t="s">
        <v>254</v>
      </c>
      <c r="I39" s="51" t="s">
        <v>254</v>
      </c>
      <c r="J39" s="51" t="s">
        <v>257</v>
      </c>
      <c r="K39" s="51" t="s">
        <v>257</v>
      </c>
      <c r="L39" s="51" t="s">
        <v>257</v>
      </c>
      <c r="M39" s="103" t="s">
        <v>229</v>
      </c>
      <c r="N39" s="104" t="s">
        <v>230</v>
      </c>
      <c r="O39" s="104" t="s">
        <v>230</v>
      </c>
      <c r="P39" s="104" t="s">
        <v>254</v>
      </c>
      <c r="Q39" s="104" t="s">
        <v>254</v>
      </c>
      <c r="R39" s="51" t="s">
        <v>257</v>
      </c>
      <c r="S39" s="51" t="s">
        <v>257</v>
      </c>
      <c r="T39" s="51" t="s">
        <v>257</v>
      </c>
      <c r="U39" s="51" t="s">
        <v>229</v>
      </c>
      <c r="V39" s="51" t="s">
        <v>229</v>
      </c>
      <c r="W39" s="51" t="s">
        <v>230</v>
      </c>
      <c r="X39" s="51" t="s">
        <v>230</v>
      </c>
      <c r="Y39" s="51" t="s">
        <v>254</v>
      </c>
      <c r="Z39" s="51" t="s">
        <v>257</v>
      </c>
      <c r="AA39" s="51" t="s">
        <v>257</v>
      </c>
      <c r="AB39" s="51" t="s">
        <v>257</v>
      </c>
      <c r="AC39" s="51" t="s">
        <v>229</v>
      </c>
      <c r="AD39" s="51" t="s">
        <v>229</v>
      </c>
      <c r="AE39" s="51" t="s">
        <v>230</v>
      </c>
      <c r="AF39" s="51" t="s">
        <v>254</v>
      </c>
      <c r="AG39" s="51" t="s">
        <v>254</v>
      </c>
      <c r="AH39" s="51" t="s">
        <v>257</v>
      </c>
      <c r="AI39" s="51" t="s">
        <v>257</v>
      </c>
      <c r="AJ39" s="51" t="s">
        <v>257</v>
      </c>
      <c r="AL39" s="50">
        <f t="shared" si="15"/>
        <v>0</v>
      </c>
      <c r="AM39" s="50">
        <f t="shared" si="16"/>
        <v>5</v>
      </c>
      <c r="AN39" s="50">
        <f t="shared" si="17"/>
        <v>7</v>
      </c>
      <c r="AO39" s="50">
        <f t="shared" si="18"/>
        <v>7</v>
      </c>
      <c r="AP39" s="50">
        <f t="shared" si="19"/>
        <v>12</v>
      </c>
    </row>
    <row r="40" spans="2:42" ht="18.75" x14ac:dyDescent="0.25">
      <c r="B40" s="37" t="s">
        <v>248</v>
      </c>
      <c r="C40" s="145" t="s">
        <v>158</v>
      </c>
      <c r="D40" s="145"/>
      <c r="F40" s="51" t="s">
        <v>258</v>
      </c>
      <c r="G40" s="51" t="s">
        <v>258</v>
      </c>
      <c r="H40" s="51" t="s">
        <v>258</v>
      </c>
      <c r="I40" s="51" t="s">
        <v>258</v>
      </c>
      <c r="J40" s="51" t="s">
        <v>258</v>
      </c>
      <c r="K40" s="51" t="s">
        <v>258</v>
      </c>
      <c r="L40" s="51" t="s">
        <v>258</v>
      </c>
      <c r="M40" s="51" t="s">
        <v>258</v>
      </c>
      <c r="N40" s="51" t="s">
        <v>258</v>
      </c>
      <c r="O40" s="51" t="s">
        <v>258</v>
      </c>
      <c r="P40" s="51" t="s">
        <v>258</v>
      </c>
      <c r="Q40" s="51" t="s">
        <v>258</v>
      </c>
      <c r="R40" s="51" t="s">
        <v>257</v>
      </c>
      <c r="S40" s="51" t="s">
        <v>257</v>
      </c>
      <c r="T40" s="51" t="s">
        <v>229</v>
      </c>
      <c r="U40" s="51" t="s">
        <v>230</v>
      </c>
      <c r="V40" s="129" t="s">
        <v>230</v>
      </c>
      <c r="W40" s="51" t="s">
        <v>230</v>
      </c>
      <c r="X40" s="51" t="s">
        <v>254</v>
      </c>
      <c r="Y40" s="51" t="s">
        <v>257</v>
      </c>
      <c r="Z40" s="51" t="s">
        <v>257</v>
      </c>
      <c r="AA40" s="51" t="s">
        <v>257</v>
      </c>
      <c r="AB40" s="51" t="s">
        <v>229</v>
      </c>
      <c r="AC40" s="51" t="s">
        <v>230</v>
      </c>
      <c r="AD40" s="51" t="s">
        <v>230</v>
      </c>
      <c r="AE40" s="51" t="s">
        <v>144</v>
      </c>
      <c r="AF40" s="51" t="s">
        <v>254</v>
      </c>
      <c r="AG40" s="51" t="s">
        <v>257</v>
      </c>
      <c r="AH40" s="51" t="s">
        <v>257</v>
      </c>
      <c r="AI40" s="51" t="s">
        <v>257</v>
      </c>
      <c r="AJ40" s="51" t="s">
        <v>229</v>
      </c>
      <c r="AL40" s="50">
        <f t="shared" si="15"/>
        <v>0</v>
      </c>
      <c r="AM40" s="50">
        <f t="shared" si="16"/>
        <v>3</v>
      </c>
      <c r="AN40" s="50">
        <f t="shared" si="17"/>
        <v>5</v>
      </c>
      <c r="AO40" s="50">
        <f t="shared" si="18"/>
        <v>2</v>
      </c>
      <c r="AP40" s="50">
        <f t="shared" si="19"/>
        <v>8</v>
      </c>
    </row>
    <row r="41" spans="2:42" ht="18.75" x14ac:dyDescent="0.25">
      <c r="B41" s="37" t="s">
        <v>248</v>
      </c>
      <c r="C41" s="145" t="s">
        <v>166</v>
      </c>
      <c r="D41" s="145"/>
      <c r="F41" s="51" t="s">
        <v>254</v>
      </c>
      <c r="G41" s="51" t="s">
        <v>254</v>
      </c>
      <c r="H41" s="51" t="s">
        <v>257</v>
      </c>
      <c r="I41" s="51" t="s">
        <v>257</v>
      </c>
      <c r="J41" s="51" t="s">
        <v>257</v>
      </c>
      <c r="K41" s="51" t="s">
        <v>229</v>
      </c>
      <c r="L41" s="51" t="s">
        <v>229</v>
      </c>
      <c r="M41" s="51" t="s">
        <v>230</v>
      </c>
      <c r="N41" s="51" t="s">
        <v>254</v>
      </c>
      <c r="O41" s="51" t="s">
        <v>254</v>
      </c>
      <c r="P41" s="51" t="s">
        <v>257</v>
      </c>
      <c r="Q41" s="51" t="s">
        <v>257</v>
      </c>
      <c r="R41" s="51" t="s">
        <v>257</v>
      </c>
      <c r="S41" s="51" t="s">
        <v>229</v>
      </c>
      <c r="T41" s="51" t="s">
        <v>230</v>
      </c>
      <c r="U41" s="51" t="s">
        <v>230</v>
      </c>
      <c r="V41" s="51" t="s">
        <v>254</v>
      </c>
      <c r="W41" s="51" t="s">
        <v>254</v>
      </c>
      <c r="X41" s="51" t="s">
        <v>257</v>
      </c>
      <c r="Y41" s="51" t="s">
        <v>257</v>
      </c>
      <c r="Z41" s="51" t="s">
        <v>257</v>
      </c>
      <c r="AA41" s="51" t="s">
        <v>229</v>
      </c>
      <c r="AB41" s="51" t="s">
        <v>230</v>
      </c>
      <c r="AC41" s="51" t="s">
        <v>230</v>
      </c>
      <c r="AD41" s="51" t="s">
        <v>254</v>
      </c>
      <c r="AE41" s="51" t="s">
        <v>254</v>
      </c>
      <c r="AF41" s="51" t="s">
        <v>257</v>
      </c>
      <c r="AG41" s="51" t="s">
        <v>257</v>
      </c>
      <c r="AH41" s="51" t="s">
        <v>257</v>
      </c>
      <c r="AI41" s="51" t="s">
        <v>229</v>
      </c>
      <c r="AJ41" s="51" t="s">
        <v>230</v>
      </c>
      <c r="AL41" s="50">
        <f t="shared" si="15"/>
        <v>0</v>
      </c>
      <c r="AM41" s="50">
        <f t="shared" si="16"/>
        <v>5</v>
      </c>
      <c r="AN41" s="50">
        <f t="shared" si="17"/>
        <v>6</v>
      </c>
      <c r="AO41" s="50">
        <f t="shared" si="18"/>
        <v>8</v>
      </c>
      <c r="AP41" s="50">
        <f t="shared" si="19"/>
        <v>12</v>
      </c>
    </row>
    <row r="42" spans="2:42" ht="18.75" x14ac:dyDescent="0.25">
      <c r="B42" s="37" t="s">
        <v>248</v>
      </c>
      <c r="C42" s="145" t="s">
        <v>159</v>
      </c>
      <c r="D42" s="145"/>
      <c r="F42" s="51" t="s">
        <v>254</v>
      </c>
      <c r="G42" s="51" t="s">
        <v>257</v>
      </c>
      <c r="H42" s="51" t="s">
        <v>257</v>
      </c>
      <c r="I42" s="51" t="s">
        <v>257</v>
      </c>
      <c r="J42" s="51" t="s">
        <v>144</v>
      </c>
      <c r="K42" s="51" t="s">
        <v>229</v>
      </c>
      <c r="L42" s="51" t="s">
        <v>230</v>
      </c>
      <c r="M42" s="51" t="s">
        <v>230</v>
      </c>
      <c r="N42" s="51" t="s">
        <v>254</v>
      </c>
      <c r="O42" s="51" t="s">
        <v>257</v>
      </c>
      <c r="P42" s="51" t="s">
        <v>257</v>
      </c>
      <c r="Q42" s="51" t="s">
        <v>257</v>
      </c>
      <c r="R42" s="51" t="s">
        <v>229</v>
      </c>
      <c r="S42" s="51" t="s">
        <v>229</v>
      </c>
      <c r="T42" s="51" t="s">
        <v>230</v>
      </c>
      <c r="U42" s="51" t="s">
        <v>254</v>
      </c>
      <c r="V42" s="51" t="s">
        <v>254</v>
      </c>
      <c r="W42" s="51" t="s">
        <v>257</v>
      </c>
      <c r="X42" s="51" t="s">
        <v>257</v>
      </c>
      <c r="Y42" s="51" t="s">
        <v>257</v>
      </c>
      <c r="Z42" s="51" t="s">
        <v>229</v>
      </c>
      <c r="AA42" s="51" t="s">
        <v>229</v>
      </c>
      <c r="AB42" s="51" t="s">
        <v>230</v>
      </c>
      <c r="AC42" s="51" t="s">
        <v>254</v>
      </c>
      <c r="AD42" s="51" t="s">
        <v>254</v>
      </c>
      <c r="AE42" s="51" t="s">
        <v>257</v>
      </c>
      <c r="AF42" s="51" t="s">
        <v>257</v>
      </c>
      <c r="AG42" s="51" t="s">
        <v>257</v>
      </c>
      <c r="AH42" s="51" t="s">
        <v>229</v>
      </c>
      <c r="AI42" s="51" t="s">
        <v>229</v>
      </c>
      <c r="AJ42" s="51" t="s">
        <v>230</v>
      </c>
      <c r="AL42" s="50">
        <f t="shared" si="15"/>
        <v>0</v>
      </c>
      <c r="AM42" s="50">
        <f t="shared" si="16"/>
        <v>7</v>
      </c>
      <c r="AN42" s="50">
        <f t="shared" si="17"/>
        <v>5</v>
      </c>
      <c r="AO42" s="50">
        <f t="shared" si="18"/>
        <v>6</v>
      </c>
      <c r="AP42" s="50">
        <f t="shared" si="19"/>
        <v>12</v>
      </c>
    </row>
    <row r="43" spans="2:42" ht="18.75" x14ac:dyDescent="0.25">
      <c r="B43" s="37" t="s">
        <v>248</v>
      </c>
      <c r="C43" s="145" t="s">
        <v>160</v>
      </c>
      <c r="D43" s="145"/>
      <c r="F43" s="51" t="s">
        <v>257</v>
      </c>
      <c r="G43" s="51" t="s">
        <v>257</v>
      </c>
      <c r="H43" s="51" t="s">
        <v>257</v>
      </c>
      <c r="I43" s="51" t="s">
        <v>258</v>
      </c>
      <c r="J43" s="51" t="s">
        <v>229</v>
      </c>
      <c r="K43" s="51" t="s">
        <v>258</v>
      </c>
      <c r="L43" s="51" t="s">
        <v>230</v>
      </c>
      <c r="M43" s="51" t="s">
        <v>254</v>
      </c>
      <c r="N43" s="51" t="s">
        <v>257</v>
      </c>
      <c r="O43" s="51" t="s">
        <v>257</v>
      </c>
      <c r="P43" s="51" t="s">
        <v>257</v>
      </c>
      <c r="Q43" s="51" t="s">
        <v>229</v>
      </c>
      <c r="R43" s="51" t="s">
        <v>144</v>
      </c>
      <c r="S43" s="51" t="s">
        <v>230</v>
      </c>
      <c r="T43" s="51" t="s">
        <v>254</v>
      </c>
      <c r="U43" s="51" t="s">
        <v>254</v>
      </c>
      <c r="V43" s="51" t="s">
        <v>257</v>
      </c>
      <c r="W43" s="51" t="s">
        <v>257</v>
      </c>
      <c r="X43" s="51" t="s">
        <v>257</v>
      </c>
      <c r="Y43" s="51" t="s">
        <v>229</v>
      </c>
      <c r="Z43" s="51" t="s">
        <v>229</v>
      </c>
      <c r="AA43" s="51" t="s">
        <v>230</v>
      </c>
      <c r="AB43" s="51" t="s">
        <v>230</v>
      </c>
      <c r="AC43" s="51" t="s">
        <v>254</v>
      </c>
      <c r="AD43" s="51" t="s">
        <v>257</v>
      </c>
      <c r="AE43" s="51" t="s">
        <v>257</v>
      </c>
      <c r="AF43" s="51" t="s">
        <v>257</v>
      </c>
      <c r="AG43" s="51" t="s">
        <v>229</v>
      </c>
      <c r="AH43" s="51" t="s">
        <v>229</v>
      </c>
      <c r="AI43" s="51" t="s">
        <v>230</v>
      </c>
      <c r="AJ43" s="51" t="s">
        <v>254</v>
      </c>
      <c r="AL43" s="50">
        <f t="shared" si="15"/>
        <v>0</v>
      </c>
      <c r="AM43" s="50">
        <f t="shared" si="16"/>
        <v>6</v>
      </c>
      <c r="AN43" s="50">
        <f t="shared" si="17"/>
        <v>5</v>
      </c>
      <c r="AO43" s="50">
        <f t="shared" si="18"/>
        <v>5</v>
      </c>
      <c r="AP43" s="50">
        <f t="shared" si="19"/>
        <v>12</v>
      </c>
    </row>
    <row r="44" spans="2:42" ht="18.75" x14ac:dyDescent="0.25">
      <c r="B44" s="37" t="s">
        <v>248</v>
      </c>
      <c r="C44" s="145" t="s">
        <v>161</v>
      </c>
      <c r="D44" s="145"/>
      <c r="F44" s="51" t="s">
        <v>257</v>
      </c>
      <c r="G44" s="51" t="s">
        <v>257</v>
      </c>
      <c r="H44" s="51" t="s">
        <v>229</v>
      </c>
      <c r="I44" s="51" t="s">
        <v>229</v>
      </c>
      <c r="J44" s="51" t="s">
        <v>229</v>
      </c>
      <c r="K44" s="51" t="s">
        <v>144</v>
      </c>
      <c r="L44" s="51" t="s">
        <v>254</v>
      </c>
      <c r="M44" s="51" t="s">
        <v>257</v>
      </c>
      <c r="N44" s="51" t="s">
        <v>257</v>
      </c>
      <c r="O44" s="51" t="s">
        <v>257</v>
      </c>
      <c r="P44" s="51" t="s">
        <v>229</v>
      </c>
      <c r="Q44" s="51" t="s">
        <v>230</v>
      </c>
      <c r="R44" s="51" t="s">
        <v>230</v>
      </c>
      <c r="S44" s="51" t="s">
        <v>254</v>
      </c>
      <c r="T44" s="51" t="s">
        <v>254</v>
      </c>
      <c r="U44" s="51" t="s">
        <v>257</v>
      </c>
      <c r="V44" s="51" t="s">
        <v>257</v>
      </c>
      <c r="W44" s="51" t="s">
        <v>257</v>
      </c>
      <c r="X44" s="51" t="s">
        <v>258</v>
      </c>
      <c r="Y44" s="51" t="s">
        <v>258</v>
      </c>
      <c r="Z44" s="51" t="s">
        <v>258</v>
      </c>
      <c r="AA44" s="51" t="s">
        <v>258</v>
      </c>
      <c r="AB44" s="51" t="s">
        <v>258</v>
      </c>
      <c r="AC44" s="51" t="s">
        <v>258</v>
      </c>
      <c r="AD44" s="51" t="s">
        <v>257</v>
      </c>
      <c r="AE44" s="51" t="s">
        <v>257</v>
      </c>
      <c r="AF44" s="51" t="s">
        <v>229</v>
      </c>
      <c r="AG44" s="51" t="s">
        <v>230</v>
      </c>
      <c r="AH44" s="51" t="s">
        <v>230</v>
      </c>
      <c r="AI44" s="51" t="s">
        <v>254</v>
      </c>
      <c r="AJ44" s="51" t="s">
        <v>254</v>
      </c>
      <c r="AL44" s="50">
        <f t="shared" si="15"/>
        <v>0</v>
      </c>
      <c r="AM44" s="50">
        <f t="shared" si="16"/>
        <v>5</v>
      </c>
      <c r="AN44" s="50">
        <f t="shared" si="17"/>
        <v>4</v>
      </c>
      <c r="AO44" s="50">
        <f t="shared" si="18"/>
        <v>5</v>
      </c>
      <c r="AP44" s="50">
        <f t="shared" si="19"/>
        <v>10</v>
      </c>
    </row>
    <row r="45" spans="2:42" ht="18.75" x14ac:dyDescent="0.25">
      <c r="B45" s="37" t="s">
        <v>248</v>
      </c>
      <c r="C45" s="145" t="s">
        <v>162</v>
      </c>
      <c r="D45" s="145"/>
      <c r="F45" s="104" t="s">
        <v>257</v>
      </c>
      <c r="G45" s="51" t="s">
        <v>229</v>
      </c>
      <c r="H45" s="51" t="s">
        <v>229</v>
      </c>
      <c r="I45" s="51" t="s">
        <v>230</v>
      </c>
      <c r="J45" s="51" t="s">
        <v>230</v>
      </c>
      <c r="K45" s="51" t="s">
        <v>254</v>
      </c>
      <c r="L45" s="51" t="s">
        <v>257</v>
      </c>
      <c r="M45" s="51" t="s">
        <v>257</v>
      </c>
      <c r="N45" s="51" t="s">
        <v>257</v>
      </c>
      <c r="O45" s="51" t="s">
        <v>258</v>
      </c>
      <c r="P45" s="51" t="s">
        <v>258</v>
      </c>
      <c r="Q45" s="51" t="s">
        <v>258</v>
      </c>
      <c r="R45" s="51" t="s">
        <v>258</v>
      </c>
      <c r="S45" s="51" t="s">
        <v>258</v>
      </c>
      <c r="T45" s="51" t="s">
        <v>258</v>
      </c>
      <c r="U45" s="51" t="s">
        <v>257</v>
      </c>
      <c r="V45" s="51" t="s">
        <v>257</v>
      </c>
      <c r="W45" s="103" t="s">
        <v>229</v>
      </c>
      <c r="X45" s="104" t="s">
        <v>230</v>
      </c>
      <c r="Y45" s="104" t="s">
        <v>230</v>
      </c>
      <c r="Z45" s="104" t="s">
        <v>254</v>
      </c>
      <c r="AA45" s="104" t="s">
        <v>254</v>
      </c>
      <c r="AB45" s="103" t="s">
        <v>257</v>
      </c>
      <c r="AC45" s="104" t="s">
        <v>257</v>
      </c>
      <c r="AD45" s="104" t="s">
        <v>257</v>
      </c>
      <c r="AE45" s="51" t="s">
        <v>229</v>
      </c>
      <c r="AF45" s="51" t="s">
        <v>229</v>
      </c>
      <c r="AG45" s="51" t="s">
        <v>230</v>
      </c>
      <c r="AH45" s="51" t="s">
        <v>254</v>
      </c>
      <c r="AI45" s="51" t="s">
        <v>254</v>
      </c>
      <c r="AJ45" s="51" t="s">
        <v>257</v>
      </c>
      <c r="AL45" s="50">
        <f t="shared" si="15"/>
        <v>0</v>
      </c>
      <c r="AM45" s="50">
        <f t="shared" si="16"/>
        <v>5</v>
      </c>
      <c r="AN45" s="50">
        <f t="shared" si="17"/>
        <v>5</v>
      </c>
      <c r="AO45" s="50">
        <f t="shared" si="18"/>
        <v>5</v>
      </c>
      <c r="AP45" s="50">
        <f t="shared" si="19"/>
        <v>10</v>
      </c>
    </row>
    <row r="46" spans="2:42" ht="18.75" x14ac:dyDescent="0.25">
      <c r="B46" s="37" t="s">
        <v>248</v>
      </c>
      <c r="C46" s="145" t="s">
        <v>163</v>
      </c>
      <c r="D46" s="145"/>
      <c r="F46" s="51" t="s">
        <v>229</v>
      </c>
      <c r="G46" s="51" t="s">
        <v>229</v>
      </c>
      <c r="H46" s="51" t="s">
        <v>230</v>
      </c>
      <c r="I46" s="51" t="s">
        <v>254</v>
      </c>
      <c r="J46" s="51" t="s">
        <v>254</v>
      </c>
      <c r="K46" s="51" t="s">
        <v>257</v>
      </c>
      <c r="L46" s="51" t="s">
        <v>257</v>
      </c>
      <c r="M46" s="51" t="s">
        <v>257</v>
      </c>
      <c r="N46" s="51" t="s">
        <v>229</v>
      </c>
      <c r="O46" s="51" t="s">
        <v>230</v>
      </c>
      <c r="P46" s="51" t="s">
        <v>230</v>
      </c>
      <c r="Q46" s="51" t="s">
        <v>254</v>
      </c>
      <c r="R46" s="51" t="s">
        <v>254</v>
      </c>
      <c r="S46" s="51" t="s">
        <v>257</v>
      </c>
      <c r="T46" s="51" t="s">
        <v>257</v>
      </c>
      <c r="U46" s="51" t="s">
        <v>257</v>
      </c>
      <c r="V46" s="57" t="s">
        <v>258</v>
      </c>
      <c r="W46" s="51" t="s">
        <v>258</v>
      </c>
      <c r="X46" s="51" t="s">
        <v>258</v>
      </c>
      <c r="Y46" s="51" t="s">
        <v>258</v>
      </c>
      <c r="Z46" s="51" t="s">
        <v>258</v>
      </c>
      <c r="AA46" s="51" t="s">
        <v>258</v>
      </c>
      <c r="AB46" s="51" t="s">
        <v>258</v>
      </c>
      <c r="AC46" s="51" t="s">
        <v>258</v>
      </c>
      <c r="AD46" s="51" t="s">
        <v>258</v>
      </c>
      <c r="AE46" s="51" t="s">
        <v>258</v>
      </c>
      <c r="AF46" s="51" t="s">
        <v>258</v>
      </c>
      <c r="AG46" s="51" t="s">
        <v>258</v>
      </c>
      <c r="AH46" s="51" t="s">
        <v>258</v>
      </c>
      <c r="AI46" s="51" t="s">
        <v>258</v>
      </c>
      <c r="AJ46" s="51" t="s">
        <v>257</v>
      </c>
      <c r="AL46" s="50">
        <f t="shared" si="15"/>
        <v>0</v>
      </c>
      <c r="AM46" s="50">
        <f t="shared" si="16"/>
        <v>3</v>
      </c>
      <c r="AN46" s="50">
        <f t="shared" si="17"/>
        <v>3</v>
      </c>
      <c r="AO46" s="50">
        <f t="shared" si="18"/>
        <v>4</v>
      </c>
      <c r="AP46" s="50">
        <f t="shared" si="19"/>
        <v>7</v>
      </c>
    </row>
    <row r="47" spans="2:42" ht="18.75" x14ac:dyDescent="0.25">
      <c r="B47" s="37" t="s">
        <v>248</v>
      </c>
      <c r="C47" s="145" t="s">
        <v>164</v>
      </c>
      <c r="D47" s="145"/>
      <c r="F47" s="51" t="s">
        <v>258</v>
      </c>
      <c r="G47" s="51" t="s">
        <v>258</v>
      </c>
      <c r="H47" s="51" t="s">
        <v>258</v>
      </c>
      <c r="I47" s="51" t="s">
        <v>258</v>
      </c>
      <c r="J47" s="51" t="s">
        <v>258</v>
      </c>
      <c r="K47" s="51" t="s">
        <v>258</v>
      </c>
      <c r="L47" s="51" t="s">
        <v>258</v>
      </c>
      <c r="M47" s="51" t="s">
        <v>258</v>
      </c>
      <c r="N47" s="51" t="s">
        <v>258</v>
      </c>
      <c r="O47" s="51" t="s">
        <v>258</v>
      </c>
      <c r="P47" s="51" t="s">
        <v>258</v>
      </c>
      <c r="Q47" s="51" t="s">
        <v>258</v>
      </c>
      <c r="R47" s="51" t="s">
        <v>258</v>
      </c>
      <c r="S47" s="51" t="s">
        <v>258</v>
      </c>
      <c r="T47" s="51" t="s">
        <v>258</v>
      </c>
      <c r="U47" s="51" t="s">
        <v>258</v>
      </c>
      <c r="V47" s="51" t="s">
        <v>258</v>
      </c>
      <c r="W47" s="51" t="s">
        <v>258</v>
      </c>
      <c r="X47" s="51" t="s">
        <v>258</v>
      </c>
      <c r="Y47" s="51" t="s">
        <v>257</v>
      </c>
      <c r="Z47" s="51" t="s">
        <v>257</v>
      </c>
      <c r="AA47" s="51" t="s">
        <v>257</v>
      </c>
      <c r="AB47" s="51" t="s">
        <v>229</v>
      </c>
      <c r="AC47" s="51" t="s">
        <v>229</v>
      </c>
      <c r="AD47" s="51" t="s">
        <v>230</v>
      </c>
      <c r="AE47" s="51" t="s">
        <v>254</v>
      </c>
      <c r="AF47" s="51" t="s">
        <v>254</v>
      </c>
      <c r="AG47" s="51" t="s">
        <v>257</v>
      </c>
      <c r="AH47" s="51" t="s">
        <v>257</v>
      </c>
      <c r="AI47" s="51" t="s">
        <v>257</v>
      </c>
      <c r="AJ47" s="51" t="s">
        <v>229</v>
      </c>
      <c r="AL47" s="50">
        <f t="shared" si="15"/>
        <v>0</v>
      </c>
      <c r="AM47" s="50">
        <f t="shared" si="16"/>
        <v>3</v>
      </c>
      <c r="AN47" s="50">
        <f t="shared" si="17"/>
        <v>1</v>
      </c>
      <c r="AO47" s="50">
        <f t="shared" si="18"/>
        <v>2</v>
      </c>
      <c r="AP47" s="50">
        <f t="shared" si="19"/>
        <v>6</v>
      </c>
    </row>
    <row r="48" spans="2:42" ht="18.75" x14ac:dyDescent="0.25">
      <c r="B48" s="37" t="s">
        <v>248</v>
      </c>
      <c r="C48" s="145" t="s">
        <v>165</v>
      </c>
      <c r="D48" s="145"/>
      <c r="F48" s="51" t="s">
        <v>258</v>
      </c>
      <c r="G48" s="51" t="s">
        <v>258</v>
      </c>
      <c r="H48" s="51" t="s">
        <v>258</v>
      </c>
      <c r="I48" s="51" t="s">
        <v>257</v>
      </c>
      <c r="J48" s="51" t="s">
        <v>257</v>
      </c>
      <c r="K48" s="51" t="s">
        <v>229</v>
      </c>
      <c r="L48" s="51" t="s">
        <v>144</v>
      </c>
      <c r="M48" s="51" t="s">
        <v>230</v>
      </c>
      <c r="N48" s="51" t="s">
        <v>254</v>
      </c>
      <c r="O48" s="51" t="s">
        <v>254</v>
      </c>
      <c r="P48" s="51" t="s">
        <v>257</v>
      </c>
      <c r="Q48" s="51" t="s">
        <v>257</v>
      </c>
      <c r="R48" s="51" t="s">
        <v>257</v>
      </c>
      <c r="S48" s="51" t="s">
        <v>229</v>
      </c>
      <c r="T48" s="51" t="s">
        <v>230</v>
      </c>
      <c r="U48" s="51" t="s">
        <v>230</v>
      </c>
      <c r="V48" s="51" t="s">
        <v>254</v>
      </c>
      <c r="W48" s="51" t="s">
        <v>254</v>
      </c>
      <c r="X48" s="51" t="s">
        <v>257</v>
      </c>
      <c r="Y48" s="51" t="s">
        <v>257</v>
      </c>
      <c r="Z48" s="51" t="s">
        <v>257</v>
      </c>
      <c r="AA48" s="51" t="s">
        <v>144</v>
      </c>
      <c r="AB48" s="51" t="s">
        <v>230</v>
      </c>
      <c r="AC48" s="51" t="s">
        <v>230</v>
      </c>
      <c r="AD48" s="51" t="s">
        <v>254</v>
      </c>
      <c r="AE48" s="51" t="s">
        <v>254</v>
      </c>
      <c r="AF48" s="51" t="s">
        <v>257</v>
      </c>
      <c r="AG48" s="51" t="s">
        <v>257</v>
      </c>
      <c r="AH48" s="51" t="s">
        <v>257</v>
      </c>
      <c r="AI48" s="51" t="s">
        <v>229</v>
      </c>
      <c r="AJ48" s="51" t="s">
        <v>230</v>
      </c>
      <c r="AL48" s="50">
        <f t="shared" si="15"/>
        <v>0</v>
      </c>
      <c r="AM48" s="50">
        <f t="shared" si="16"/>
        <v>3</v>
      </c>
      <c r="AN48" s="50">
        <f t="shared" si="17"/>
        <v>6</v>
      </c>
      <c r="AO48" s="50">
        <f t="shared" si="18"/>
        <v>6</v>
      </c>
      <c r="AP48" s="50">
        <f t="shared" si="19"/>
        <v>11</v>
      </c>
    </row>
    <row r="49" spans="2:42" ht="18.75" x14ac:dyDescent="0.25">
      <c r="B49" s="37" t="s">
        <v>248</v>
      </c>
      <c r="C49" s="145" t="s">
        <v>167</v>
      </c>
      <c r="D49" s="145"/>
      <c r="F49" s="104" t="s">
        <v>257</v>
      </c>
      <c r="G49" s="104" t="s">
        <v>257</v>
      </c>
      <c r="H49" s="103" t="s">
        <v>257</v>
      </c>
      <c r="I49" s="104" t="s">
        <v>229</v>
      </c>
      <c r="J49" s="104" t="s">
        <v>144</v>
      </c>
      <c r="K49" s="104" t="s">
        <v>230</v>
      </c>
      <c r="L49" s="104" t="s">
        <v>230</v>
      </c>
      <c r="M49" s="103" t="s">
        <v>254</v>
      </c>
      <c r="N49" s="104" t="s">
        <v>257</v>
      </c>
      <c r="O49" s="104" t="s">
        <v>257</v>
      </c>
      <c r="P49" s="104" t="s">
        <v>257</v>
      </c>
      <c r="Q49" s="104" t="s">
        <v>144</v>
      </c>
      <c r="R49" s="103" t="s">
        <v>229</v>
      </c>
      <c r="S49" s="104" t="s">
        <v>144</v>
      </c>
      <c r="T49" s="104" t="s">
        <v>254</v>
      </c>
      <c r="U49" s="104" t="s">
        <v>254</v>
      </c>
      <c r="V49" s="104" t="s">
        <v>257</v>
      </c>
      <c r="W49" s="104" t="s">
        <v>257</v>
      </c>
      <c r="X49" s="104" t="s">
        <v>257</v>
      </c>
      <c r="Y49" s="104" t="s">
        <v>229</v>
      </c>
      <c r="Z49" s="104" t="s">
        <v>229</v>
      </c>
      <c r="AA49" s="103" t="s">
        <v>230</v>
      </c>
      <c r="AB49" s="104" t="s">
        <v>254</v>
      </c>
      <c r="AC49" s="104" t="s">
        <v>254</v>
      </c>
      <c r="AD49" s="104" t="s">
        <v>257</v>
      </c>
      <c r="AE49" s="104" t="s">
        <v>257</v>
      </c>
      <c r="AF49" s="103" t="s">
        <v>257</v>
      </c>
      <c r="AG49" s="104" t="s">
        <v>229</v>
      </c>
      <c r="AH49" s="104" t="s">
        <v>230</v>
      </c>
      <c r="AI49" s="104" t="s">
        <v>230</v>
      </c>
      <c r="AJ49" s="104" t="s">
        <v>254</v>
      </c>
      <c r="AL49" s="50">
        <f t="shared" si="15"/>
        <v>0</v>
      </c>
      <c r="AM49" s="50">
        <f t="shared" si="16"/>
        <v>5</v>
      </c>
      <c r="AN49" s="50">
        <f t="shared" si="17"/>
        <v>5</v>
      </c>
      <c r="AO49" s="50">
        <f t="shared" si="18"/>
        <v>6</v>
      </c>
      <c r="AP49" s="50">
        <f t="shared" si="19"/>
        <v>12</v>
      </c>
    </row>
    <row r="50" spans="2:42" ht="18.75" x14ac:dyDescent="0.25">
      <c r="B50" s="37" t="s">
        <v>248</v>
      </c>
      <c r="C50" s="145" t="s">
        <v>168</v>
      </c>
      <c r="D50" s="145"/>
      <c r="F50" s="104" t="s">
        <v>257</v>
      </c>
      <c r="G50" s="104" t="s">
        <v>257</v>
      </c>
      <c r="H50" s="104" t="s">
        <v>258</v>
      </c>
      <c r="I50" s="104" t="s">
        <v>258</v>
      </c>
      <c r="J50" s="56" t="s">
        <v>258</v>
      </c>
      <c r="K50" s="56" t="s">
        <v>258</v>
      </c>
      <c r="L50" s="56" t="s">
        <v>258</v>
      </c>
      <c r="M50" s="56" t="s">
        <v>258</v>
      </c>
      <c r="N50" s="51" t="s">
        <v>258</v>
      </c>
      <c r="O50" s="51" t="s">
        <v>258</v>
      </c>
      <c r="P50" s="51" t="s">
        <v>258</v>
      </c>
      <c r="Q50" s="51" t="s">
        <v>258</v>
      </c>
      <c r="R50" s="51" t="s">
        <v>258</v>
      </c>
      <c r="S50" s="51" t="s">
        <v>258</v>
      </c>
      <c r="T50" s="51" t="s">
        <v>258</v>
      </c>
      <c r="U50" s="51" t="s">
        <v>258</v>
      </c>
      <c r="V50" s="51" t="s">
        <v>257</v>
      </c>
      <c r="W50" s="51" t="s">
        <v>257</v>
      </c>
      <c r="X50" s="103" t="s">
        <v>229</v>
      </c>
      <c r="Y50" s="104" t="s">
        <v>230</v>
      </c>
      <c r="Z50" s="104" t="s">
        <v>230</v>
      </c>
      <c r="AA50" s="104" t="s">
        <v>254</v>
      </c>
      <c r="AB50" s="104" t="s">
        <v>254</v>
      </c>
      <c r="AC50" s="103" t="s">
        <v>257</v>
      </c>
      <c r="AD50" s="104" t="s">
        <v>257</v>
      </c>
      <c r="AE50" s="104" t="s">
        <v>257</v>
      </c>
      <c r="AF50" s="104" t="s">
        <v>229</v>
      </c>
      <c r="AG50" s="104" t="s">
        <v>230</v>
      </c>
      <c r="AH50" s="56" t="s">
        <v>230</v>
      </c>
      <c r="AI50" s="56" t="s">
        <v>254</v>
      </c>
      <c r="AJ50" s="56" t="s">
        <v>254</v>
      </c>
      <c r="AL50" s="50">
        <f t="shared" si="15"/>
        <v>0</v>
      </c>
      <c r="AM50" s="50">
        <f t="shared" si="16"/>
        <v>2</v>
      </c>
      <c r="AN50" s="50">
        <f t="shared" si="17"/>
        <v>4</v>
      </c>
      <c r="AO50" s="50">
        <f t="shared" si="18"/>
        <v>4</v>
      </c>
      <c r="AP50" s="50">
        <f t="shared" si="19"/>
        <v>7</v>
      </c>
    </row>
    <row r="51" spans="2:42" ht="18.75" x14ac:dyDescent="0.25">
      <c r="B51" s="37" t="s">
        <v>248</v>
      </c>
      <c r="C51" s="145" t="s">
        <v>169</v>
      </c>
      <c r="D51" s="145"/>
      <c r="F51" s="51" t="s">
        <v>257</v>
      </c>
      <c r="G51" s="51" t="s">
        <v>229</v>
      </c>
      <c r="H51" s="51" t="s">
        <v>230</v>
      </c>
      <c r="I51" s="51" t="s">
        <v>230</v>
      </c>
      <c r="J51" s="51" t="s">
        <v>230</v>
      </c>
      <c r="K51" s="51" t="s">
        <v>254</v>
      </c>
      <c r="L51" s="51" t="s">
        <v>257</v>
      </c>
      <c r="M51" s="51" t="s">
        <v>257</v>
      </c>
      <c r="N51" s="51" t="s">
        <v>257</v>
      </c>
      <c r="O51" s="51" t="s">
        <v>229</v>
      </c>
      <c r="P51" s="51" t="s">
        <v>229</v>
      </c>
      <c r="Q51" s="51" t="s">
        <v>230</v>
      </c>
      <c r="R51" s="51" t="s">
        <v>230</v>
      </c>
      <c r="S51" s="51" t="s">
        <v>254</v>
      </c>
      <c r="T51" s="51" t="s">
        <v>257</v>
      </c>
      <c r="U51" s="51" t="s">
        <v>257</v>
      </c>
      <c r="V51" s="51" t="s">
        <v>257</v>
      </c>
      <c r="W51" s="51" t="s">
        <v>258</v>
      </c>
      <c r="X51" s="51" t="s">
        <v>258</v>
      </c>
      <c r="Y51" s="51" t="s">
        <v>258</v>
      </c>
      <c r="Z51" s="51" t="s">
        <v>258</v>
      </c>
      <c r="AA51" s="51" t="s">
        <v>258</v>
      </c>
      <c r="AB51" s="51" t="s">
        <v>258</v>
      </c>
      <c r="AC51" s="51" t="s">
        <v>258</v>
      </c>
      <c r="AD51" s="51" t="s">
        <v>258</v>
      </c>
      <c r="AE51" s="51" t="s">
        <v>258</v>
      </c>
      <c r="AF51" s="51" t="s">
        <v>258</v>
      </c>
      <c r="AG51" s="51" t="s">
        <v>258</v>
      </c>
      <c r="AH51" s="51" t="s">
        <v>258</v>
      </c>
      <c r="AI51" s="51" t="s">
        <v>258</v>
      </c>
      <c r="AJ51" s="51" t="s">
        <v>258</v>
      </c>
      <c r="AL51" s="50">
        <f t="shared" si="15"/>
        <v>0</v>
      </c>
      <c r="AM51" s="50">
        <f t="shared" si="16"/>
        <v>3</v>
      </c>
      <c r="AN51" s="50">
        <f t="shared" si="17"/>
        <v>5</v>
      </c>
      <c r="AO51" s="50">
        <f t="shared" si="18"/>
        <v>2</v>
      </c>
      <c r="AP51" s="50">
        <f t="shared" si="19"/>
        <v>7</v>
      </c>
    </row>
    <row r="52" spans="2:42" ht="18.75" x14ac:dyDescent="0.25">
      <c r="B52" s="37" t="s">
        <v>248</v>
      </c>
      <c r="C52" s="145" t="s">
        <v>148</v>
      </c>
      <c r="D52" s="145"/>
      <c r="F52" s="51" t="s">
        <v>229</v>
      </c>
      <c r="G52" s="51" t="s">
        <v>230</v>
      </c>
      <c r="H52" s="51" t="s">
        <v>230</v>
      </c>
      <c r="I52" s="51" t="s">
        <v>254</v>
      </c>
      <c r="J52" s="51" t="s">
        <v>254</v>
      </c>
      <c r="K52" s="51" t="s">
        <v>257</v>
      </c>
      <c r="L52" s="51" t="s">
        <v>257</v>
      </c>
      <c r="M52" s="51" t="s">
        <v>257</v>
      </c>
      <c r="N52" s="51" t="s">
        <v>229</v>
      </c>
      <c r="O52" s="51" t="s">
        <v>229</v>
      </c>
      <c r="P52" s="51" t="s">
        <v>230</v>
      </c>
      <c r="Q52" s="51" t="s">
        <v>230</v>
      </c>
      <c r="R52" s="51" t="s">
        <v>254</v>
      </c>
      <c r="S52" s="51" t="s">
        <v>257</v>
      </c>
      <c r="T52" s="51" t="s">
        <v>257</v>
      </c>
      <c r="U52" s="51" t="s">
        <v>257</v>
      </c>
      <c r="V52" s="51" t="s">
        <v>229</v>
      </c>
      <c r="W52" s="104" t="s">
        <v>229</v>
      </c>
      <c r="X52" s="104" t="s">
        <v>230</v>
      </c>
      <c r="Y52" s="104" t="s">
        <v>254</v>
      </c>
      <c r="Z52" s="104" t="s">
        <v>254</v>
      </c>
      <c r="AA52" s="51" t="s">
        <v>257</v>
      </c>
      <c r="AB52" s="51" t="s">
        <v>257</v>
      </c>
      <c r="AC52" s="51" t="s">
        <v>257</v>
      </c>
      <c r="AD52" s="51" t="s">
        <v>229</v>
      </c>
      <c r="AE52" s="51" t="s">
        <v>230</v>
      </c>
      <c r="AF52" s="51" t="s">
        <v>230</v>
      </c>
      <c r="AG52" s="51" t="s">
        <v>254</v>
      </c>
      <c r="AH52" s="51" t="s">
        <v>254</v>
      </c>
      <c r="AI52" s="51" t="s">
        <v>257</v>
      </c>
      <c r="AJ52" s="51" t="s">
        <v>257</v>
      </c>
      <c r="AL52" s="50">
        <f t="shared" si="15"/>
        <v>0</v>
      </c>
      <c r="AM52" s="50">
        <f t="shared" si="16"/>
        <v>6</v>
      </c>
      <c r="AN52" s="50">
        <f t="shared" si="17"/>
        <v>7</v>
      </c>
      <c r="AO52" s="50">
        <f t="shared" si="18"/>
        <v>7</v>
      </c>
      <c r="AP52" s="50">
        <f t="shared" si="19"/>
        <v>11</v>
      </c>
    </row>
    <row r="53" spans="2:42" ht="18.75" x14ac:dyDescent="0.25">
      <c r="B53" s="37" t="s">
        <v>248</v>
      </c>
      <c r="C53" s="145" t="s">
        <v>171</v>
      </c>
      <c r="D53" s="145"/>
      <c r="F53" s="51" t="s">
        <v>230</v>
      </c>
      <c r="G53" s="51" t="s">
        <v>230</v>
      </c>
      <c r="H53" s="51" t="s">
        <v>254</v>
      </c>
      <c r="I53" s="51" t="s">
        <v>254</v>
      </c>
      <c r="J53" s="51" t="s">
        <v>257</v>
      </c>
      <c r="K53" s="51" t="s">
        <v>257</v>
      </c>
      <c r="L53" s="51" t="s">
        <v>257</v>
      </c>
      <c r="M53" s="51" t="s">
        <v>229</v>
      </c>
      <c r="N53" s="51" t="s">
        <v>230</v>
      </c>
      <c r="O53" s="51" t="s">
        <v>230</v>
      </c>
      <c r="P53" s="51" t="s">
        <v>254</v>
      </c>
      <c r="Q53" s="51" t="s">
        <v>254</v>
      </c>
      <c r="R53" s="51" t="s">
        <v>257</v>
      </c>
      <c r="S53" s="51" t="s">
        <v>257</v>
      </c>
      <c r="T53" s="51" t="s">
        <v>257</v>
      </c>
      <c r="U53" s="51" t="s">
        <v>258</v>
      </c>
      <c r="V53" s="51" t="s">
        <v>258</v>
      </c>
      <c r="W53" s="51" t="s">
        <v>258</v>
      </c>
      <c r="X53" s="51" t="s">
        <v>258</v>
      </c>
      <c r="Y53" s="51" t="s">
        <v>258</v>
      </c>
      <c r="Z53" s="51" t="s">
        <v>258</v>
      </c>
      <c r="AA53" s="51" t="s">
        <v>258</v>
      </c>
      <c r="AB53" s="51" t="s">
        <v>258</v>
      </c>
      <c r="AC53" s="51" t="s">
        <v>258</v>
      </c>
      <c r="AD53" s="51" t="s">
        <v>258</v>
      </c>
      <c r="AE53" s="51" t="s">
        <v>258</v>
      </c>
      <c r="AF53" s="51" t="s">
        <v>258</v>
      </c>
      <c r="AG53" s="51" t="s">
        <v>258</v>
      </c>
      <c r="AH53" s="51" t="s">
        <v>258</v>
      </c>
      <c r="AI53" s="51" t="s">
        <v>257</v>
      </c>
      <c r="AJ53" s="51" t="s">
        <v>257</v>
      </c>
      <c r="AL53" s="50">
        <f t="shared" si="15"/>
        <v>0</v>
      </c>
      <c r="AM53" s="50">
        <f t="shared" si="16"/>
        <v>1</v>
      </c>
      <c r="AN53" s="50">
        <f t="shared" si="17"/>
        <v>4</v>
      </c>
      <c r="AO53" s="50">
        <f t="shared" si="18"/>
        <v>4</v>
      </c>
      <c r="AP53" s="50">
        <f t="shared" si="19"/>
        <v>8</v>
      </c>
    </row>
    <row r="54" spans="2:42" ht="18.75" x14ac:dyDescent="0.25">
      <c r="B54" s="37" t="s">
        <v>248</v>
      </c>
      <c r="C54" s="145" t="s">
        <v>172</v>
      </c>
      <c r="D54" s="145"/>
      <c r="F54" s="51" t="s">
        <v>230</v>
      </c>
      <c r="G54" s="51" t="s">
        <v>254</v>
      </c>
      <c r="H54" s="51" t="s">
        <v>254</v>
      </c>
      <c r="I54" s="51" t="s">
        <v>257</v>
      </c>
      <c r="J54" s="51" t="s">
        <v>257</v>
      </c>
      <c r="K54" s="51" t="s">
        <v>257</v>
      </c>
      <c r="L54" s="51" t="s">
        <v>144</v>
      </c>
      <c r="M54" s="51" t="s">
        <v>144</v>
      </c>
      <c r="N54" s="51" t="s">
        <v>230</v>
      </c>
      <c r="O54" s="51" t="s">
        <v>254</v>
      </c>
      <c r="P54" s="51" t="s">
        <v>254</v>
      </c>
      <c r="Q54" s="51" t="s">
        <v>257</v>
      </c>
      <c r="R54" s="51" t="s">
        <v>257</v>
      </c>
      <c r="S54" s="51" t="s">
        <v>257</v>
      </c>
      <c r="T54" s="51" t="s">
        <v>229</v>
      </c>
      <c r="U54" s="51" t="s">
        <v>229</v>
      </c>
      <c r="V54" s="51" t="s">
        <v>230</v>
      </c>
      <c r="W54" s="51" t="s">
        <v>230</v>
      </c>
      <c r="X54" s="51" t="s">
        <v>254</v>
      </c>
      <c r="Y54" s="51" t="s">
        <v>257</v>
      </c>
      <c r="Z54" s="51" t="s">
        <v>257</v>
      </c>
      <c r="AA54" s="51" t="s">
        <v>257</v>
      </c>
      <c r="AB54" s="51" t="s">
        <v>229</v>
      </c>
      <c r="AC54" s="51" t="s">
        <v>230</v>
      </c>
      <c r="AD54" s="51" t="s">
        <v>230</v>
      </c>
      <c r="AE54" s="51" t="s">
        <v>254</v>
      </c>
      <c r="AF54" s="51" t="s">
        <v>254</v>
      </c>
      <c r="AG54" s="51" t="s">
        <v>257</v>
      </c>
      <c r="AH54" s="51" t="s">
        <v>257</v>
      </c>
      <c r="AI54" s="51" t="s">
        <v>257</v>
      </c>
      <c r="AJ54" s="51" t="s">
        <v>229</v>
      </c>
      <c r="AL54" s="50">
        <f t="shared" si="15"/>
        <v>0</v>
      </c>
      <c r="AM54" s="50">
        <f t="shared" si="16"/>
        <v>4</v>
      </c>
      <c r="AN54" s="50">
        <f t="shared" si="17"/>
        <v>6</v>
      </c>
      <c r="AO54" s="50">
        <f t="shared" si="18"/>
        <v>7</v>
      </c>
      <c r="AP54" s="50">
        <f t="shared" si="19"/>
        <v>12</v>
      </c>
    </row>
    <row r="55" spans="2:42" ht="18.75" x14ac:dyDescent="0.25">
      <c r="B55" s="37" t="s">
        <v>248</v>
      </c>
      <c r="C55" s="146" t="s">
        <v>173</v>
      </c>
      <c r="D55" s="151"/>
      <c r="F55" s="51" t="s">
        <v>254</v>
      </c>
      <c r="G55" s="51" t="s">
        <v>254</v>
      </c>
      <c r="H55" s="51" t="s">
        <v>257</v>
      </c>
      <c r="I55" s="51" t="s">
        <v>257</v>
      </c>
      <c r="J55" s="51" t="s">
        <v>257</v>
      </c>
      <c r="K55" s="51" t="s">
        <v>229</v>
      </c>
      <c r="L55" s="51" t="s">
        <v>229</v>
      </c>
      <c r="M55" s="51" t="s">
        <v>230</v>
      </c>
      <c r="N55" s="51" t="s">
        <v>230</v>
      </c>
      <c r="O55" s="51" t="s">
        <v>254</v>
      </c>
      <c r="P55" s="51" t="s">
        <v>257</v>
      </c>
      <c r="Q55" s="51" t="s">
        <v>257</v>
      </c>
      <c r="R55" s="51" t="s">
        <v>257</v>
      </c>
      <c r="S55" s="51" t="s">
        <v>229</v>
      </c>
      <c r="T55" s="51" t="s">
        <v>230</v>
      </c>
      <c r="U55" s="51" t="s">
        <v>230</v>
      </c>
      <c r="V55" s="51" t="s">
        <v>254</v>
      </c>
      <c r="W55" s="51" t="s">
        <v>254</v>
      </c>
      <c r="X55" s="51" t="s">
        <v>257</v>
      </c>
      <c r="Y55" s="51" t="s">
        <v>257</v>
      </c>
      <c r="Z55" s="51" t="s">
        <v>257</v>
      </c>
      <c r="AA55" s="51" t="s">
        <v>229</v>
      </c>
      <c r="AB55" s="51" t="s">
        <v>230</v>
      </c>
      <c r="AC55" s="51" t="s">
        <v>230</v>
      </c>
      <c r="AD55" s="51" t="s">
        <v>254</v>
      </c>
      <c r="AE55" s="51" t="s">
        <v>254</v>
      </c>
      <c r="AF55" s="51" t="s">
        <v>257</v>
      </c>
      <c r="AG55" s="51" t="s">
        <v>257</v>
      </c>
      <c r="AH55" s="51" t="s">
        <v>257</v>
      </c>
      <c r="AI55" s="51" t="s">
        <v>229</v>
      </c>
      <c r="AJ55" s="51" t="s">
        <v>229</v>
      </c>
      <c r="AL55" s="50">
        <f t="shared" si="15"/>
        <v>0</v>
      </c>
      <c r="AM55" s="50">
        <f t="shared" si="16"/>
        <v>6</v>
      </c>
      <c r="AN55" s="50">
        <f t="shared" si="17"/>
        <v>6</v>
      </c>
      <c r="AO55" s="50">
        <f t="shared" si="18"/>
        <v>7</v>
      </c>
      <c r="AP55" s="50">
        <f t="shared" si="19"/>
        <v>12</v>
      </c>
    </row>
    <row r="56" spans="2:42" ht="18.75" x14ac:dyDescent="0.25">
      <c r="B56" s="37" t="s">
        <v>248</v>
      </c>
      <c r="C56" s="146" t="s">
        <v>211</v>
      </c>
      <c r="D56" s="151"/>
      <c r="F56" s="51" t="s">
        <v>254</v>
      </c>
      <c r="G56" s="51" t="s">
        <v>257</v>
      </c>
      <c r="H56" s="51" t="s">
        <v>257</v>
      </c>
      <c r="I56" s="51" t="s">
        <v>257</v>
      </c>
      <c r="J56" s="51" t="s">
        <v>229</v>
      </c>
      <c r="K56" s="51" t="s">
        <v>230</v>
      </c>
      <c r="L56" s="51" t="s">
        <v>144</v>
      </c>
      <c r="M56" s="51" t="s">
        <v>144</v>
      </c>
      <c r="N56" s="51" t="s">
        <v>254</v>
      </c>
      <c r="O56" s="51" t="s">
        <v>257</v>
      </c>
      <c r="P56" s="51" t="s">
        <v>257</v>
      </c>
      <c r="Q56" s="51" t="s">
        <v>257</v>
      </c>
      <c r="R56" s="51" t="s">
        <v>229</v>
      </c>
      <c r="S56" s="51" t="s">
        <v>230</v>
      </c>
      <c r="T56" s="51" t="s">
        <v>230</v>
      </c>
      <c r="U56" s="51" t="s">
        <v>254</v>
      </c>
      <c r="V56" s="51" t="s">
        <v>254</v>
      </c>
      <c r="W56" s="51" t="s">
        <v>257</v>
      </c>
      <c r="X56" s="51" t="s">
        <v>257</v>
      </c>
      <c r="Y56" s="51" t="s">
        <v>257</v>
      </c>
      <c r="Z56" s="51" t="s">
        <v>144</v>
      </c>
      <c r="AA56" s="51" t="s">
        <v>144</v>
      </c>
      <c r="AB56" s="51" t="s">
        <v>230</v>
      </c>
      <c r="AC56" s="51" t="s">
        <v>254</v>
      </c>
      <c r="AD56" s="51" t="s">
        <v>254</v>
      </c>
      <c r="AE56" s="51" t="s">
        <v>257</v>
      </c>
      <c r="AF56" s="51" t="s">
        <v>257</v>
      </c>
      <c r="AG56" s="51" t="s">
        <v>257</v>
      </c>
      <c r="AH56" s="51" t="s">
        <v>229</v>
      </c>
      <c r="AI56" s="51" t="s">
        <v>229</v>
      </c>
      <c r="AJ56" s="51" t="s">
        <v>230</v>
      </c>
      <c r="AL56" s="50">
        <f t="shared" si="15"/>
        <v>0</v>
      </c>
      <c r="AM56" s="50">
        <f t="shared" si="16"/>
        <v>4</v>
      </c>
      <c r="AN56" s="50">
        <f t="shared" si="17"/>
        <v>5</v>
      </c>
      <c r="AO56" s="50">
        <f t="shared" si="18"/>
        <v>6</v>
      </c>
      <c r="AP56" s="50">
        <f t="shared" si="19"/>
        <v>12</v>
      </c>
    </row>
    <row r="57" spans="2:42" ht="18.75" x14ac:dyDescent="0.25">
      <c r="B57" s="37" t="s">
        <v>248</v>
      </c>
      <c r="C57" s="146" t="s">
        <v>213</v>
      </c>
      <c r="D57" s="151"/>
      <c r="F57" s="51" t="s">
        <v>257</v>
      </c>
      <c r="G57" s="51" t="s">
        <v>257</v>
      </c>
      <c r="H57" s="51" t="s">
        <v>257</v>
      </c>
      <c r="I57" s="51" t="s">
        <v>229</v>
      </c>
      <c r="J57" s="51" t="s">
        <v>144</v>
      </c>
      <c r="K57" s="51" t="s">
        <v>230</v>
      </c>
      <c r="L57" s="51" t="s">
        <v>230</v>
      </c>
      <c r="M57" s="51" t="s">
        <v>254</v>
      </c>
      <c r="N57" s="51" t="s">
        <v>257</v>
      </c>
      <c r="O57" s="51" t="s">
        <v>257</v>
      </c>
      <c r="P57" s="51" t="s">
        <v>257</v>
      </c>
      <c r="Q57" s="51" t="s">
        <v>229</v>
      </c>
      <c r="R57" s="51" t="s">
        <v>144</v>
      </c>
      <c r="S57" s="51" t="s">
        <v>230</v>
      </c>
      <c r="T57" s="51" t="s">
        <v>254</v>
      </c>
      <c r="U57" s="51" t="s">
        <v>254</v>
      </c>
      <c r="V57" s="51" t="s">
        <v>257</v>
      </c>
      <c r="W57" s="51" t="s">
        <v>257</v>
      </c>
      <c r="X57" s="51" t="s">
        <v>257</v>
      </c>
      <c r="Y57" s="51" t="s">
        <v>229</v>
      </c>
      <c r="Z57" s="51" t="s">
        <v>229</v>
      </c>
      <c r="AA57" s="51" t="s">
        <v>230</v>
      </c>
      <c r="AB57" s="51" t="s">
        <v>254</v>
      </c>
      <c r="AC57" s="51" t="s">
        <v>254</v>
      </c>
      <c r="AD57" s="51" t="s">
        <v>257</v>
      </c>
      <c r="AE57" s="51" t="s">
        <v>257</v>
      </c>
      <c r="AF57" s="51" t="s">
        <v>257</v>
      </c>
      <c r="AG57" s="51" t="s">
        <v>229</v>
      </c>
      <c r="AH57" s="51" t="s">
        <v>229</v>
      </c>
      <c r="AI57" s="51" t="s">
        <v>230</v>
      </c>
      <c r="AJ57" s="51" t="s">
        <v>230</v>
      </c>
      <c r="AL57" s="50">
        <f t="shared" si="15"/>
        <v>0</v>
      </c>
      <c r="AM57" s="50">
        <f t="shared" si="16"/>
        <v>6</v>
      </c>
      <c r="AN57" s="50">
        <f t="shared" si="17"/>
        <v>6</v>
      </c>
      <c r="AO57" s="50">
        <f t="shared" si="18"/>
        <v>5</v>
      </c>
      <c r="AP57" s="50">
        <f t="shared" si="19"/>
        <v>12</v>
      </c>
    </row>
    <row r="58" spans="2:42" ht="18.75" x14ac:dyDescent="0.25">
      <c r="B58" s="37" t="s">
        <v>248</v>
      </c>
      <c r="C58" s="146" t="s">
        <v>212</v>
      </c>
      <c r="D58" s="151"/>
      <c r="F58" s="51" t="s">
        <v>257</v>
      </c>
      <c r="G58" s="51" t="s">
        <v>257</v>
      </c>
      <c r="H58" s="51" t="s">
        <v>229</v>
      </c>
      <c r="I58" s="51" t="s">
        <v>230</v>
      </c>
      <c r="J58" s="51" t="s">
        <v>230</v>
      </c>
      <c r="K58" s="51" t="s">
        <v>254</v>
      </c>
      <c r="L58" s="51" t="s">
        <v>254</v>
      </c>
      <c r="M58" s="51" t="s">
        <v>257</v>
      </c>
      <c r="N58" s="51" t="s">
        <v>257</v>
      </c>
      <c r="O58" s="51" t="s">
        <v>257</v>
      </c>
      <c r="P58" s="51" t="s">
        <v>258</v>
      </c>
      <c r="Q58" s="51" t="s">
        <v>258</v>
      </c>
      <c r="R58" s="51" t="s">
        <v>258</v>
      </c>
      <c r="S58" s="51" t="s">
        <v>258</v>
      </c>
      <c r="T58" s="51" t="s">
        <v>258</v>
      </c>
      <c r="U58" s="51" t="s">
        <v>258</v>
      </c>
      <c r="V58" s="51" t="s">
        <v>257</v>
      </c>
      <c r="W58" s="51" t="s">
        <v>257</v>
      </c>
      <c r="X58" s="51" t="s">
        <v>229</v>
      </c>
      <c r="Y58" s="51" t="s">
        <v>229</v>
      </c>
      <c r="Z58" s="51" t="s">
        <v>230</v>
      </c>
      <c r="AA58" s="51" t="s">
        <v>254</v>
      </c>
      <c r="AB58" s="51" t="s">
        <v>254</v>
      </c>
      <c r="AC58" s="51" t="s">
        <v>257</v>
      </c>
      <c r="AD58" s="51" t="s">
        <v>257</v>
      </c>
      <c r="AE58" s="51" t="s">
        <v>257</v>
      </c>
      <c r="AF58" s="51" t="s">
        <v>229</v>
      </c>
      <c r="AG58" s="51" t="s">
        <v>230</v>
      </c>
      <c r="AH58" s="51" t="s">
        <v>230</v>
      </c>
      <c r="AI58" s="51" t="s">
        <v>254</v>
      </c>
      <c r="AJ58" s="51" t="s">
        <v>254</v>
      </c>
      <c r="AL58" s="50">
        <f t="shared" si="15"/>
        <v>0</v>
      </c>
      <c r="AM58" s="50">
        <f t="shared" si="16"/>
        <v>4</v>
      </c>
      <c r="AN58" s="50">
        <f t="shared" si="17"/>
        <v>5</v>
      </c>
      <c r="AO58" s="50">
        <f t="shared" si="18"/>
        <v>6</v>
      </c>
      <c r="AP58" s="50">
        <f t="shared" si="19"/>
        <v>10</v>
      </c>
    </row>
    <row r="59" spans="2:42" ht="18.75" x14ac:dyDescent="0.25">
      <c r="B59" s="37" t="s">
        <v>248</v>
      </c>
      <c r="C59" s="145" t="s">
        <v>174</v>
      </c>
      <c r="D59" s="145"/>
      <c r="F59" s="51" t="s">
        <v>257</v>
      </c>
      <c r="G59" s="51" t="s">
        <v>229</v>
      </c>
      <c r="H59" s="51" t="s">
        <v>230</v>
      </c>
      <c r="I59" s="51" t="s">
        <v>230</v>
      </c>
      <c r="J59" s="51" t="s">
        <v>254</v>
      </c>
      <c r="K59" s="51" t="s">
        <v>254</v>
      </c>
      <c r="L59" s="51" t="s">
        <v>257</v>
      </c>
      <c r="M59" s="51" t="s">
        <v>257</v>
      </c>
      <c r="N59" s="51" t="s">
        <v>257</v>
      </c>
      <c r="O59" s="103" t="s">
        <v>229</v>
      </c>
      <c r="P59" s="104" t="s">
        <v>229</v>
      </c>
      <c r="Q59" s="104" t="s">
        <v>230</v>
      </c>
      <c r="R59" s="104" t="s">
        <v>254</v>
      </c>
      <c r="S59" s="104" t="s">
        <v>254</v>
      </c>
      <c r="T59" s="51" t="s">
        <v>257</v>
      </c>
      <c r="U59" s="51" t="s">
        <v>257</v>
      </c>
      <c r="V59" s="51" t="s">
        <v>257</v>
      </c>
      <c r="W59" s="51" t="s">
        <v>229</v>
      </c>
      <c r="X59" s="51" t="s">
        <v>229</v>
      </c>
      <c r="Y59" s="51" t="s">
        <v>230</v>
      </c>
      <c r="Z59" s="51" t="s">
        <v>254</v>
      </c>
      <c r="AA59" s="51" t="s">
        <v>254</v>
      </c>
      <c r="AB59" s="51" t="s">
        <v>257</v>
      </c>
      <c r="AC59" s="51" t="s">
        <v>257</v>
      </c>
      <c r="AD59" s="51" t="s">
        <v>257</v>
      </c>
      <c r="AE59" s="51" t="s">
        <v>229</v>
      </c>
      <c r="AF59" s="51" t="s">
        <v>230</v>
      </c>
      <c r="AG59" s="51" t="s">
        <v>254</v>
      </c>
      <c r="AH59" s="51" t="s">
        <v>254</v>
      </c>
      <c r="AI59" s="51" t="s">
        <v>254</v>
      </c>
      <c r="AJ59" s="51" t="s">
        <v>257</v>
      </c>
      <c r="AL59" s="50">
        <f t="shared" si="15"/>
        <v>0</v>
      </c>
      <c r="AM59" s="50">
        <f t="shared" si="16"/>
        <v>6</v>
      </c>
      <c r="AN59" s="50">
        <f t="shared" si="17"/>
        <v>5</v>
      </c>
      <c r="AO59" s="50">
        <f t="shared" si="18"/>
        <v>9</v>
      </c>
      <c r="AP59" s="50">
        <f t="shared" si="19"/>
        <v>11</v>
      </c>
    </row>
    <row r="60" spans="2:42" ht="18.75" x14ac:dyDescent="0.25">
      <c r="B60" s="37" t="s">
        <v>248</v>
      </c>
      <c r="C60" s="145" t="s">
        <v>175</v>
      </c>
      <c r="D60" s="145"/>
      <c r="F60" s="51" t="s">
        <v>229</v>
      </c>
      <c r="G60" s="51" t="s">
        <v>229</v>
      </c>
      <c r="H60" s="51" t="s">
        <v>230</v>
      </c>
      <c r="I60" s="51" t="s">
        <v>254</v>
      </c>
      <c r="J60" s="51" t="s">
        <v>254</v>
      </c>
      <c r="K60" s="51" t="s">
        <v>257</v>
      </c>
      <c r="L60" s="51" t="s">
        <v>257</v>
      </c>
      <c r="M60" s="51" t="s">
        <v>257</v>
      </c>
      <c r="N60" s="51" t="s">
        <v>229</v>
      </c>
      <c r="O60" s="51" t="s">
        <v>229</v>
      </c>
      <c r="P60" s="51" t="s">
        <v>230</v>
      </c>
      <c r="Q60" s="51" t="s">
        <v>254</v>
      </c>
      <c r="R60" s="51" t="s">
        <v>254</v>
      </c>
      <c r="S60" s="51" t="s">
        <v>257</v>
      </c>
      <c r="T60" s="51" t="s">
        <v>257</v>
      </c>
      <c r="U60" s="51" t="s">
        <v>257</v>
      </c>
      <c r="V60" s="51" t="s">
        <v>229</v>
      </c>
      <c r="W60" s="51" t="s">
        <v>229</v>
      </c>
      <c r="X60" s="51" t="s">
        <v>230</v>
      </c>
      <c r="Y60" s="51" t="s">
        <v>254</v>
      </c>
      <c r="Z60" s="51" t="s">
        <v>254</v>
      </c>
      <c r="AA60" s="51" t="s">
        <v>257</v>
      </c>
      <c r="AB60" s="51" t="s">
        <v>257</v>
      </c>
      <c r="AC60" s="51" t="s">
        <v>257</v>
      </c>
      <c r="AD60" s="51" t="s">
        <v>229</v>
      </c>
      <c r="AE60" s="51" t="s">
        <v>229</v>
      </c>
      <c r="AF60" s="51" t="s">
        <v>230</v>
      </c>
      <c r="AG60" s="51" t="s">
        <v>254</v>
      </c>
      <c r="AH60" s="51" t="s">
        <v>254</v>
      </c>
      <c r="AI60" s="51" t="s">
        <v>257</v>
      </c>
      <c r="AJ60" s="51" t="s">
        <v>257</v>
      </c>
      <c r="AL60" s="50">
        <f t="shared" si="15"/>
        <v>0</v>
      </c>
      <c r="AM60" s="50">
        <f t="shared" si="16"/>
        <v>8</v>
      </c>
      <c r="AN60" s="50">
        <f t="shared" si="17"/>
        <v>4</v>
      </c>
      <c r="AO60" s="50">
        <f t="shared" si="18"/>
        <v>8</v>
      </c>
      <c r="AP60" s="50">
        <f t="shared" si="19"/>
        <v>11</v>
      </c>
    </row>
    <row r="61" spans="2:42" ht="18.75" x14ac:dyDescent="0.25">
      <c r="B61" s="37" t="s">
        <v>248</v>
      </c>
      <c r="C61" s="146" t="s">
        <v>176</v>
      </c>
      <c r="D61" s="151"/>
      <c r="F61" s="51" t="s">
        <v>258</v>
      </c>
      <c r="G61" s="51" t="s">
        <v>258</v>
      </c>
      <c r="H61" s="51" t="s">
        <v>258</v>
      </c>
      <c r="I61" s="51" t="s">
        <v>258</v>
      </c>
      <c r="J61" s="51" t="s">
        <v>258</v>
      </c>
      <c r="K61" s="51" t="s">
        <v>258</v>
      </c>
      <c r="L61" s="51" t="s">
        <v>258</v>
      </c>
      <c r="M61" s="51" t="s">
        <v>258</v>
      </c>
      <c r="N61" s="51" t="s">
        <v>258</v>
      </c>
      <c r="O61" s="51" t="s">
        <v>258</v>
      </c>
      <c r="P61" s="51" t="s">
        <v>258</v>
      </c>
      <c r="Q61" s="51" t="s">
        <v>258</v>
      </c>
      <c r="R61" s="51" t="s">
        <v>258</v>
      </c>
      <c r="S61" s="51" t="s">
        <v>257</v>
      </c>
      <c r="T61" s="51" t="s">
        <v>257</v>
      </c>
      <c r="U61" s="51" t="s">
        <v>229</v>
      </c>
      <c r="V61" s="51" t="s">
        <v>229</v>
      </c>
      <c r="W61" s="51" t="s">
        <v>230</v>
      </c>
      <c r="X61" s="51" t="s">
        <v>254</v>
      </c>
      <c r="Y61" s="51" t="s">
        <v>254</v>
      </c>
      <c r="Z61" s="51" t="s">
        <v>257</v>
      </c>
      <c r="AA61" s="51" t="s">
        <v>257</v>
      </c>
      <c r="AB61" s="51" t="s">
        <v>257</v>
      </c>
      <c r="AC61" s="51" t="s">
        <v>229</v>
      </c>
      <c r="AD61" s="51" t="s">
        <v>230</v>
      </c>
      <c r="AE61" s="51" t="s">
        <v>230</v>
      </c>
      <c r="AF61" s="51" t="s">
        <v>254</v>
      </c>
      <c r="AG61" s="51" t="s">
        <v>254</v>
      </c>
      <c r="AH61" s="51" t="s">
        <v>257</v>
      </c>
      <c r="AI61" s="51" t="s">
        <v>257</v>
      </c>
      <c r="AJ61" s="51" t="s">
        <v>257</v>
      </c>
      <c r="AL61" s="50">
        <f t="shared" si="15"/>
        <v>0</v>
      </c>
      <c r="AM61" s="50">
        <f t="shared" si="16"/>
        <v>3</v>
      </c>
      <c r="AN61" s="50">
        <f t="shared" si="17"/>
        <v>3</v>
      </c>
      <c r="AO61" s="50">
        <f t="shared" si="18"/>
        <v>4</v>
      </c>
      <c r="AP61" s="50">
        <f t="shared" si="19"/>
        <v>8</v>
      </c>
    </row>
    <row r="62" spans="2:42" ht="18.75" x14ac:dyDescent="0.25">
      <c r="B62" s="37" t="s">
        <v>248</v>
      </c>
      <c r="C62" s="145" t="s">
        <v>177</v>
      </c>
      <c r="D62" s="145"/>
      <c r="F62" s="51" t="s">
        <v>230</v>
      </c>
      <c r="G62" s="51" t="s">
        <v>254</v>
      </c>
      <c r="H62" s="51" t="s">
        <v>254</v>
      </c>
      <c r="I62" s="51" t="s">
        <v>257</v>
      </c>
      <c r="J62" s="51" t="s">
        <v>257</v>
      </c>
      <c r="K62" s="51" t="s">
        <v>257</v>
      </c>
      <c r="L62" s="51" t="s">
        <v>229</v>
      </c>
      <c r="M62" s="51" t="s">
        <v>229</v>
      </c>
      <c r="N62" s="51" t="s">
        <v>230</v>
      </c>
      <c r="O62" s="51" t="s">
        <v>254</v>
      </c>
      <c r="P62" s="51" t="s">
        <v>254</v>
      </c>
      <c r="Q62" s="51" t="s">
        <v>257</v>
      </c>
      <c r="R62" s="51" t="s">
        <v>257</v>
      </c>
      <c r="S62" s="51" t="s">
        <v>257</v>
      </c>
      <c r="T62" s="51" t="s">
        <v>229</v>
      </c>
      <c r="U62" s="51" t="s">
        <v>230</v>
      </c>
      <c r="V62" s="129" t="s">
        <v>230</v>
      </c>
      <c r="W62" s="51" t="s">
        <v>254</v>
      </c>
      <c r="X62" s="51" t="s">
        <v>254</v>
      </c>
      <c r="Y62" s="51" t="s">
        <v>257</v>
      </c>
      <c r="Z62" s="51" t="s">
        <v>257</v>
      </c>
      <c r="AA62" s="51" t="s">
        <v>257</v>
      </c>
      <c r="AB62" s="51" t="s">
        <v>229</v>
      </c>
      <c r="AC62" s="51" t="s">
        <v>229</v>
      </c>
      <c r="AD62" s="51" t="s">
        <v>230</v>
      </c>
      <c r="AE62" s="51" t="s">
        <v>254</v>
      </c>
      <c r="AF62" s="51" t="s">
        <v>254</v>
      </c>
      <c r="AG62" s="51" t="s">
        <v>257</v>
      </c>
      <c r="AH62" s="51" t="s">
        <v>257</v>
      </c>
      <c r="AI62" s="51" t="s">
        <v>257</v>
      </c>
      <c r="AJ62" s="51" t="s">
        <v>229</v>
      </c>
      <c r="AL62" s="50">
        <f t="shared" si="15"/>
        <v>0</v>
      </c>
      <c r="AM62" s="50">
        <f t="shared" si="16"/>
        <v>6</v>
      </c>
      <c r="AN62" s="50">
        <f t="shared" si="17"/>
        <v>5</v>
      </c>
      <c r="AO62" s="50">
        <f t="shared" si="18"/>
        <v>8</v>
      </c>
      <c r="AP62" s="50">
        <f t="shared" si="19"/>
        <v>12</v>
      </c>
    </row>
    <row r="63" spans="2:42" ht="18.75" x14ac:dyDescent="0.25">
      <c r="B63" s="37" t="s">
        <v>248</v>
      </c>
      <c r="C63" s="146" t="s">
        <v>184</v>
      </c>
      <c r="D63" s="151"/>
      <c r="F63" s="51" t="s">
        <v>230</v>
      </c>
      <c r="G63" s="51" t="s">
        <v>257</v>
      </c>
      <c r="H63" s="51" t="s">
        <v>257</v>
      </c>
      <c r="I63" s="51" t="s">
        <v>229</v>
      </c>
      <c r="J63" s="51" t="s">
        <v>229</v>
      </c>
      <c r="K63" s="51" t="s">
        <v>229</v>
      </c>
      <c r="L63" s="51" t="s">
        <v>230</v>
      </c>
      <c r="M63" s="51" t="s">
        <v>230</v>
      </c>
      <c r="N63" s="51" t="s">
        <v>257</v>
      </c>
      <c r="O63" s="51" t="s">
        <v>257</v>
      </c>
      <c r="P63" s="51" t="s">
        <v>229</v>
      </c>
      <c r="Q63" s="51" t="s">
        <v>229</v>
      </c>
      <c r="R63" s="51" t="s">
        <v>229</v>
      </c>
      <c r="S63" s="51" t="s">
        <v>230</v>
      </c>
      <c r="T63" s="51" t="s">
        <v>230</v>
      </c>
      <c r="U63" s="51" t="s">
        <v>257</v>
      </c>
      <c r="V63" s="51" t="s">
        <v>257</v>
      </c>
      <c r="W63" s="51" t="s">
        <v>229</v>
      </c>
      <c r="X63" s="51" t="s">
        <v>229</v>
      </c>
      <c r="Y63" s="51" t="s">
        <v>229</v>
      </c>
      <c r="Z63" s="51" t="s">
        <v>230</v>
      </c>
      <c r="AA63" s="51" t="s">
        <v>230</v>
      </c>
      <c r="AB63" s="51" t="s">
        <v>257</v>
      </c>
      <c r="AC63" s="51" t="s">
        <v>257</v>
      </c>
      <c r="AD63" s="51" t="s">
        <v>229</v>
      </c>
      <c r="AE63" s="51" t="s">
        <v>229</v>
      </c>
      <c r="AF63" s="51" t="s">
        <v>229</v>
      </c>
      <c r="AG63" s="51" t="s">
        <v>230</v>
      </c>
      <c r="AH63" s="51" t="s">
        <v>230</v>
      </c>
      <c r="AI63" s="51" t="s">
        <v>257</v>
      </c>
      <c r="AJ63" s="51" t="s">
        <v>257</v>
      </c>
      <c r="AL63" s="50">
        <f t="shared" si="15"/>
        <v>0</v>
      </c>
      <c r="AM63" s="50">
        <f t="shared" si="16"/>
        <v>12</v>
      </c>
      <c r="AN63" s="50">
        <f t="shared" si="17"/>
        <v>9</v>
      </c>
      <c r="AO63" s="50">
        <f t="shared" si="18"/>
        <v>0</v>
      </c>
      <c r="AP63" s="50">
        <f t="shared" si="19"/>
        <v>10</v>
      </c>
    </row>
    <row r="64" spans="2:42" ht="18.75" x14ac:dyDescent="0.25">
      <c r="B64" s="37" t="s">
        <v>248</v>
      </c>
      <c r="C64" s="146" t="s">
        <v>185</v>
      </c>
      <c r="D64" s="151"/>
      <c r="F64" s="51" t="s">
        <v>229</v>
      </c>
      <c r="G64" s="51" t="s">
        <v>257</v>
      </c>
      <c r="H64" s="51" t="s">
        <v>257</v>
      </c>
      <c r="I64" s="51" t="s">
        <v>230</v>
      </c>
      <c r="J64" s="51" t="s">
        <v>230</v>
      </c>
      <c r="K64" s="51" t="s">
        <v>230</v>
      </c>
      <c r="L64" s="51" t="s">
        <v>229</v>
      </c>
      <c r="M64" s="51" t="s">
        <v>229</v>
      </c>
      <c r="N64" s="51" t="s">
        <v>257</v>
      </c>
      <c r="O64" s="51" t="s">
        <v>257</v>
      </c>
      <c r="P64" s="51" t="s">
        <v>230</v>
      </c>
      <c r="Q64" s="51" t="s">
        <v>230</v>
      </c>
      <c r="R64" s="51" t="s">
        <v>230</v>
      </c>
      <c r="S64" s="51" t="s">
        <v>229</v>
      </c>
      <c r="T64" s="51" t="s">
        <v>229</v>
      </c>
      <c r="U64" s="51" t="s">
        <v>257</v>
      </c>
      <c r="V64" s="51" t="s">
        <v>257</v>
      </c>
      <c r="W64" s="51" t="s">
        <v>230</v>
      </c>
      <c r="X64" s="51" t="s">
        <v>230</v>
      </c>
      <c r="Y64" s="51" t="s">
        <v>230</v>
      </c>
      <c r="Z64" s="51" t="s">
        <v>229</v>
      </c>
      <c r="AA64" s="51" t="s">
        <v>229</v>
      </c>
      <c r="AB64" s="51" t="s">
        <v>257</v>
      </c>
      <c r="AC64" s="51" t="s">
        <v>257</v>
      </c>
      <c r="AD64" s="51" t="s">
        <v>230</v>
      </c>
      <c r="AE64" s="51" t="s">
        <v>230</v>
      </c>
      <c r="AF64" s="51" t="s">
        <v>230</v>
      </c>
      <c r="AG64" s="51" t="s">
        <v>229</v>
      </c>
      <c r="AH64" s="51" t="s">
        <v>229</v>
      </c>
      <c r="AI64" s="51" t="s">
        <v>257</v>
      </c>
      <c r="AJ64" s="51" t="s">
        <v>257</v>
      </c>
      <c r="AL64" s="50">
        <f t="shared" si="15"/>
        <v>0</v>
      </c>
      <c r="AM64" s="50">
        <f t="shared" si="16"/>
        <v>9</v>
      </c>
      <c r="AN64" s="50">
        <f t="shared" si="17"/>
        <v>12</v>
      </c>
      <c r="AO64" s="50">
        <f t="shared" si="18"/>
        <v>0</v>
      </c>
      <c r="AP64" s="50">
        <f t="shared" si="19"/>
        <v>10</v>
      </c>
    </row>
    <row r="65" spans="2:42" ht="19.5" thickBot="1" x14ac:dyDescent="0.3">
      <c r="B65" s="37" t="s">
        <v>248</v>
      </c>
      <c r="C65" s="145" t="s">
        <v>186</v>
      </c>
      <c r="D65" s="145"/>
      <c r="F65" s="64" t="s">
        <v>257</v>
      </c>
      <c r="G65" s="64" t="s">
        <v>257</v>
      </c>
      <c r="H65" s="64" t="s">
        <v>229</v>
      </c>
      <c r="I65" s="64" t="s">
        <v>257</v>
      </c>
      <c r="J65" s="64" t="s">
        <v>239</v>
      </c>
      <c r="K65" s="64" t="s">
        <v>239</v>
      </c>
      <c r="L65" s="64" t="s">
        <v>239</v>
      </c>
      <c r="M65" s="64" t="s">
        <v>229</v>
      </c>
      <c r="N65" s="64" t="s">
        <v>229</v>
      </c>
      <c r="O65" s="64" t="s">
        <v>257</v>
      </c>
      <c r="P65" s="64" t="s">
        <v>257</v>
      </c>
      <c r="Q65" s="64" t="s">
        <v>239</v>
      </c>
      <c r="R65" s="64" t="s">
        <v>239</v>
      </c>
      <c r="S65" s="64" t="s">
        <v>239</v>
      </c>
      <c r="T65" s="64" t="s">
        <v>229</v>
      </c>
      <c r="U65" s="64" t="s">
        <v>229</v>
      </c>
      <c r="V65" s="64" t="s">
        <v>257</v>
      </c>
      <c r="W65" s="64" t="s">
        <v>257</v>
      </c>
      <c r="X65" s="64" t="s">
        <v>239</v>
      </c>
      <c r="Y65" s="64" t="s">
        <v>239</v>
      </c>
      <c r="Z65" s="64" t="s">
        <v>239</v>
      </c>
      <c r="AA65" s="64" t="s">
        <v>229</v>
      </c>
      <c r="AB65" s="64" t="s">
        <v>229</v>
      </c>
      <c r="AC65" s="64" t="s">
        <v>257</v>
      </c>
      <c r="AD65" s="64" t="s">
        <v>257</v>
      </c>
      <c r="AE65" s="64" t="s">
        <v>239</v>
      </c>
      <c r="AF65" s="64" t="s">
        <v>239</v>
      </c>
      <c r="AG65" s="64" t="s">
        <v>239</v>
      </c>
      <c r="AH65" s="64" t="s">
        <v>229</v>
      </c>
      <c r="AI65" s="64" t="s">
        <v>229</v>
      </c>
      <c r="AJ65" s="64" t="s">
        <v>257</v>
      </c>
      <c r="AL65" s="50">
        <f t="shared" si="15"/>
        <v>0</v>
      </c>
      <c r="AM65" s="50">
        <f t="shared" si="16"/>
        <v>21</v>
      </c>
      <c r="AN65" s="50">
        <f t="shared" si="17"/>
        <v>0</v>
      </c>
      <c r="AO65" s="50">
        <f t="shared" si="18"/>
        <v>0</v>
      </c>
      <c r="AP65" s="50">
        <f t="shared" si="19"/>
        <v>10</v>
      </c>
    </row>
    <row r="66" spans="2:42" ht="18.75" x14ac:dyDescent="0.25">
      <c r="B66" s="37" t="s">
        <v>249</v>
      </c>
      <c r="C66" s="182" t="s">
        <v>193</v>
      </c>
      <c r="D66" s="183"/>
      <c r="F66" s="23" t="s">
        <v>257</v>
      </c>
      <c r="G66" s="23" t="s">
        <v>257</v>
      </c>
      <c r="H66" s="23" t="s">
        <v>257</v>
      </c>
      <c r="I66" s="27" t="s">
        <v>229</v>
      </c>
      <c r="J66" s="27" t="s">
        <v>229</v>
      </c>
      <c r="K66" s="23" t="s">
        <v>230</v>
      </c>
      <c r="L66" s="23" t="s">
        <v>254</v>
      </c>
      <c r="M66" s="23" t="s">
        <v>254</v>
      </c>
      <c r="N66" s="23" t="s">
        <v>257</v>
      </c>
      <c r="O66" s="23" t="s">
        <v>257</v>
      </c>
      <c r="P66" s="23" t="s">
        <v>257</v>
      </c>
      <c r="Q66" s="27" t="s">
        <v>229</v>
      </c>
      <c r="R66" s="23" t="s">
        <v>230</v>
      </c>
      <c r="S66" s="23" t="s">
        <v>230</v>
      </c>
      <c r="T66" s="23" t="s">
        <v>254</v>
      </c>
      <c r="U66" s="23" t="s">
        <v>254</v>
      </c>
      <c r="V66" s="23" t="s">
        <v>257</v>
      </c>
      <c r="W66" s="23" t="s">
        <v>257</v>
      </c>
      <c r="X66" s="23" t="s">
        <v>257</v>
      </c>
      <c r="Y66" s="27" t="s">
        <v>229</v>
      </c>
      <c r="Z66" s="23" t="s">
        <v>230</v>
      </c>
      <c r="AA66" s="23" t="s">
        <v>255</v>
      </c>
      <c r="AB66" s="23" t="s">
        <v>254</v>
      </c>
      <c r="AC66" s="23" t="s">
        <v>254</v>
      </c>
      <c r="AD66" s="23" t="s">
        <v>257</v>
      </c>
      <c r="AE66" s="23" t="s">
        <v>257</v>
      </c>
      <c r="AF66" s="23" t="s">
        <v>257</v>
      </c>
      <c r="AG66" s="27" t="s">
        <v>229</v>
      </c>
      <c r="AH66" s="27" t="s">
        <v>253</v>
      </c>
      <c r="AI66" s="23" t="s">
        <v>230</v>
      </c>
      <c r="AJ66" s="23" t="s">
        <v>230</v>
      </c>
      <c r="AL66" s="50">
        <f>COUNTIF($F66:$AJ66,"ST*")</f>
        <v>2</v>
      </c>
      <c r="AM66" s="50">
        <f>COUNTIF($F66:$AJ66,"M*")</f>
        <v>5</v>
      </c>
      <c r="AN66" s="50">
        <f>COUNTIF($F66:$AJ66,"A*")</f>
        <v>6</v>
      </c>
      <c r="AO66" s="50">
        <f>COUNTIF($F66:$AJ66,"N*")</f>
        <v>6</v>
      </c>
      <c r="AP66" s="50">
        <f>COUNTIF($F66:$AJ66,"O*")</f>
        <v>12</v>
      </c>
    </row>
    <row r="67" spans="2:42" ht="18.75" x14ac:dyDescent="0.25">
      <c r="B67" s="37" t="s">
        <v>249</v>
      </c>
      <c r="C67" s="146" t="s">
        <v>194</v>
      </c>
      <c r="D67" s="151"/>
      <c r="F67" s="23" t="s">
        <v>257</v>
      </c>
      <c r="G67" s="23" t="s">
        <v>257</v>
      </c>
      <c r="H67" s="27" t="s">
        <v>229</v>
      </c>
      <c r="I67" s="51" t="s">
        <v>230</v>
      </c>
      <c r="J67" s="51" t="s">
        <v>230</v>
      </c>
      <c r="K67" s="23" t="s">
        <v>254</v>
      </c>
      <c r="L67" s="23" t="s">
        <v>254</v>
      </c>
      <c r="M67" s="23" t="s">
        <v>257</v>
      </c>
      <c r="N67" s="23" t="s">
        <v>257</v>
      </c>
      <c r="O67" s="23" t="s">
        <v>257</v>
      </c>
      <c r="P67" s="27" t="s">
        <v>229</v>
      </c>
      <c r="Q67" s="51" t="s">
        <v>230</v>
      </c>
      <c r="R67" s="51" t="s">
        <v>230</v>
      </c>
      <c r="S67" s="23" t="s">
        <v>254</v>
      </c>
      <c r="T67" s="23" t="s">
        <v>254</v>
      </c>
      <c r="U67" s="23" t="s">
        <v>257</v>
      </c>
      <c r="V67" s="23" t="s">
        <v>257</v>
      </c>
      <c r="W67" s="23" t="s">
        <v>257</v>
      </c>
      <c r="X67" s="56" t="s">
        <v>229</v>
      </c>
      <c r="Y67" s="56" t="s">
        <v>253</v>
      </c>
      <c r="Z67" s="56" t="s">
        <v>230</v>
      </c>
      <c r="AA67" s="56" t="s">
        <v>230</v>
      </c>
      <c r="AB67" s="56" t="s">
        <v>254</v>
      </c>
      <c r="AC67" s="23" t="s">
        <v>257</v>
      </c>
      <c r="AD67" s="23" t="s">
        <v>257</v>
      </c>
      <c r="AE67" s="23" t="s">
        <v>257</v>
      </c>
      <c r="AF67" s="27" t="s">
        <v>144</v>
      </c>
      <c r="AG67" s="51" t="s">
        <v>230</v>
      </c>
      <c r="AH67" s="51" t="s">
        <v>230</v>
      </c>
      <c r="AI67" s="23" t="s">
        <v>254</v>
      </c>
      <c r="AJ67" s="23" t="s">
        <v>254</v>
      </c>
      <c r="AL67" s="50">
        <f t="shared" ref="AL67:AL84" si="20">COUNTIF($F67:$AJ67,"ST*")</f>
        <v>1</v>
      </c>
      <c r="AM67" s="50">
        <f t="shared" ref="AM67:AM84" si="21">COUNTIF($F67:$AJ67,"M*")</f>
        <v>3</v>
      </c>
      <c r="AN67" s="50">
        <f t="shared" ref="AN67:AN84" si="22">COUNTIF($F67:$AJ67,"A*")</f>
        <v>8</v>
      </c>
      <c r="AO67" s="50">
        <f t="shared" ref="AO67:AO84" si="23">COUNTIF($F67:$AJ67,"N*")</f>
        <v>7</v>
      </c>
      <c r="AP67" s="50">
        <f t="shared" ref="AP67:AP84" si="24">COUNTIF($F67:$AJ67,"O*")</f>
        <v>11</v>
      </c>
    </row>
    <row r="68" spans="2:42" ht="18.75" x14ac:dyDescent="0.25">
      <c r="B68" s="37" t="s">
        <v>249</v>
      </c>
      <c r="C68" s="146" t="s">
        <v>271</v>
      </c>
      <c r="D68" s="151"/>
      <c r="F68" s="23" t="s">
        <v>257</v>
      </c>
      <c r="G68" s="27" t="s">
        <v>229</v>
      </c>
      <c r="H68" s="27" t="s">
        <v>230</v>
      </c>
      <c r="I68" s="51" t="s">
        <v>230</v>
      </c>
      <c r="J68" s="23" t="s">
        <v>254</v>
      </c>
      <c r="K68" s="23" t="s">
        <v>254</v>
      </c>
      <c r="L68" s="23" t="s">
        <v>257</v>
      </c>
      <c r="M68" s="23" t="s">
        <v>257</v>
      </c>
      <c r="N68" s="23" t="s">
        <v>257</v>
      </c>
      <c r="O68" s="27" t="s">
        <v>229</v>
      </c>
      <c r="P68" s="51" t="s">
        <v>230</v>
      </c>
      <c r="Q68" s="51" t="s">
        <v>230</v>
      </c>
      <c r="R68" s="51" t="s">
        <v>256</v>
      </c>
      <c r="S68" s="23" t="s">
        <v>254</v>
      </c>
      <c r="T68" s="23" t="s">
        <v>257</v>
      </c>
      <c r="U68" s="23" t="s">
        <v>257</v>
      </c>
      <c r="V68" s="23" t="s">
        <v>257</v>
      </c>
      <c r="W68" s="56" t="s">
        <v>229</v>
      </c>
      <c r="X68" s="56" t="s">
        <v>229</v>
      </c>
      <c r="Y68" s="56" t="s">
        <v>230</v>
      </c>
      <c r="Z68" s="56" t="s">
        <v>254</v>
      </c>
      <c r="AA68" s="56" t="s">
        <v>254</v>
      </c>
      <c r="AB68" s="23" t="s">
        <v>257</v>
      </c>
      <c r="AC68" s="23" t="s">
        <v>257</v>
      </c>
      <c r="AD68" s="23" t="s">
        <v>257</v>
      </c>
      <c r="AE68" s="27" t="s">
        <v>229</v>
      </c>
      <c r="AF68" s="27" t="s">
        <v>229</v>
      </c>
      <c r="AG68" s="51" t="s">
        <v>230</v>
      </c>
      <c r="AH68" s="23" t="s">
        <v>254</v>
      </c>
      <c r="AI68" s="23" t="s">
        <v>254</v>
      </c>
      <c r="AJ68" s="23" t="s">
        <v>257</v>
      </c>
      <c r="AL68" s="50">
        <f t="shared" si="20"/>
        <v>1</v>
      </c>
      <c r="AM68" s="50">
        <f t="shared" si="21"/>
        <v>6</v>
      </c>
      <c r="AN68" s="50">
        <f t="shared" si="22"/>
        <v>6</v>
      </c>
      <c r="AO68" s="50">
        <f t="shared" si="23"/>
        <v>7</v>
      </c>
      <c r="AP68" s="50">
        <f t="shared" si="24"/>
        <v>11</v>
      </c>
    </row>
    <row r="69" spans="2:42" ht="18.75" x14ac:dyDescent="0.25">
      <c r="B69" s="37" t="s">
        <v>249</v>
      </c>
      <c r="C69" s="146" t="s">
        <v>195</v>
      </c>
      <c r="D69" s="151"/>
      <c r="F69" s="27" t="s">
        <v>258</v>
      </c>
      <c r="G69" s="27" t="s">
        <v>258</v>
      </c>
      <c r="H69" s="51" t="s">
        <v>258</v>
      </c>
      <c r="I69" s="51" t="s">
        <v>258</v>
      </c>
      <c r="J69" s="23" t="s">
        <v>258</v>
      </c>
      <c r="K69" s="23" t="s">
        <v>258</v>
      </c>
      <c r="L69" s="23" t="s">
        <v>257</v>
      </c>
      <c r="M69" s="23" t="s">
        <v>257</v>
      </c>
      <c r="N69" s="27" t="s">
        <v>229</v>
      </c>
      <c r="O69" s="51" t="s">
        <v>230</v>
      </c>
      <c r="P69" s="51" t="s">
        <v>230</v>
      </c>
      <c r="Q69" s="23" t="s">
        <v>254</v>
      </c>
      <c r="R69" s="23" t="s">
        <v>254</v>
      </c>
      <c r="S69" s="23" t="s">
        <v>257</v>
      </c>
      <c r="T69" s="23" t="s">
        <v>257</v>
      </c>
      <c r="U69" s="23" t="s">
        <v>257</v>
      </c>
      <c r="V69" s="27" t="s">
        <v>229</v>
      </c>
      <c r="W69" s="27" t="s">
        <v>229</v>
      </c>
      <c r="X69" s="51" t="s">
        <v>230</v>
      </c>
      <c r="Y69" s="23" t="s">
        <v>254</v>
      </c>
      <c r="Z69" s="23" t="s">
        <v>254</v>
      </c>
      <c r="AA69" s="23" t="s">
        <v>257</v>
      </c>
      <c r="AB69" s="23" t="s">
        <v>257</v>
      </c>
      <c r="AC69" s="23" t="s">
        <v>257</v>
      </c>
      <c r="AD69" s="27" t="s">
        <v>229</v>
      </c>
      <c r="AE69" s="27" t="s">
        <v>229</v>
      </c>
      <c r="AF69" s="51" t="s">
        <v>230</v>
      </c>
      <c r="AG69" s="51" t="s">
        <v>254</v>
      </c>
      <c r="AH69" s="23" t="s">
        <v>254</v>
      </c>
      <c r="AI69" s="23" t="s">
        <v>257</v>
      </c>
      <c r="AJ69" s="23" t="s">
        <v>257</v>
      </c>
      <c r="AL69" s="50">
        <f t="shared" si="20"/>
        <v>0</v>
      </c>
      <c r="AM69" s="50">
        <f t="shared" si="21"/>
        <v>5</v>
      </c>
      <c r="AN69" s="50">
        <f t="shared" si="22"/>
        <v>4</v>
      </c>
      <c r="AO69" s="50">
        <f t="shared" si="23"/>
        <v>6</v>
      </c>
      <c r="AP69" s="50">
        <f t="shared" si="24"/>
        <v>10</v>
      </c>
    </row>
    <row r="70" spans="2:42" ht="18.75" x14ac:dyDescent="0.25">
      <c r="B70" s="37" t="s">
        <v>249</v>
      </c>
      <c r="C70" s="146" t="s">
        <v>196</v>
      </c>
      <c r="D70" s="151"/>
      <c r="F70" s="27" t="s">
        <v>229</v>
      </c>
      <c r="G70" s="51" t="s">
        <v>230</v>
      </c>
      <c r="H70" s="51" t="s">
        <v>230</v>
      </c>
      <c r="I70" s="23" t="s">
        <v>254</v>
      </c>
      <c r="J70" s="23" t="s">
        <v>257</v>
      </c>
      <c r="K70" s="23" t="s">
        <v>257</v>
      </c>
      <c r="L70" s="23" t="s">
        <v>257</v>
      </c>
      <c r="M70" s="27" t="s">
        <v>229</v>
      </c>
      <c r="N70" s="27" t="s">
        <v>229</v>
      </c>
      <c r="O70" s="51" t="s">
        <v>230</v>
      </c>
      <c r="P70" s="51" t="s">
        <v>254</v>
      </c>
      <c r="Q70" s="23" t="s">
        <v>254</v>
      </c>
      <c r="R70" s="23" t="s">
        <v>257</v>
      </c>
      <c r="S70" s="23" t="s">
        <v>257</v>
      </c>
      <c r="T70" s="23" t="s">
        <v>257</v>
      </c>
      <c r="U70" s="27" t="s">
        <v>229</v>
      </c>
      <c r="V70" s="27" t="s">
        <v>229</v>
      </c>
      <c r="W70" s="51" t="s">
        <v>230</v>
      </c>
      <c r="X70" s="23" t="s">
        <v>254</v>
      </c>
      <c r="Y70" s="23" t="s">
        <v>254</v>
      </c>
      <c r="Z70" s="23" t="s">
        <v>257</v>
      </c>
      <c r="AA70" s="23" t="s">
        <v>257</v>
      </c>
      <c r="AB70" s="23" t="s">
        <v>257</v>
      </c>
      <c r="AC70" s="27" t="s">
        <v>229</v>
      </c>
      <c r="AD70" s="27" t="s">
        <v>229</v>
      </c>
      <c r="AE70" s="51" t="s">
        <v>230</v>
      </c>
      <c r="AF70" s="51" t="s">
        <v>230</v>
      </c>
      <c r="AG70" s="23" t="s">
        <v>254</v>
      </c>
      <c r="AH70" s="23" t="s">
        <v>257</v>
      </c>
      <c r="AI70" s="23" t="s">
        <v>257</v>
      </c>
      <c r="AJ70" s="23" t="s">
        <v>257</v>
      </c>
      <c r="AL70" s="50">
        <f t="shared" si="20"/>
        <v>0</v>
      </c>
      <c r="AM70" s="50">
        <f t="shared" si="21"/>
        <v>7</v>
      </c>
      <c r="AN70" s="50">
        <f t="shared" si="22"/>
        <v>6</v>
      </c>
      <c r="AO70" s="50">
        <f t="shared" si="23"/>
        <v>6</v>
      </c>
      <c r="AP70" s="50">
        <f t="shared" si="24"/>
        <v>12</v>
      </c>
    </row>
    <row r="71" spans="2:42" ht="18.75" x14ac:dyDescent="0.25">
      <c r="B71" s="37" t="s">
        <v>249</v>
      </c>
      <c r="C71" s="146" t="s">
        <v>197</v>
      </c>
      <c r="D71" s="151"/>
      <c r="F71" s="51" t="s">
        <v>230</v>
      </c>
      <c r="G71" s="23" t="s">
        <v>230</v>
      </c>
      <c r="H71" s="23" t="s">
        <v>254</v>
      </c>
      <c r="I71" s="23" t="s">
        <v>257</v>
      </c>
      <c r="J71" s="23" t="s">
        <v>257</v>
      </c>
      <c r="K71" s="23" t="s">
        <v>257</v>
      </c>
      <c r="L71" s="27" t="s">
        <v>229</v>
      </c>
      <c r="M71" s="27" t="s">
        <v>229</v>
      </c>
      <c r="N71" s="51" t="s">
        <v>230</v>
      </c>
      <c r="O71" s="51" t="s">
        <v>254</v>
      </c>
      <c r="P71" s="23" t="s">
        <v>254</v>
      </c>
      <c r="Q71" s="23" t="s">
        <v>257</v>
      </c>
      <c r="R71" s="23" t="s">
        <v>257</v>
      </c>
      <c r="S71" s="23" t="s">
        <v>257</v>
      </c>
      <c r="T71" s="27" t="s">
        <v>229</v>
      </c>
      <c r="U71" s="51" t="s">
        <v>230</v>
      </c>
      <c r="V71" s="129" t="s">
        <v>230</v>
      </c>
      <c r="W71" s="23" t="s">
        <v>254</v>
      </c>
      <c r="X71" s="23" t="s">
        <v>254</v>
      </c>
      <c r="Y71" s="23" t="s">
        <v>257</v>
      </c>
      <c r="Z71" s="23" t="s">
        <v>257</v>
      </c>
      <c r="AA71" s="23" t="s">
        <v>257</v>
      </c>
      <c r="AB71" s="27" t="s">
        <v>229</v>
      </c>
      <c r="AC71" s="27" t="s">
        <v>229</v>
      </c>
      <c r="AD71" s="51" t="s">
        <v>230</v>
      </c>
      <c r="AE71" s="23" t="s">
        <v>144</v>
      </c>
      <c r="AF71" s="23" t="s">
        <v>254</v>
      </c>
      <c r="AG71" s="23" t="s">
        <v>257</v>
      </c>
      <c r="AH71" s="23" t="s">
        <v>257</v>
      </c>
      <c r="AI71" s="23" t="s">
        <v>257</v>
      </c>
      <c r="AJ71" s="27" t="s">
        <v>229</v>
      </c>
      <c r="AL71" s="50">
        <f t="shared" si="20"/>
        <v>0</v>
      </c>
      <c r="AM71" s="50">
        <f t="shared" si="21"/>
        <v>6</v>
      </c>
      <c r="AN71" s="50">
        <f t="shared" si="22"/>
        <v>6</v>
      </c>
      <c r="AO71" s="50">
        <f t="shared" si="23"/>
        <v>6</v>
      </c>
      <c r="AP71" s="50">
        <f t="shared" si="24"/>
        <v>12</v>
      </c>
    </row>
    <row r="72" spans="2:42" ht="18.75" x14ac:dyDescent="0.25">
      <c r="B72" s="37" t="s">
        <v>249</v>
      </c>
      <c r="C72" s="146" t="s">
        <v>198</v>
      </c>
      <c r="D72" s="151"/>
      <c r="F72" s="23" t="s">
        <v>230</v>
      </c>
      <c r="G72" s="23" t="s">
        <v>254</v>
      </c>
      <c r="H72" s="23" t="s">
        <v>257</v>
      </c>
      <c r="I72" s="23" t="s">
        <v>257</v>
      </c>
      <c r="J72" s="23" t="s">
        <v>257</v>
      </c>
      <c r="K72" s="27" t="s">
        <v>229</v>
      </c>
      <c r="L72" s="51" t="s">
        <v>230</v>
      </c>
      <c r="M72" s="51" t="s">
        <v>230</v>
      </c>
      <c r="N72" s="23" t="s">
        <v>254</v>
      </c>
      <c r="O72" s="23" t="s">
        <v>254</v>
      </c>
      <c r="P72" s="23" t="s">
        <v>257</v>
      </c>
      <c r="Q72" s="23" t="s">
        <v>257</v>
      </c>
      <c r="R72" s="23" t="s">
        <v>257</v>
      </c>
      <c r="S72" s="27" t="s">
        <v>229</v>
      </c>
      <c r="T72" s="51" t="s">
        <v>255</v>
      </c>
      <c r="U72" s="51" t="s">
        <v>230</v>
      </c>
      <c r="V72" s="23" t="s">
        <v>254</v>
      </c>
      <c r="W72" s="23" t="s">
        <v>254</v>
      </c>
      <c r="X72" s="23" t="s">
        <v>257</v>
      </c>
      <c r="Y72" s="23" t="s">
        <v>257</v>
      </c>
      <c r="Z72" s="23" t="s">
        <v>257</v>
      </c>
      <c r="AA72" s="27" t="s">
        <v>229</v>
      </c>
      <c r="AB72" s="51" t="s">
        <v>255</v>
      </c>
      <c r="AC72" s="23" t="s">
        <v>230</v>
      </c>
      <c r="AD72" s="23" t="s">
        <v>144</v>
      </c>
      <c r="AE72" s="23" t="s">
        <v>254</v>
      </c>
      <c r="AF72" s="23" t="s">
        <v>257</v>
      </c>
      <c r="AG72" s="23" t="s">
        <v>257</v>
      </c>
      <c r="AH72" s="23" t="s">
        <v>257</v>
      </c>
      <c r="AI72" s="27" t="s">
        <v>229</v>
      </c>
      <c r="AJ72" s="51" t="s">
        <v>255</v>
      </c>
      <c r="AL72" s="50">
        <f t="shared" si="20"/>
        <v>3</v>
      </c>
      <c r="AM72" s="50">
        <f t="shared" si="21"/>
        <v>4</v>
      </c>
      <c r="AN72" s="50">
        <f t="shared" si="22"/>
        <v>5</v>
      </c>
      <c r="AO72" s="50">
        <f t="shared" si="23"/>
        <v>6</v>
      </c>
      <c r="AP72" s="50">
        <f t="shared" si="24"/>
        <v>12</v>
      </c>
    </row>
    <row r="73" spans="2:42" ht="18.75" x14ac:dyDescent="0.25">
      <c r="B73" s="37" t="s">
        <v>249</v>
      </c>
      <c r="C73" s="146" t="s">
        <v>199</v>
      </c>
      <c r="D73" s="151"/>
      <c r="F73" s="56" t="s">
        <v>254</v>
      </c>
      <c r="G73" s="56" t="s">
        <v>257</v>
      </c>
      <c r="H73" s="56" t="s">
        <v>257</v>
      </c>
      <c r="I73" s="56" t="s">
        <v>257</v>
      </c>
      <c r="J73" s="56" t="s">
        <v>229</v>
      </c>
      <c r="K73" s="56" t="s">
        <v>229</v>
      </c>
      <c r="L73" s="56" t="s">
        <v>230</v>
      </c>
      <c r="M73" s="56" t="s">
        <v>230</v>
      </c>
      <c r="N73" s="56" t="s">
        <v>254</v>
      </c>
      <c r="O73" s="23" t="s">
        <v>257</v>
      </c>
      <c r="P73" s="23" t="s">
        <v>257</v>
      </c>
      <c r="Q73" s="23" t="s">
        <v>257</v>
      </c>
      <c r="R73" s="27" t="s">
        <v>229</v>
      </c>
      <c r="S73" s="51" t="s">
        <v>255</v>
      </c>
      <c r="T73" s="51" t="s">
        <v>230</v>
      </c>
      <c r="U73" s="23" t="s">
        <v>254</v>
      </c>
      <c r="V73" s="23" t="s">
        <v>254</v>
      </c>
      <c r="W73" s="23" t="s">
        <v>257</v>
      </c>
      <c r="X73" s="23" t="s">
        <v>257</v>
      </c>
      <c r="Y73" s="23" t="s">
        <v>257</v>
      </c>
      <c r="Z73" s="56" t="s">
        <v>229</v>
      </c>
      <c r="AA73" s="56" t="s">
        <v>253</v>
      </c>
      <c r="AB73" s="56" t="s">
        <v>230</v>
      </c>
      <c r="AC73" s="56" t="s">
        <v>230</v>
      </c>
      <c r="AD73" s="56" t="s">
        <v>144</v>
      </c>
      <c r="AE73" s="56" t="s">
        <v>257</v>
      </c>
      <c r="AF73" s="56" t="s">
        <v>257</v>
      </c>
      <c r="AG73" s="56" t="s">
        <v>257</v>
      </c>
      <c r="AH73" s="56" t="s">
        <v>229</v>
      </c>
      <c r="AI73" s="56" t="s">
        <v>253</v>
      </c>
      <c r="AJ73" s="56" t="s">
        <v>230</v>
      </c>
      <c r="AL73" s="50">
        <f t="shared" si="20"/>
        <v>3</v>
      </c>
      <c r="AM73" s="50">
        <f t="shared" si="21"/>
        <v>5</v>
      </c>
      <c r="AN73" s="50">
        <f t="shared" si="22"/>
        <v>6</v>
      </c>
      <c r="AO73" s="50">
        <f t="shared" si="23"/>
        <v>4</v>
      </c>
      <c r="AP73" s="50">
        <f t="shared" si="24"/>
        <v>12</v>
      </c>
    </row>
    <row r="74" spans="2:42" ht="18.75" x14ac:dyDescent="0.25">
      <c r="B74" s="37" t="s">
        <v>249</v>
      </c>
      <c r="C74" s="146" t="s">
        <v>200</v>
      </c>
      <c r="D74" s="151"/>
      <c r="F74" s="23" t="s">
        <v>258</v>
      </c>
      <c r="G74" s="23" t="s">
        <v>258</v>
      </c>
      <c r="H74" s="23" t="s">
        <v>258</v>
      </c>
      <c r="I74" s="27" t="s">
        <v>258</v>
      </c>
      <c r="J74" s="51" t="s">
        <v>258</v>
      </c>
      <c r="K74" s="51" t="s">
        <v>258</v>
      </c>
      <c r="L74" s="23" t="s">
        <v>258</v>
      </c>
      <c r="M74" s="23" t="s">
        <v>258</v>
      </c>
      <c r="N74" s="23" t="s">
        <v>258</v>
      </c>
      <c r="O74" s="23" t="s">
        <v>258</v>
      </c>
      <c r="P74" s="23" t="s">
        <v>258</v>
      </c>
      <c r="Q74" s="27" t="s">
        <v>258</v>
      </c>
      <c r="R74" s="27" t="s">
        <v>258</v>
      </c>
      <c r="S74" s="51" t="s">
        <v>258</v>
      </c>
      <c r="T74" s="51" t="s">
        <v>258</v>
      </c>
      <c r="U74" s="51" t="s">
        <v>258</v>
      </c>
      <c r="V74" s="129" t="s">
        <v>257</v>
      </c>
      <c r="W74" s="23" t="s">
        <v>257</v>
      </c>
      <c r="X74" s="23" t="s">
        <v>257</v>
      </c>
      <c r="Y74" s="27" t="s">
        <v>229</v>
      </c>
      <c r="Z74" s="51" t="s">
        <v>230</v>
      </c>
      <c r="AA74" s="51" t="s">
        <v>230</v>
      </c>
      <c r="AB74" s="23" t="s">
        <v>256</v>
      </c>
      <c r="AC74" s="23" t="s">
        <v>254</v>
      </c>
      <c r="AD74" s="23" t="s">
        <v>257</v>
      </c>
      <c r="AE74" s="23" t="s">
        <v>257</v>
      </c>
      <c r="AF74" s="23" t="s">
        <v>257</v>
      </c>
      <c r="AG74" s="27" t="s">
        <v>229</v>
      </c>
      <c r="AH74" s="51" t="s">
        <v>230</v>
      </c>
      <c r="AI74" s="51" t="s">
        <v>255</v>
      </c>
      <c r="AJ74" s="23" t="s">
        <v>254</v>
      </c>
      <c r="AL74" s="50">
        <f t="shared" si="20"/>
        <v>2</v>
      </c>
      <c r="AM74" s="50">
        <f t="shared" si="21"/>
        <v>2</v>
      </c>
      <c r="AN74" s="50">
        <f t="shared" si="22"/>
        <v>3</v>
      </c>
      <c r="AO74" s="50">
        <f t="shared" si="23"/>
        <v>2</v>
      </c>
      <c r="AP74" s="50">
        <f t="shared" si="24"/>
        <v>6</v>
      </c>
    </row>
    <row r="75" spans="2:42" ht="18.75" x14ac:dyDescent="0.25">
      <c r="B75" s="37" t="s">
        <v>249</v>
      </c>
      <c r="C75" s="146" t="s">
        <v>201</v>
      </c>
      <c r="D75" s="151"/>
      <c r="F75" s="23" t="s">
        <v>257</v>
      </c>
      <c r="G75" s="23" t="s">
        <v>257</v>
      </c>
      <c r="H75" s="56" t="s">
        <v>229</v>
      </c>
      <c r="I75" s="56" t="s">
        <v>229</v>
      </c>
      <c r="J75" s="56" t="s">
        <v>230</v>
      </c>
      <c r="K75" s="56" t="s">
        <v>230</v>
      </c>
      <c r="L75" s="56" t="s">
        <v>254</v>
      </c>
      <c r="M75" s="23" t="s">
        <v>257</v>
      </c>
      <c r="N75" s="23" t="s">
        <v>257</v>
      </c>
      <c r="O75" s="23" t="s">
        <v>257</v>
      </c>
      <c r="P75" s="27" t="s">
        <v>229</v>
      </c>
      <c r="Q75" s="51" t="s">
        <v>229</v>
      </c>
      <c r="R75" s="51" t="s">
        <v>230</v>
      </c>
      <c r="S75" s="51" t="s">
        <v>230</v>
      </c>
      <c r="T75" s="23" t="s">
        <v>254</v>
      </c>
      <c r="U75" s="23" t="s">
        <v>257</v>
      </c>
      <c r="V75" s="23" t="s">
        <v>257</v>
      </c>
      <c r="W75" s="23" t="s">
        <v>257</v>
      </c>
      <c r="X75" s="27" t="s">
        <v>229</v>
      </c>
      <c r="Y75" s="51" t="s">
        <v>230</v>
      </c>
      <c r="Z75" s="51" t="s">
        <v>254</v>
      </c>
      <c r="AA75" s="23" t="s">
        <v>254</v>
      </c>
      <c r="AB75" s="23" t="s">
        <v>254</v>
      </c>
      <c r="AC75" s="23" t="s">
        <v>257</v>
      </c>
      <c r="AD75" s="23" t="s">
        <v>257</v>
      </c>
      <c r="AE75" s="23" t="s">
        <v>257</v>
      </c>
      <c r="AF75" s="56" t="s">
        <v>229</v>
      </c>
      <c r="AG75" s="56" t="s">
        <v>253</v>
      </c>
      <c r="AH75" s="56" t="s">
        <v>230</v>
      </c>
      <c r="AI75" s="56" t="s">
        <v>230</v>
      </c>
      <c r="AJ75" s="56" t="s">
        <v>254</v>
      </c>
      <c r="AL75" s="50">
        <f t="shared" si="20"/>
        <v>1</v>
      </c>
      <c r="AM75" s="50">
        <f t="shared" si="21"/>
        <v>6</v>
      </c>
      <c r="AN75" s="50">
        <f t="shared" si="22"/>
        <v>7</v>
      </c>
      <c r="AO75" s="50">
        <f t="shared" si="23"/>
        <v>6</v>
      </c>
      <c r="AP75" s="50">
        <f t="shared" si="24"/>
        <v>11</v>
      </c>
    </row>
    <row r="76" spans="2:42" ht="18.75" x14ac:dyDescent="0.25">
      <c r="B76" s="37" t="s">
        <v>249</v>
      </c>
      <c r="C76" s="146" t="s">
        <v>202</v>
      </c>
      <c r="D76" s="151"/>
      <c r="F76" s="23" t="s">
        <v>257</v>
      </c>
      <c r="G76" s="27" t="s">
        <v>229</v>
      </c>
      <c r="H76" s="27" t="s">
        <v>229</v>
      </c>
      <c r="I76" s="51" t="s">
        <v>230</v>
      </c>
      <c r="J76" s="51" t="s">
        <v>254</v>
      </c>
      <c r="K76" s="51" t="s">
        <v>254</v>
      </c>
      <c r="L76" s="23" t="s">
        <v>257</v>
      </c>
      <c r="M76" s="23" t="s">
        <v>257</v>
      </c>
      <c r="N76" s="23" t="s">
        <v>257</v>
      </c>
      <c r="O76" s="27" t="s">
        <v>229</v>
      </c>
      <c r="P76" s="27" t="s">
        <v>229</v>
      </c>
      <c r="Q76" s="51" t="s">
        <v>255</v>
      </c>
      <c r="R76" s="23" t="s">
        <v>254</v>
      </c>
      <c r="S76" s="51" t="s">
        <v>254</v>
      </c>
      <c r="T76" s="23" t="s">
        <v>257</v>
      </c>
      <c r="U76" s="23" t="s">
        <v>257</v>
      </c>
      <c r="V76" s="23" t="s">
        <v>257</v>
      </c>
      <c r="W76" s="27" t="s">
        <v>229</v>
      </c>
      <c r="X76" s="27" t="s">
        <v>230</v>
      </c>
      <c r="Y76" s="51" t="s">
        <v>230</v>
      </c>
      <c r="Z76" s="23" t="s">
        <v>144</v>
      </c>
      <c r="AA76" s="23" t="s">
        <v>254</v>
      </c>
      <c r="AB76" s="23" t="s">
        <v>257</v>
      </c>
      <c r="AC76" s="23" t="s">
        <v>257</v>
      </c>
      <c r="AD76" s="23" t="s">
        <v>257</v>
      </c>
      <c r="AE76" s="27" t="s">
        <v>229</v>
      </c>
      <c r="AF76" s="27" t="s">
        <v>229</v>
      </c>
      <c r="AG76" s="51" t="s">
        <v>230</v>
      </c>
      <c r="AH76" s="51" t="s">
        <v>254</v>
      </c>
      <c r="AI76" s="51" t="s">
        <v>254</v>
      </c>
      <c r="AJ76" s="23" t="s">
        <v>257</v>
      </c>
      <c r="AL76" s="50">
        <f t="shared" si="20"/>
        <v>1</v>
      </c>
      <c r="AM76" s="50">
        <f t="shared" si="21"/>
        <v>7</v>
      </c>
      <c r="AN76" s="50">
        <f t="shared" si="22"/>
        <v>4</v>
      </c>
      <c r="AO76" s="50">
        <f t="shared" si="23"/>
        <v>7</v>
      </c>
      <c r="AP76" s="50">
        <f t="shared" si="24"/>
        <v>11</v>
      </c>
    </row>
    <row r="77" spans="2:42" ht="18.75" x14ac:dyDescent="0.25">
      <c r="B77" s="37" t="s">
        <v>249</v>
      </c>
      <c r="C77" s="146" t="s">
        <v>203</v>
      </c>
      <c r="D77" s="151"/>
      <c r="F77" s="27" t="s">
        <v>229</v>
      </c>
      <c r="G77" s="51" t="s">
        <v>229</v>
      </c>
      <c r="H77" s="51" t="s">
        <v>230</v>
      </c>
      <c r="I77" s="23" t="s">
        <v>254</v>
      </c>
      <c r="J77" s="23" t="s">
        <v>254</v>
      </c>
      <c r="K77" s="23" t="s">
        <v>257</v>
      </c>
      <c r="L77" s="23" t="s">
        <v>257</v>
      </c>
      <c r="M77" s="23" t="s">
        <v>257</v>
      </c>
      <c r="N77" s="27" t="s">
        <v>229</v>
      </c>
      <c r="O77" s="27" t="s">
        <v>229</v>
      </c>
      <c r="P77" s="51" t="s">
        <v>230</v>
      </c>
      <c r="Q77" s="51" t="s">
        <v>230</v>
      </c>
      <c r="R77" s="23" t="s">
        <v>254</v>
      </c>
      <c r="S77" s="23" t="s">
        <v>257</v>
      </c>
      <c r="T77" s="23" t="s">
        <v>257</v>
      </c>
      <c r="U77" s="23" t="s">
        <v>257</v>
      </c>
      <c r="V77" s="27" t="s">
        <v>258</v>
      </c>
      <c r="W77" s="27" t="s">
        <v>258</v>
      </c>
      <c r="X77" s="51" t="s">
        <v>258</v>
      </c>
      <c r="Y77" s="51" t="s">
        <v>258</v>
      </c>
      <c r="Z77" s="23" t="s">
        <v>258</v>
      </c>
      <c r="AA77" s="23" t="s">
        <v>258</v>
      </c>
      <c r="AB77" s="23" t="s">
        <v>258</v>
      </c>
      <c r="AC77" s="23" t="s">
        <v>258</v>
      </c>
      <c r="AD77" s="27" t="s">
        <v>258</v>
      </c>
      <c r="AE77" s="51" t="s">
        <v>258</v>
      </c>
      <c r="AF77" s="51" t="s">
        <v>258</v>
      </c>
      <c r="AG77" s="23" t="s">
        <v>258</v>
      </c>
      <c r="AH77" s="23" t="s">
        <v>258</v>
      </c>
      <c r="AI77" s="23" t="s">
        <v>258</v>
      </c>
      <c r="AJ77" s="23" t="s">
        <v>257</v>
      </c>
      <c r="AL77" s="50">
        <f t="shared" si="20"/>
        <v>0</v>
      </c>
      <c r="AM77" s="50">
        <f t="shared" si="21"/>
        <v>4</v>
      </c>
      <c r="AN77" s="50">
        <f t="shared" si="22"/>
        <v>3</v>
      </c>
      <c r="AO77" s="50">
        <f t="shared" si="23"/>
        <v>3</v>
      </c>
      <c r="AP77" s="50">
        <f t="shared" si="24"/>
        <v>7</v>
      </c>
    </row>
    <row r="78" spans="2:42" ht="18.75" x14ac:dyDescent="0.25">
      <c r="B78" s="37" t="s">
        <v>249</v>
      </c>
      <c r="C78" s="146" t="s">
        <v>204</v>
      </c>
      <c r="D78" s="151"/>
      <c r="F78" s="51" t="s">
        <v>229</v>
      </c>
      <c r="G78" s="51" t="s">
        <v>230</v>
      </c>
      <c r="H78" s="23" t="s">
        <v>254</v>
      </c>
      <c r="I78" s="23" t="s">
        <v>254</v>
      </c>
      <c r="J78" s="23" t="s">
        <v>257</v>
      </c>
      <c r="K78" s="23" t="s">
        <v>257</v>
      </c>
      <c r="L78" s="23" t="s">
        <v>257</v>
      </c>
      <c r="M78" s="27" t="s">
        <v>229</v>
      </c>
      <c r="N78" s="51" t="s">
        <v>230</v>
      </c>
      <c r="O78" s="51" t="s">
        <v>230</v>
      </c>
      <c r="P78" s="23" t="s">
        <v>254</v>
      </c>
      <c r="Q78" s="23" t="s">
        <v>254</v>
      </c>
      <c r="R78" s="23" t="s">
        <v>257</v>
      </c>
      <c r="S78" s="23" t="s">
        <v>257</v>
      </c>
      <c r="T78" s="23" t="s">
        <v>257</v>
      </c>
      <c r="U78" s="27" t="s">
        <v>229</v>
      </c>
      <c r="V78" s="51" t="s">
        <v>229</v>
      </c>
      <c r="W78" s="51" t="s">
        <v>230</v>
      </c>
      <c r="X78" s="51" t="s">
        <v>230</v>
      </c>
      <c r="Y78" s="23" t="s">
        <v>254</v>
      </c>
      <c r="Z78" s="23" t="s">
        <v>257</v>
      </c>
      <c r="AA78" s="23" t="s">
        <v>257</v>
      </c>
      <c r="AB78" s="23" t="s">
        <v>257</v>
      </c>
      <c r="AC78" s="27" t="s">
        <v>229</v>
      </c>
      <c r="AD78" s="51" t="s">
        <v>230</v>
      </c>
      <c r="AE78" s="51" t="s">
        <v>230</v>
      </c>
      <c r="AF78" s="23" t="s">
        <v>254</v>
      </c>
      <c r="AG78" s="23" t="s">
        <v>254</v>
      </c>
      <c r="AH78" s="23" t="s">
        <v>257</v>
      </c>
      <c r="AI78" s="23" t="s">
        <v>257</v>
      </c>
      <c r="AJ78" s="23" t="s">
        <v>257</v>
      </c>
      <c r="AL78" s="50">
        <f t="shared" si="20"/>
        <v>0</v>
      </c>
      <c r="AM78" s="50">
        <f t="shared" si="21"/>
        <v>5</v>
      </c>
      <c r="AN78" s="50">
        <f t="shared" si="22"/>
        <v>7</v>
      </c>
      <c r="AO78" s="50">
        <f t="shared" si="23"/>
        <v>7</v>
      </c>
      <c r="AP78" s="50">
        <f t="shared" si="24"/>
        <v>12</v>
      </c>
    </row>
    <row r="79" spans="2:42" ht="18.75" x14ac:dyDescent="0.25">
      <c r="B79" s="37" t="s">
        <v>249</v>
      </c>
      <c r="C79" s="146" t="s">
        <v>205</v>
      </c>
      <c r="D79" s="151"/>
      <c r="F79" s="51" t="s">
        <v>230</v>
      </c>
      <c r="G79" s="51" t="s">
        <v>254</v>
      </c>
      <c r="H79" s="51" t="s">
        <v>254</v>
      </c>
      <c r="I79" s="23" t="s">
        <v>257</v>
      </c>
      <c r="J79" s="23" t="s">
        <v>257</v>
      </c>
      <c r="K79" s="23" t="s">
        <v>257</v>
      </c>
      <c r="L79" s="27" t="s">
        <v>258</v>
      </c>
      <c r="M79" s="51" t="s">
        <v>258</v>
      </c>
      <c r="N79" s="51" t="s">
        <v>258</v>
      </c>
      <c r="O79" s="23" t="s">
        <v>258</v>
      </c>
      <c r="P79" s="23" t="s">
        <v>258</v>
      </c>
      <c r="Q79" s="23" t="s">
        <v>258</v>
      </c>
      <c r="R79" s="23" t="s">
        <v>257</v>
      </c>
      <c r="S79" s="23" t="s">
        <v>257</v>
      </c>
      <c r="T79" s="27" t="s">
        <v>229</v>
      </c>
      <c r="U79" s="27" t="s">
        <v>229</v>
      </c>
      <c r="V79" s="51" t="s">
        <v>230</v>
      </c>
      <c r="W79" s="51" t="s">
        <v>230</v>
      </c>
      <c r="X79" s="23" t="s">
        <v>254</v>
      </c>
      <c r="Y79" s="23" t="s">
        <v>257</v>
      </c>
      <c r="Z79" s="23" t="s">
        <v>257</v>
      </c>
      <c r="AA79" s="23" t="s">
        <v>257</v>
      </c>
      <c r="AB79" s="27" t="s">
        <v>229</v>
      </c>
      <c r="AC79" s="51" t="s">
        <v>255</v>
      </c>
      <c r="AD79" s="51" t="s">
        <v>254</v>
      </c>
      <c r="AE79" s="51" t="s">
        <v>254</v>
      </c>
      <c r="AF79" s="51" t="s">
        <v>254</v>
      </c>
      <c r="AG79" s="23" t="s">
        <v>257</v>
      </c>
      <c r="AH79" s="23" t="s">
        <v>257</v>
      </c>
      <c r="AI79" s="23" t="s">
        <v>257</v>
      </c>
      <c r="AJ79" s="27" t="s">
        <v>229</v>
      </c>
      <c r="AL79" s="50">
        <f t="shared" si="20"/>
        <v>1</v>
      </c>
      <c r="AM79" s="50">
        <f t="shared" si="21"/>
        <v>4</v>
      </c>
      <c r="AN79" s="50">
        <f t="shared" si="22"/>
        <v>3</v>
      </c>
      <c r="AO79" s="50">
        <f t="shared" si="23"/>
        <v>6</v>
      </c>
      <c r="AP79" s="50">
        <f t="shared" si="24"/>
        <v>11</v>
      </c>
    </row>
    <row r="80" spans="2:42" ht="18.75" x14ac:dyDescent="0.25">
      <c r="B80" s="37" t="s">
        <v>249</v>
      </c>
      <c r="C80" s="146" t="s">
        <v>206</v>
      </c>
      <c r="D80" s="151"/>
      <c r="F80" s="23" t="s">
        <v>254</v>
      </c>
      <c r="G80" s="23" t="s">
        <v>254</v>
      </c>
      <c r="H80" s="23" t="s">
        <v>257</v>
      </c>
      <c r="I80" s="23" t="s">
        <v>257</v>
      </c>
      <c r="J80" s="23" t="s">
        <v>257</v>
      </c>
      <c r="K80" s="27" t="s">
        <v>229</v>
      </c>
      <c r="L80" s="27" t="s">
        <v>229</v>
      </c>
      <c r="M80" s="51" t="s">
        <v>230</v>
      </c>
      <c r="N80" s="23" t="s">
        <v>230</v>
      </c>
      <c r="O80" s="23" t="s">
        <v>254</v>
      </c>
      <c r="P80" s="23" t="s">
        <v>257</v>
      </c>
      <c r="Q80" s="23" t="s">
        <v>257</v>
      </c>
      <c r="R80" s="23" t="s">
        <v>257</v>
      </c>
      <c r="S80" s="27" t="s">
        <v>229</v>
      </c>
      <c r="T80" s="27" t="s">
        <v>229</v>
      </c>
      <c r="U80" s="51" t="s">
        <v>230</v>
      </c>
      <c r="V80" s="51" t="s">
        <v>230</v>
      </c>
      <c r="W80" s="23" t="s">
        <v>254</v>
      </c>
      <c r="X80" s="23" t="s">
        <v>257</v>
      </c>
      <c r="Y80" s="23" t="s">
        <v>257</v>
      </c>
      <c r="Z80" s="23" t="s">
        <v>257</v>
      </c>
      <c r="AA80" s="27" t="s">
        <v>229</v>
      </c>
      <c r="AB80" s="27" t="s">
        <v>229</v>
      </c>
      <c r="AC80" s="51" t="s">
        <v>230</v>
      </c>
      <c r="AD80" s="23" t="s">
        <v>144</v>
      </c>
      <c r="AE80" s="23" t="s">
        <v>254</v>
      </c>
      <c r="AF80" s="23" t="s">
        <v>257</v>
      </c>
      <c r="AG80" s="23" t="s">
        <v>257</v>
      </c>
      <c r="AH80" s="23" t="s">
        <v>257</v>
      </c>
      <c r="AI80" s="27" t="s">
        <v>229</v>
      </c>
      <c r="AJ80" s="27" t="s">
        <v>229</v>
      </c>
      <c r="AL80" s="50">
        <f t="shared" si="20"/>
        <v>0</v>
      </c>
      <c r="AM80" s="50">
        <f t="shared" si="21"/>
        <v>8</v>
      </c>
      <c r="AN80" s="50">
        <f t="shared" si="22"/>
        <v>5</v>
      </c>
      <c r="AO80" s="50">
        <f t="shared" si="23"/>
        <v>5</v>
      </c>
      <c r="AP80" s="50">
        <f t="shared" si="24"/>
        <v>12</v>
      </c>
    </row>
    <row r="81" spans="2:42" ht="18.75" x14ac:dyDescent="0.25">
      <c r="B81" s="37" t="s">
        <v>249</v>
      </c>
      <c r="C81" s="146" t="s">
        <v>207</v>
      </c>
      <c r="D81" s="151"/>
      <c r="F81" s="51" t="s">
        <v>254</v>
      </c>
      <c r="G81" s="23" t="s">
        <v>257</v>
      </c>
      <c r="H81" s="23" t="s">
        <v>257</v>
      </c>
      <c r="I81" s="23" t="s">
        <v>257</v>
      </c>
      <c r="J81" s="27" t="s">
        <v>229</v>
      </c>
      <c r="K81" s="27" t="s">
        <v>230</v>
      </c>
      <c r="L81" s="51" t="s">
        <v>230</v>
      </c>
      <c r="M81" s="23" t="s">
        <v>254</v>
      </c>
      <c r="N81" s="23" t="s">
        <v>254</v>
      </c>
      <c r="O81" s="23" t="s">
        <v>257</v>
      </c>
      <c r="P81" s="23" t="s">
        <v>257</v>
      </c>
      <c r="Q81" s="23" t="s">
        <v>257</v>
      </c>
      <c r="R81" s="27" t="s">
        <v>229</v>
      </c>
      <c r="S81" s="27" t="s">
        <v>229</v>
      </c>
      <c r="T81" s="51" t="s">
        <v>230</v>
      </c>
      <c r="U81" s="51" t="s">
        <v>256</v>
      </c>
      <c r="V81" s="23" t="s">
        <v>254</v>
      </c>
      <c r="W81" s="23" t="s">
        <v>257</v>
      </c>
      <c r="X81" s="23" t="s">
        <v>257</v>
      </c>
      <c r="Y81" s="23" t="s">
        <v>257</v>
      </c>
      <c r="Z81" s="27" t="s">
        <v>229</v>
      </c>
      <c r="AA81" s="27" t="s">
        <v>229</v>
      </c>
      <c r="AB81" s="51" t="s">
        <v>230</v>
      </c>
      <c r="AC81" s="51" t="s">
        <v>269</v>
      </c>
      <c r="AD81" s="51" t="s">
        <v>254</v>
      </c>
      <c r="AE81" s="23" t="s">
        <v>257</v>
      </c>
      <c r="AF81" s="23" t="s">
        <v>257</v>
      </c>
      <c r="AG81" s="23" t="s">
        <v>257</v>
      </c>
      <c r="AH81" s="27" t="s">
        <v>229</v>
      </c>
      <c r="AI81" s="27" t="s">
        <v>229</v>
      </c>
      <c r="AJ81" s="51" t="s">
        <v>230</v>
      </c>
      <c r="AL81" s="50">
        <f t="shared" si="20"/>
        <v>2</v>
      </c>
      <c r="AM81" s="50">
        <f t="shared" si="21"/>
        <v>7</v>
      </c>
      <c r="AN81" s="50">
        <f t="shared" si="22"/>
        <v>5</v>
      </c>
      <c r="AO81" s="50">
        <f t="shared" si="23"/>
        <v>5</v>
      </c>
      <c r="AP81" s="50">
        <f t="shared" si="24"/>
        <v>12</v>
      </c>
    </row>
    <row r="82" spans="2:42" ht="18.75" x14ac:dyDescent="0.25">
      <c r="B82" s="37" t="s">
        <v>249</v>
      </c>
      <c r="C82" s="146" t="s">
        <v>208</v>
      </c>
      <c r="D82" s="151"/>
      <c r="F82" s="23" t="s">
        <v>258</v>
      </c>
      <c r="G82" s="23" t="s">
        <v>258</v>
      </c>
      <c r="H82" s="23" t="s">
        <v>258</v>
      </c>
      <c r="I82" s="27" t="s">
        <v>258</v>
      </c>
      <c r="J82" s="27" t="s">
        <v>258</v>
      </c>
      <c r="K82" s="51" t="s">
        <v>258</v>
      </c>
      <c r="L82" s="23" t="s">
        <v>258</v>
      </c>
      <c r="M82" s="23" t="s">
        <v>258</v>
      </c>
      <c r="N82" s="23" t="s">
        <v>258</v>
      </c>
      <c r="O82" s="23" t="s">
        <v>257</v>
      </c>
      <c r="P82" s="23" t="s">
        <v>257</v>
      </c>
      <c r="Q82" s="27" t="s">
        <v>229</v>
      </c>
      <c r="R82" s="51" t="s">
        <v>229</v>
      </c>
      <c r="S82" s="51" t="s">
        <v>230</v>
      </c>
      <c r="T82" s="51" t="s">
        <v>230</v>
      </c>
      <c r="U82" s="23" t="s">
        <v>254</v>
      </c>
      <c r="V82" s="23" t="s">
        <v>257</v>
      </c>
      <c r="W82" s="23" t="s">
        <v>257</v>
      </c>
      <c r="X82" s="23" t="s">
        <v>257</v>
      </c>
      <c r="Y82" s="27" t="s">
        <v>229</v>
      </c>
      <c r="Z82" s="27" t="s">
        <v>229</v>
      </c>
      <c r="AA82" s="51" t="s">
        <v>230</v>
      </c>
      <c r="AB82" s="51" t="s">
        <v>230</v>
      </c>
      <c r="AC82" s="51" t="s">
        <v>254</v>
      </c>
      <c r="AD82" s="23" t="s">
        <v>257</v>
      </c>
      <c r="AE82" s="23" t="s">
        <v>257</v>
      </c>
      <c r="AF82" s="23" t="s">
        <v>257</v>
      </c>
      <c r="AG82" s="27" t="s">
        <v>229</v>
      </c>
      <c r="AH82" s="27" t="s">
        <v>229</v>
      </c>
      <c r="AI82" s="51" t="s">
        <v>230</v>
      </c>
      <c r="AJ82" s="23" t="s">
        <v>256</v>
      </c>
      <c r="AL82" s="50">
        <f t="shared" si="20"/>
        <v>1</v>
      </c>
      <c r="AM82" s="50">
        <f t="shared" si="21"/>
        <v>6</v>
      </c>
      <c r="AN82" s="50">
        <f t="shared" si="22"/>
        <v>5</v>
      </c>
      <c r="AO82" s="50">
        <f t="shared" si="23"/>
        <v>2</v>
      </c>
      <c r="AP82" s="50">
        <f t="shared" si="24"/>
        <v>8</v>
      </c>
    </row>
    <row r="83" spans="2:42" ht="18.75" x14ac:dyDescent="0.25">
      <c r="B83" s="37" t="s">
        <v>249</v>
      </c>
      <c r="C83" s="67" t="s">
        <v>191</v>
      </c>
      <c r="D83" s="68"/>
      <c r="F83" s="51" t="s">
        <v>230</v>
      </c>
      <c r="G83" s="23" t="s">
        <v>257</v>
      </c>
      <c r="H83" s="23" t="s">
        <v>257</v>
      </c>
      <c r="I83" s="27" t="s">
        <v>229</v>
      </c>
      <c r="J83" s="27" t="s">
        <v>229</v>
      </c>
      <c r="K83" s="51" t="s">
        <v>230</v>
      </c>
      <c r="L83" s="51" t="s">
        <v>230</v>
      </c>
      <c r="M83" s="51" t="s">
        <v>230</v>
      </c>
      <c r="N83" s="23" t="s">
        <v>257</v>
      </c>
      <c r="O83" s="23" t="s">
        <v>257</v>
      </c>
      <c r="P83" s="27" t="s">
        <v>229</v>
      </c>
      <c r="Q83" s="27" t="s">
        <v>229</v>
      </c>
      <c r="R83" s="51" t="s">
        <v>230</v>
      </c>
      <c r="S83" s="51" t="s">
        <v>230</v>
      </c>
      <c r="T83" s="51" t="s">
        <v>230</v>
      </c>
      <c r="U83" s="23" t="s">
        <v>257</v>
      </c>
      <c r="V83" s="23" t="s">
        <v>257</v>
      </c>
      <c r="W83" s="27" t="s">
        <v>229</v>
      </c>
      <c r="X83" s="27" t="s">
        <v>229</v>
      </c>
      <c r="Y83" s="51" t="s">
        <v>230</v>
      </c>
      <c r="Z83" s="51" t="s">
        <v>230</v>
      </c>
      <c r="AA83" s="27" t="s">
        <v>229</v>
      </c>
      <c r="AB83" s="23" t="s">
        <v>257</v>
      </c>
      <c r="AC83" s="23" t="s">
        <v>257</v>
      </c>
      <c r="AD83" s="27" t="s">
        <v>229</v>
      </c>
      <c r="AE83" s="27" t="s">
        <v>229</v>
      </c>
      <c r="AF83" s="51" t="s">
        <v>230</v>
      </c>
      <c r="AG83" s="51" t="s">
        <v>230</v>
      </c>
      <c r="AH83" s="27" t="s">
        <v>229</v>
      </c>
      <c r="AI83" s="23" t="s">
        <v>257</v>
      </c>
      <c r="AJ83" s="23" t="s">
        <v>257</v>
      </c>
      <c r="AL83" s="50">
        <f t="shared" si="20"/>
        <v>0</v>
      </c>
      <c r="AM83" s="50">
        <f t="shared" si="21"/>
        <v>10</v>
      </c>
      <c r="AN83" s="50">
        <f t="shared" si="22"/>
        <v>11</v>
      </c>
      <c r="AO83" s="50">
        <f t="shared" si="23"/>
        <v>0</v>
      </c>
      <c r="AP83" s="50">
        <f t="shared" si="24"/>
        <v>10</v>
      </c>
    </row>
    <row r="84" spans="2:42" ht="19.5" thickBot="1" x14ac:dyDescent="0.3">
      <c r="B84" s="37" t="s">
        <v>249</v>
      </c>
      <c r="C84" s="146" t="s">
        <v>192</v>
      </c>
      <c r="D84" s="151"/>
      <c r="F84" s="108" t="s">
        <v>229</v>
      </c>
      <c r="G84" s="109" t="s">
        <v>257</v>
      </c>
      <c r="H84" s="109" t="s">
        <v>257</v>
      </c>
      <c r="I84" s="64" t="s">
        <v>230</v>
      </c>
      <c r="J84" s="64" t="s">
        <v>230</v>
      </c>
      <c r="K84" s="108" t="s">
        <v>229</v>
      </c>
      <c r="L84" s="108" t="s">
        <v>229</v>
      </c>
      <c r="M84" s="108" t="s">
        <v>229</v>
      </c>
      <c r="N84" s="109" t="s">
        <v>257</v>
      </c>
      <c r="O84" s="109" t="s">
        <v>257</v>
      </c>
      <c r="P84" s="64" t="s">
        <v>230</v>
      </c>
      <c r="Q84" s="64" t="s">
        <v>230</v>
      </c>
      <c r="R84" s="108" t="s">
        <v>229</v>
      </c>
      <c r="S84" s="108" t="s">
        <v>229</v>
      </c>
      <c r="T84" s="108" t="s">
        <v>229</v>
      </c>
      <c r="U84" s="109" t="s">
        <v>257</v>
      </c>
      <c r="V84" s="109" t="s">
        <v>257</v>
      </c>
      <c r="W84" s="64" t="s">
        <v>230</v>
      </c>
      <c r="X84" s="64" t="s">
        <v>230</v>
      </c>
      <c r="Y84" s="108" t="s">
        <v>229</v>
      </c>
      <c r="Z84" s="108" t="s">
        <v>144</v>
      </c>
      <c r="AA84" s="64" t="s">
        <v>230</v>
      </c>
      <c r="AB84" s="109" t="s">
        <v>257</v>
      </c>
      <c r="AC84" s="109" t="s">
        <v>257</v>
      </c>
      <c r="AD84" s="64" t="s">
        <v>230</v>
      </c>
      <c r="AE84" s="64" t="s">
        <v>230</v>
      </c>
      <c r="AF84" s="108" t="s">
        <v>229</v>
      </c>
      <c r="AG84" s="108" t="s">
        <v>229</v>
      </c>
      <c r="AH84" s="64" t="s">
        <v>230</v>
      </c>
      <c r="AI84" s="109" t="s">
        <v>257</v>
      </c>
      <c r="AJ84" s="109" t="s">
        <v>257</v>
      </c>
      <c r="AL84" s="50">
        <f t="shared" si="20"/>
        <v>0</v>
      </c>
      <c r="AM84" s="50">
        <f t="shared" si="21"/>
        <v>10</v>
      </c>
      <c r="AN84" s="50">
        <f t="shared" si="22"/>
        <v>10</v>
      </c>
      <c r="AO84" s="50">
        <f t="shared" si="23"/>
        <v>0</v>
      </c>
      <c r="AP84" s="50">
        <f t="shared" si="24"/>
        <v>10</v>
      </c>
    </row>
    <row r="85" spans="2:42" x14ac:dyDescent="0.25">
      <c r="F85" s="20" t="s">
        <v>94</v>
      </c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</row>
    <row r="86" spans="2:42" ht="18.75" x14ac:dyDescent="0.3">
      <c r="C86" s="181" t="s">
        <v>91</v>
      </c>
      <c r="D86" s="181"/>
      <c r="E86" s="36"/>
      <c r="F86" s="37">
        <f t="shared" ref="F86:AJ86" si="25">COUNTIF(F9:F84,"M*")</f>
        <v>14</v>
      </c>
      <c r="G86" s="37">
        <f t="shared" si="25"/>
        <v>11</v>
      </c>
      <c r="H86" s="37">
        <f t="shared" si="25"/>
        <v>11</v>
      </c>
      <c r="I86" s="37">
        <f t="shared" si="25"/>
        <v>14</v>
      </c>
      <c r="J86" s="37">
        <f t="shared" si="25"/>
        <v>14</v>
      </c>
      <c r="K86" s="37">
        <f t="shared" si="25"/>
        <v>13</v>
      </c>
      <c r="L86" s="37">
        <f t="shared" si="25"/>
        <v>13</v>
      </c>
      <c r="M86" s="37">
        <f t="shared" si="25"/>
        <v>14</v>
      </c>
      <c r="N86" s="37">
        <f t="shared" si="25"/>
        <v>12</v>
      </c>
      <c r="O86" s="37">
        <f t="shared" si="25"/>
        <v>12</v>
      </c>
      <c r="P86" s="37">
        <f t="shared" si="25"/>
        <v>14</v>
      </c>
      <c r="Q86" s="37">
        <f t="shared" si="25"/>
        <v>14</v>
      </c>
      <c r="R86" s="37">
        <f t="shared" si="25"/>
        <v>14</v>
      </c>
      <c r="S86" s="37">
        <f t="shared" si="25"/>
        <v>13</v>
      </c>
      <c r="T86" s="37">
        <f t="shared" si="25"/>
        <v>15</v>
      </c>
      <c r="U86" s="37">
        <f t="shared" si="25"/>
        <v>12</v>
      </c>
      <c r="V86" s="37">
        <f t="shared" si="25"/>
        <v>10</v>
      </c>
      <c r="W86" s="37">
        <f t="shared" si="25"/>
        <v>14</v>
      </c>
      <c r="X86" s="37">
        <f t="shared" si="25"/>
        <v>15</v>
      </c>
      <c r="Y86" s="37">
        <f t="shared" si="25"/>
        <v>15</v>
      </c>
      <c r="Z86" s="37">
        <f t="shared" si="25"/>
        <v>14</v>
      </c>
      <c r="AA86" s="37">
        <f t="shared" si="25"/>
        <v>14</v>
      </c>
      <c r="AB86" s="37">
        <f t="shared" si="25"/>
        <v>13</v>
      </c>
      <c r="AC86" s="37">
        <f t="shared" si="25"/>
        <v>12</v>
      </c>
      <c r="AD86" s="37">
        <f t="shared" si="25"/>
        <v>12</v>
      </c>
      <c r="AE86" s="37">
        <f t="shared" si="25"/>
        <v>15</v>
      </c>
      <c r="AF86" s="37">
        <f t="shared" si="25"/>
        <v>15</v>
      </c>
      <c r="AG86" s="37">
        <f t="shared" si="25"/>
        <v>14</v>
      </c>
      <c r="AH86" s="37">
        <f t="shared" si="25"/>
        <v>15</v>
      </c>
      <c r="AI86" s="37">
        <f t="shared" si="25"/>
        <v>12</v>
      </c>
      <c r="AJ86" s="37">
        <f t="shared" si="25"/>
        <v>12</v>
      </c>
    </row>
    <row r="87" spans="2:42" ht="18.75" x14ac:dyDescent="0.3">
      <c r="C87" s="181" t="s">
        <v>92</v>
      </c>
      <c r="D87" s="181"/>
      <c r="E87" s="36"/>
      <c r="F87" s="37">
        <f t="shared" ref="F87:AJ87" si="26">COUNTIF(F9:F84,"A*")</f>
        <v>13</v>
      </c>
      <c r="G87" s="37">
        <f t="shared" si="26"/>
        <v>11</v>
      </c>
      <c r="H87" s="37">
        <f t="shared" si="26"/>
        <v>12</v>
      </c>
      <c r="I87" s="37">
        <f t="shared" si="26"/>
        <v>12</v>
      </c>
      <c r="J87" s="37">
        <f t="shared" si="26"/>
        <v>11</v>
      </c>
      <c r="K87" s="37">
        <f t="shared" si="26"/>
        <v>13</v>
      </c>
      <c r="L87" s="37">
        <f t="shared" si="26"/>
        <v>12</v>
      </c>
      <c r="M87" s="37">
        <f t="shared" si="26"/>
        <v>12</v>
      </c>
      <c r="N87" s="37">
        <f t="shared" si="26"/>
        <v>11</v>
      </c>
      <c r="O87" s="37">
        <f t="shared" si="26"/>
        <v>11</v>
      </c>
      <c r="P87" s="37">
        <f t="shared" si="26"/>
        <v>13</v>
      </c>
      <c r="Q87" s="37">
        <f t="shared" si="26"/>
        <v>13</v>
      </c>
      <c r="R87" s="37">
        <f t="shared" si="26"/>
        <v>13</v>
      </c>
      <c r="S87" s="37">
        <f t="shared" si="26"/>
        <v>13</v>
      </c>
      <c r="T87" s="37">
        <f t="shared" si="26"/>
        <v>13</v>
      </c>
      <c r="U87" s="37">
        <f t="shared" si="26"/>
        <v>11</v>
      </c>
      <c r="V87" s="37">
        <f t="shared" si="26"/>
        <v>11</v>
      </c>
      <c r="W87" s="37">
        <f t="shared" si="26"/>
        <v>13</v>
      </c>
      <c r="X87" s="37">
        <f t="shared" si="26"/>
        <v>12</v>
      </c>
      <c r="Y87" s="37">
        <f t="shared" si="26"/>
        <v>13</v>
      </c>
      <c r="Z87" s="37">
        <f t="shared" si="26"/>
        <v>13</v>
      </c>
      <c r="AA87" s="37">
        <f t="shared" si="26"/>
        <v>13</v>
      </c>
      <c r="AB87" s="37">
        <f t="shared" si="26"/>
        <v>12</v>
      </c>
      <c r="AC87" s="37">
        <f t="shared" si="26"/>
        <v>11</v>
      </c>
      <c r="AD87" s="37">
        <f t="shared" si="26"/>
        <v>13</v>
      </c>
      <c r="AE87" s="37">
        <f t="shared" si="26"/>
        <v>12</v>
      </c>
      <c r="AF87" s="37">
        <f t="shared" si="26"/>
        <v>12</v>
      </c>
      <c r="AG87" s="37">
        <f t="shared" si="26"/>
        <v>14</v>
      </c>
      <c r="AH87" s="37">
        <f t="shared" si="26"/>
        <v>13</v>
      </c>
      <c r="AI87" s="37">
        <f t="shared" si="26"/>
        <v>11</v>
      </c>
      <c r="AJ87" s="37">
        <f t="shared" si="26"/>
        <v>12</v>
      </c>
    </row>
    <row r="88" spans="2:42" ht="18.75" x14ac:dyDescent="0.3">
      <c r="C88" s="181" t="s">
        <v>72</v>
      </c>
      <c r="D88" s="181"/>
      <c r="E88" s="36"/>
      <c r="F88" s="37">
        <f t="shared" ref="F88:AJ88" si="27">COUNTIF(F9:F84,"N*")</f>
        <v>11</v>
      </c>
      <c r="G88" s="37">
        <f t="shared" si="27"/>
        <v>11</v>
      </c>
      <c r="H88" s="37">
        <f t="shared" si="27"/>
        <v>12</v>
      </c>
      <c r="I88" s="37">
        <f t="shared" si="27"/>
        <v>12</v>
      </c>
      <c r="J88" s="37">
        <f t="shared" si="27"/>
        <v>11</v>
      </c>
      <c r="K88" s="37">
        <f t="shared" si="27"/>
        <v>10</v>
      </c>
      <c r="L88" s="37">
        <f t="shared" si="27"/>
        <v>11</v>
      </c>
      <c r="M88" s="37">
        <f t="shared" si="27"/>
        <v>10</v>
      </c>
      <c r="N88" s="37">
        <f t="shared" si="27"/>
        <v>11</v>
      </c>
      <c r="O88" s="37">
        <f t="shared" si="27"/>
        <v>11</v>
      </c>
      <c r="P88" s="37">
        <f t="shared" si="27"/>
        <v>12</v>
      </c>
      <c r="Q88" s="37">
        <f t="shared" si="27"/>
        <v>12</v>
      </c>
      <c r="R88" s="37">
        <f t="shared" si="27"/>
        <v>12</v>
      </c>
      <c r="S88" s="37">
        <f t="shared" si="27"/>
        <v>12</v>
      </c>
      <c r="T88" s="37">
        <f t="shared" si="27"/>
        <v>13</v>
      </c>
      <c r="U88" s="37">
        <f t="shared" si="27"/>
        <v>13</v>
      </c>
      <c r="V88" s="37">
        <f t="shared" si="27"/>
        <v>11</v>
      </c>
      <c r="W88" s="37">
        <f t="shared" si="27"/>
        <v>11</v>
      </c>
      <c r="X88" s="37">
        <f t="shared" si="27"/>
        <v>12</v>
      </c>
      <c r="Y88" s="37">
        <f t="shared" si="27"/>
        <v>11</v>
      </c>
      <c r="Z88" s="37">
        <f t="shared" si="27"/>
        <v>10</v>
      </c>
      <c r="AA88" s="37">
        <f t="shared" si="27"/>
        <v>12</v>
      </c>
      <c r="AB88" s="37">
        <f t="shared" si="27"/>
        <v>13</v>
      </c>
      <c r="AC88" s="37">
        <f t="shared" si="27"/>
        <v>13</v>
      </c>
      <c r="AD88" s="37">
        <f t="shared" si="27"/>
        <v>11</v>
      </c>
      <c r="AE88" s="37">
        <f t="shared" si="27"/>
        <v>12</v>
      </c>
      <c r="AF88" s="37">
        <f t="shared" si="27"/>
        <v>13</v>
      </c>
      <c r="AG88" s="37">
        <f t="shared" si="27"/>
        <v>12</v>
      </c>
      <c r="AH88" s="37">
        <f t="shared" si="27"/>
        <v>12</v>
      </c>
      <c r="AI88" s="37">
        <f t="shared" si="27"/>
        <v>13</v>
      </c>
      <c r="AJ88" s="37">
        <f t="shared" si="27"/>
        <v>13</v>
      </c>
    </row>
    <row r="89" spans="2:42" ht="18.75" x14ac:dyDescent="0.3">
      <c r="C89" s="181" t="s">
        <v>73</v>
      </c>
      <c r="D89" s="181"/>
      <c r="E89" s="36"/>
      <c r="F89" s="37">
        <f t="shared" ref="F89:AJ89" si="28">COUNTIF(F$30:F$84,"O*")</f>
        <v>19</v>
      </c>
      <c r="G89" s="37">
        <f t="shared" si="28"/>
        <v>22</v>
      </c>
      <c r="H89" s="37">
        <f t="shared" si="28"/>
        <v>19</v>
      </c>
      <c r="I89" s="37">
        <f t="shared" si="28"/>
        <v>17</v>
      </c>
      <c r="J89" s="37">
        <f t="shared" si="28"/>
        <v>16</v>
      </c>
      <c r="K89" s="37">
        <f t="shared" si="28"/>
        <v>15</v>
      </c>
      <c r="L89" s="37">
        <f t="shared" si="28"/>
        <v>16</v>
      </c>
      <c r="M89" s="37">
        <f t="shared" si="28"/>
        <v>18</v>
      </c>
      <c r="N89" s="37">
        <f t="shared" si="28"/>
        <v>21</v>
      </c>
      <c r="O89" s="37">
        <f t="shared" si="28"/>
        <v>22</v>
      </c>
      <c r="P89" s="37">
        <f t="shared" si="28"/>
        <v>17</v>
      </c>
      <c r="Q89" s="37">
        <f t="shared" si="28"/>
        <v>15</v>
      </c>
      <c r="R89" s="37">
        <f t="shared" si="28"/>
        <v>17</v>
      </c>
      <c r="S89" s="37">
        <f t="shared" si="28"/>
        <v>18</v>
      </c>
      <c r="T89" s="37">
        <f t="shared" si="28"/>
        <v>17</v>
      </c>
      <c r="U89" s="37">
        <f t="shared" si="28"/>
        <v>21</v>
      </c>
      <c r="V89" s="37">
        <f t="shared" si="28"/>
        <v>25</v>
      </c>
      <c r="W89" s="37">
        <f t="shared" si="28"/>
        <v>20</v>
      </c>
      <c r="X89" s="37">
        <f t="shared" si="28"/>
        <v>18</v>
      </c>
      <c r="Y89" s="37">
        <f t="shared" si="28"/>
        <v>18</v>
      </c>
      <c r="Z89" s="37">
        <f t="shared" si="28"/>
        <v>18</v>
      </c>
      <c r="AA89" s="37">
        <f t="shared" si="28"/>
        <v>15</v>
      </c>
      <c r="AB89" s="37">
        <f t="shared" si="28"/>
        <v>18</v>
      </c>
      <c r="AC89" s="37">
        <f t="shared" si="28"/>
        <v>20</v>
      </c>
      <c r="AD89" s="37">
        <f t="shared" si="28"/>
        <v>20</v>
      </c>
      <c r="AE89" s="37">
        <f t="shared" si="28"/>
        <v>19</v>
      </c>
      <c r="AF89" s="37">
        <f t="shared" si="28"/>
        <v>18</v>
      </c>
      <c r="AG89" s="37">
        <f t="shared" si="28"/>
        <v>18</v>
      </c>
      <c r="AH89" s="37">
        <f t="shared" si="28"/>
        <v>18</v>
      </c>
      <c r="AI89" s="37">
        <f t="shared" si="28"/>
        <v>21</v>
      </c>
      <c r="AJ89" s="37">
        <f t="shared" si="28"/>
        <v>22</v>
      </c>
    </row>
    <row r="90" spans="2:42" ht="18.75" x14ac:dyDescent="0.3">
      <c r="C90" s="177" t="s">
        <v>143</v>
      </c>
      <c r="D90" s="178"/>
      <c r="E90" s="36"/>
      <c r="F90" s="37">
        <f t="shared" ref="F90:AJ90" si="29">COUNTIF(F9:F84,"TR*")</f>
        <v>0</v>
      </c>
      <c r="G90" s="37">
        <f t="shared" si="29"/>
        <v>0</v>
      </c>
      <c r="H90" s="37">
        <f t="shared" si="29"/>
        <v>0</v>
      </c>
      <c r="I90" s="37">
        <f t="shared" si="29"/>
        <v>0</v>
      </c>
      <c r="J90" s="37">
        <f t="shared" si="29"/>
        <v>4</v>
      </c>
      <c r="K90" s="37">
        <f t="shared" si="29"/>
        <v>4</v>
      </c>
      <c r="L90" s="37">
        <f t="shared" si="29"/>
        <v>3</v>
      </c>
      <c r="M90" s="37">
        <f t="shared" si="29"/>
        <v>2</v>
      </c>
      <c r="N90" s="37">
        <f t="shared" si="29"/>
        <v>0</v>
      </c>
      <c r="O90" s="37">
        <f t="shared" si="29"/>
        <v>0</v>
      </c>
      <c r="P90" s="37">
        <f t="shared" si="29"/>
        <v>0</v>
      </c>
      <c r="Q90" s="37">
        <f t="shared" si="29"/>
        <v>4</v>
      </c>
      <c r="R90" s="37">
        <f t="shared" si="29"/>
        <v>2</v>
      </c>
      <c r="S90" s="37">
        <f t="shared" si="29"/>
        <v>4</v>
      </c>
      <c r="T90" s="37">
        <f t="shared" si="29"/>
        <v>0</v>
      </c>
      <c r="U90" s="37">
        <f t="shared" si="29"/>
        <v>0</v>
      </c>
      <c r="V90" s="37">
        <f t="shared" si="29"/>
        <v>0</v>
      </c>
      <c r="W90" s="37">
        <f t="shared" si="29"/>
        <v>0</v>
      </c>
      <c r="X90" s="37">
        <f t="shared" si="29"/>
        <v>0</v>
      </c>
      <c r="Y90" s="37">
        <f t="shared" si="29"/>
        <v>0</v>
      </c>
      <c r="Z90" s="37">
        <f t="shared" si="29"/>
        <v>3</v>
      </c>
      <c r="AA90" s="37">
        <f t="shared" si="29"/>
        <v>2</v>
      </c>
      <c r="AB90" s="37">
        <f t="shared" si="29"/>
        <v>0</v>
      </c>
      <c r="AC90" s="37">
        <f t="shared" si="29"/>
        <v>0</v>
      </c>
      <c r="AD90" s="37">
        <f t="shared" si="29"/>
        <v>3</v>
      </c>
      <c r="AE90" s="37">
        <f t="shared" si="29"/>
        <v>2</v>
      </c>
      <c r="AF90" s="37">
        <f t="shared" si="29"/>
        <v>1</v>
      </c>
      <c r="AG90" s="37">
        <f t="shared" si="29"/>
        <v>0</v>
      </c>
      <c r="AH90" s="37">
        <f t="shared" si="29"/>
        <v>0</v>
      </c>
      <c r="AI90" s="37">
        <f t="shared" si="29"/>
        <v>0</v>
      </c>
      <c r="AJ90" s="37">
        <f t="shared" si="29"/>
        <v>0</v>
      </c>
    </row>
    <row r="91" spans="2:42" ht="18.75" x14ac:dyDescent="0.3">
      <c r="C91" s="177" t="s">
        <v>106</v>
      </c>
      <c r="D91" s="178"/>
      <c r="E91" s="36"/>
      <c r="F91" s="37">
        <f>COUNTIF(F9:F84,"ST*")</f>
        <v>1</v>
      </c>
      <c r="G91" s="37">
        <f t="shared" ref="G91:AJ91" si="30">COUNTIF(G$30:G$64,"ST*")</f>
        <v>0</v>
      </c>
      <c r="H91" s="37">
        <f t="shared" si="30"/>
        <v>0</v>
      </c>
      <c r="I91" s="37">
        <f t="shared" si="30"/>
        <v>0</v>
      </c>
      <c r="J91" s="37">
        <f t="shared" si="30"/>
        <v>0</v>
      </c>
      <c r="K91" s="37">
        <f t="shared" si="30"/>
        <v>0</v>
      </c>
      <c r="L91" s="37">
        <f t="shared" si="30"/>
        <v>0</v>
      </c>
      <c r="M91" s="37">
        <f t="shared" si="30"/>
        <v>0</v>
      </c>
      <c r="N91" s="37">
        <f t="shared" si="30"/>
        <v>0</v>
      </c>
      <c r="O91" s="37">
        <f t="shared" si="30"/>
        <v>0</v>
      </c>
      <c r="P91" s="37">
        <f t="shared" si="30"/>
        <v>0</v>
      </c>
      <c r="Q91" s="37">
        <f t="shared" si="30"/>
        <v>0</v>
      </c>
      <c r="R91" s="37">
        <f t="shared" si="30"/>
        <v>0</v>
      </c>
      <c r="S91" s="37">
        <f t="shared" si="30"/>
        <v>0</v>
      </c>
      <c r="T91" s="37">
        <f t="shared" si="30"/>
        <v>0</v>
      </c>
      <c r="U91" s="37">
        <f t="shared" si="30"/>
        <v>0</v>
      </c>
      <c r="V91" s="37">
        <f t="shared" si="30"/>
        <v>0</v>
      </c>
      <c r="W91" s="37">
        <f t="shared" si="30"/>
        <v>0</v>
      </c>
      <c r="X91" s="37">
        <f t="shared" si="30"/>
        <v>0</v>
      </c>
      <c r="Y91" s="37">
        <f t="shared" si="30"/>
        <v>0</v>
      </c>
      <c r="Z91" s="37">
        <f t="shared" si="30"/>
        <v>0</v>
      </c>
      <c r="AA91" s="37">
        <f t="shared" si="30"/>
        <v>0</v>
      </c>
      <c r="AB91" s="37">
        <f t="shared" si="30"/>
        <v>0</v>
      </c>
      <c r="AC91" s="37">
        <f t="shared" si="30"/>
        <v>0</v>
      </c>
      <c r="AD91" s="37">
        <f t="shared" si="30"/>
        <v>0</v>
      </c>
      <c r="AE91" s="37">
        <f t="shared" si="30"/>
        <v>0</v>
      </c>
      <c r="AF91" s="37">
        <f t="shared" si="30"/>
        <v>0</v>
      </c>
      <c r="AG91" s="37">
        <f t="shared" si="30"/>
        <v>0</v>
      </c>
      <c r="AH91" s="37">
        <f t="shared" si="30"/>
        <v>0</v>
      </c>
      <c r="AI91" s="37">
        <f t="shared" si="30"/>
        <v>0</v>
      </c>
      <c r="AJ91" s="37">
        <f t="shared" si="30"/>
        <v>0</v>
      </c>
    </row>
    <row r="92" spans="2:42" ht="18.75" x14ac:dyDescent="0.3">
      <c r="C92" s="179" t="s">
        <v>104</v>
      </c>
      <c r="D92" s="179"/>
      <c r="E92" s="38"/>
      <c r="F92" s="53">
        <f>F94-F95</f>
        <v>-7</v>
      </c>
      <c r="G92" s="53">
        <f t="shared" ref="G92:AJ92" si="31">G94-G95</f>
        <v>-12</v>
      </c>
      <c r="H92" s="53">
        <f t="shared" si="31"/>
        <v>-10</v>
      </c>
      <c r="I92" s="53">
        <f t="shared" si="31"/>
        <v>-7</v>
      </c>
      <c r="J92" s="53">
        <f t="shared" si="31"/>
        <v>-9</v>
      </c>
      <c r="K92" s="53">
        <f t="shared" si="31"/>
        <v>-9</v>
      </c>
      <c r="L92" s="53">
        <f t="shared" si="31"/>
        <v>-9</v>
      </c>
      <c r="M92" s="53">
        <f t="shared" si="31"/>
        <v>-9</v>
      </c>
      <c r="N92" s="53">
        <f t="shared" si="31"/>
        <v>-11</v>
      </c>
      <c r="O92" s="53">
        <f t="shared" si="31"/>
        <v>-11</v>
      </c>
      <c r="P92" s="53">
        <f t="shared" si="31"/>
        <v>-6</v>
      </c>
      <c r="Q92" s="53">
        <f t="shared" si="31"/>
        <v>-6</v>
      </c>
      <c r="R92" s="53">
        <f t="shared" si="31"/>
        <v>-6</v>
      </c>
      <c r="S92" s="53">
        <f t="shared" si="31"/>
        <v>-7</v>
      </c>
      <c r="T92" s="53">
        <f t="shared" si="31"/>
        <v>-4</v>
      </c>
      <c r="U92" s="53">
        <f t="shared" si="31"/>
        <v>-9</v>
      </c>
      <c r="V92" s="53">
        <f t="shared" si="31"/>
        <v>-13</v>
      </c>
      <c r="W92" s="53">
        <f t="shared" si="31"/>
        <v>-7</v>
      </c>
      <c r="X92" s="53">
        <f t="shared" si="31"/>
        <v>-6</v>
      </c>
      <c r="Y92" s="53">
        <f t="shared" si="31"/>
        <v>-6</v>
      </c>
      <c r="Z92" s="53">
        <f t="shared" si="31"/>
        <v>-8</v>
      </c>
      <c r="AA92" s="53">
        <f t="shared" si="31"/>
        <v>-6</v>
      </c>
      <c r="AB92" s="53">
        <f t="shared" si="31"/>
        <v>-7</v>
      </c>
      <c r="AC92" s="53">
        <f t="shared" si="31"/>
        <v>-9</v>
      </c>
      <c r="AD92" s="53">
        <f t="shared" si="31"/>
        <v>-9</v>
      </c>
      <c r="AE92" s="53">
        <f t="shared" si="31"/>
        <v>-6</v>
      </c>
      <c r="AF92" s="53">
        <f t="shared" si="31"/>
        <v>-5</v>
      </c>
      <c r="AG92" s="53">
        <f t="shared" si="31"/>
        <v>-5</v>
      </c>
      <c r="AH92" s="53">
        <f t="shared" si="31"/>
        <v>-5</v>
      </c>
      <c r="AI92" s="53">
        <f t="shared" si="31"/>
        <v>-9</v>
      </c>
      <c r="AJ92" s="53">
        <f t="shared" si="31"/>
        <v>-27</v>
      </c>
    </row>
    <row r="93" spans="2:42" ht="9.75" customHeight="1" x14ac:dyDescent="0.3">
      <c r="C93" s="40"/>
      <c r="D93" s="40"/>
      <c r="E93" s="36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80"/>
      <c r="AI93" s="180"/>
      <c r="AJ93" s="180"/>
    </row>
    <row r="94" spans="2:42" ht="18.75" x14ac:dyDescent="0.3">
      <c r="C94" s="181" t="s">
        <v>102</v>
      </c>
      <c r="D94" s="181"/>
      <c r="E94" s="36"/>
      <c r="F94" s="41">
        <f>SUM(F86:F88)</f>
        <v>38</v>
      </c>
      <c r="G94" s="41">
        <f t="shared" ref="G94:AI94" si="32">SUM(G86:G88)</f>
        <v>33</v>
      </c>
      <c r="H94" s="41">
        <f t="shared" si="32"/>
        <v>35</v>
      </c>
      <c r="I94" s="41">
        <f t="shared" si="32"/>
        <v>38</v>
      </c>
      <c r="J94" s="41">
        <f t="shared" si="32"/>
        <v>36</v>
      </c>
      <c r="K94" s="41">
        <f t="shared" si="32"/>
        <v>36</v>
      </c>
      <c r="L94" s="41">
        <f t="shared" si="32"/>
        <v>36</v>
      </c>
      <c r="M94" s="41">
        <f t="shared" si="32"/>
        <v>36</v>
      </c>
      <c r="N94" s="41">
        <f t="shared" si="32"/>
        <v>34</v>
      </c>
      <c r="O94" s="41">
        <f t="shared" si="32"/>
        <v>34</v>
      </c>
      <c r="P94" s="41">
        <f t="shared" si="32"/>
        <v>39</v>
      </c>
      <c r="Q94" s="41">
        <f t="shared" si="32"/>
        <v>39</v>
      </c>
      <c r="R94" s="41">
        <f t="shared" si="32"/>
        <v>39</v>
      </c>
      <c r="S94" s="41">
        <f t="shared" si="32"/>
        <v>38</v>
      </c>
      <c r="T94" s="41">
        <f t="shared" si="32"/>
        <v>41</v>
      </c>
      <c r="U94" s="41">
        <f t="shared" si="32"/>
        <v>36</v>
      </c>
      <c r="V94" s="41">
        <f t="shared" si="32"/>
        <v>32</v>
      </c>
      <c r="W94" s="41">
        <f t="shared" si="32"/>
        <v>38</v>
      </c>
      <c r="X94" s="41">
        <f t="shared" si="32"/>
        <v>39</v>
      </c>
      <c r="Y94" s="41">
        <f t="shared" si="32"/>
        <v>39</v>
      </c>
      <c r="Z94" s="41">
        <f t="shared" si="32"/>
        <v>37</v>
      </c>
      <c r="AA94" s="41">
        <f t="shared" si="32"/>
        <v>39</v>
      </c>
      <c r="AB94" s="41">
        <f t="shared" si="32"/>
        <v>38</v>
      </c>
      <c r="AC94" s="41">
        <f t="shared" si="32"/>
        <v>36</v>
      </c>
      <c r="AD94" s="41">
        <f t="shared" si="32"/>
        <v>36</v>
      </c>
      <c r="AE94" s="41">
        <f t="shared" si="32"/>
        <v>39</v>
      </c>
      <c r="AF94" s="41">
        <f t="shared" si="32"/>
        <v>40</v>
      </c>
      <c r="AG94" s="41">
        <f t="shared" si="32"/>
        <v>40</v>
      </c>
      <c r="AH94" s="41">
        <f t="shared" si="32"/>
        <v>40</v>
      </c>
      <c r="AI94" s="41">
        <f t="shared" si="32"/>
        <v>36</v>
      </c>
      <c r="AJ94" s="41">
        <v>18</v>
      </c>
    </row>
    <row r="95" spans="2:42" ht="18.75" x14ac:dyDescent="0.3">
      <c r="C95" s="181" t="s">
        <v>90</v>
      </c>
      <c r="D95" s="181"/>
      <c r="E95" s="36"/>
      <c r="F95" s="37">
        <v>45</v>
      </c>
      <c r="G95" s="37">
        <v>45</v>
      </c>
      <c r="H95" s="37">
        <v>45</v>
      </c>
      <c r="I95" s="37">
        <v>45</v>
      </c>
      <c r="J95" s="37">
        <v>45</v>
      </c>
      <c r="K95" s="37">
        <v>45</v>
      </c>
      <c r="L95" s="37">
        <v>45</v>
      </c>
      <c r="M95" s="37">
        <v>45</v>
      </c>
      <c r="N95" s="37">
        <v>45</v>
      </c>
      <c r="O95" s="37">
        <v>45</v>
      </c>
      <c r="P95" s="37">
        <v>45</v>
      </c>
      <c r="Q95" s="37">
        <v>45</v>
      </c>
      <c r="R95" s="37">
        <v>45</v>
      </c>
      <c r="S95" s="37">
        <v>45</v>
      </c>
      <c r="T95" s="37">
        <v>45</v>
      </c>
      <c r="U95" s="37">
        <v>45</v>
      </c>
      <c r="V95" s="37">
        <v>45</v>
      </c>
      <c r="W95" s="37">
        <v>45</v>
      </c>
      <c r="X95" s="37">
        <v>45</v>
      </c>
      <c r="Y95" s="37">
        <v>45</v>
      </c>
      <c r="Z95" s="37">
        <v>45</v>
      </c>
      <c r="AA95" s="37">
        <v>45</v>
      </c>
      <c r="AB95" s="37">
        <v>45</v>
      </c>
      <c r="AC95" s="37">
        <v>45</v>
      </c>
      <c r="AD95" s="37">
        <v>45</v>
      </c>
      <c r="AE95" s="37">
        <v>45</v>
      </c>
      <c r="AF95" s="37">
        <v>45</v>
      </c>
      <c r="AG95" s="37">
        <v>45</v>
      </c>
      <c r="AH95" s="37">
        <v>45</v>
      </c>
      <c r="AI95" s="37">
        <v>45</v>
      </c>
      <c r="AJ95" s="37">
        <v>45</v>
      </c>
    </row>
    <row r="96" spans="2:42" ht="18.75" x14ac:dyDescent="0.3">
      <c r="C96" s="181" t="s">
        <v>103</v>
      </c>
      <c r="D96" s="181"/>
      <c r="E96" s="36"/>
      <c r="F96" s="37">
        <f>SUM(F86,F87,F88,F89,F91)</f>
        <v>58</v>
      </c>
      <c r="G96" s="37">
        <f t="shared" ref="G96:AI96" si="33">SUM(G86,G87,G88,G89,G91)</f>
        <v>55</v>
      </c>
      <c r="H96" s="37">
        <f t="shared" si="33"/>
        <v>54</v>
      </c>
      <c r="I96" s="37">
        <f t="shared" si="33"/>
        <v>55</v>
      </c>
      <c r="J96" s="37">
        <f t="shared" si="33"/>
        <v>52</v>
      </c>
      <c r="K96" s="37">
        <f t="shared" si="33"/>
        <v>51</v>
      </c>
      <c r="L96" s="37">
        <f t="shared" si="33"/>
        <v>52</v>
      </c>
      <c r="M96" s="37">
        <f t="shared" si="33"/>
        <v>54</v>
      </c>
      <c r="N96" s="37">
        <f t="shared" si="33"/>
        <v>55</v>
      </c>
      <c r="O96" s="37">
        <f t="shared" si="33"/>
        <v>56</v>
      </c>
      <c r="P96" s="37">
        <f t="shared" si="33"/>
        <v>56</v>
      </c>
      <c r="Q96" s="37">
        <f t="shared" si="33"/>
        <v>54</v>
      </c>
      <c r="R96" s="37">
        <f t="shared" si="33"/>
        <v>56</v>
      </c>
      <c r="S96" s="37">
        <f t="shared" si="33"/>
        <v>56</v>
      </c>
      <c r="T96" s="37">
        <f t="shared" si="33"/>
        <v>58</v>
      </c>
      <c r="U96" s="37">
        <f t="shared" si="33"/>
        <v>57</v>
      </c>
      <c r="V96" s="37">
        <f t="shared" si="33"/>
        <v>57</v>
      </c>
      <c r="W96" s="37">
        <f t="shared" si="33"/>
        <v>58</v>
      </c>
      <c r="X96" s="37">
        <f t="shared" si="33"/>
        <v>57</v>
      </c>
      <c r="Y96" s="37">
        <f t="shared" si="33"/>
        <v>57</v>
      </c>
      <c r="Z96" s="37">
        <f t="shared" si="33"/>
        <v>55</v>
      </c>
      <c r="AA96" s="37">
        <f t="shared" si="33"/>
        <v>54</v>
      </c>
      <c r="AB96" s="37">
        <f t="shared" si="33"/>
        <v>56</v>
      </c>
      <c r="AC96" s="37">
        <f t="shared" si="33"/>
        <v>56</v>
      </c>
      <c r="AD96" s="37">
        <f t="shared" si="33"/>
        <v>56</v>
      </c>
      <c r="AE96" s="37">
        <f t="shared" si="33"/>
        <v>58</v>
      </c>
      <c r="AF96" s="37">
        <f t="shared" si="33"/>
        <v>58</v>
      </c>
      <c r="AG96" s="37">
        <f t="shared" si="33"/>
        <v>58</v>
      </c>
      <c r="AH96" s="37">
        <f t="shared" si="33"/>
        <v>58</v>
      </c>
      <c r="AI96" s="37">
        <f t="shared" si="33"/>
        <v>57</v>
      </c>
      <c r="AJ96" s="37">
        <v>35</v>
      </c>
    </row>
    <row r="97" spans="6:11" ht="16.5" thickBot="1" x14ac:dyDescent="0.3"/>
    <row r="98" spans="6:11" ht="16.5" thickBot="1" x14ac:dyDescent="0.3">
      <c r="F98" s="164" t="s">
        <v>232</v>
      </c>
      <c r="G98" s="165"/>
      <c r="H98" s="165"/>
      <c r="I98" s="165"/>
      <c r="J98" s="165"/>
      <c r="K98" s="166"/>
    </row>
    <row r="99" spans="6:11" x14ac:dyDescent="0.25">
      <c r="F99" s="87" t="s">
        <v>142</v>
      </c>
      <c r="G99" s="167" t="s">
        <v>228</v>
      </c>
      <c r="H99" s="168"/>
      <c r="I99" s="93" t="s">
        <v>229</v>
      </c>
      <c r="J99" s="187" t="s">
        <v>240</v>
      </c>
      <c r="K99" s="188"/>
    </row>
    <row r="100" spans="6:11" x14ac:dyDescent="0.25">
      <c r="F100" s="88" t="s">
        <v>119</v>
      </c>
      <c r="G100" s="169" t="s">
        <v>229</v>
      </c>
      <c r="H100" s="170"/>
      <c r="I100" s="93" t="s">
        <v>239</v>
      </c>
      <c r="J100" s="171" t="s">
        <v>241</v>
      </c>
      <c r="K100" s="172"/>
    </row>
    <row r="101" spans="6:11" x14ac:dyDescent="0.25">
      <c r="F101" s="89" t="s">
        <v>226</v>
      </c>
      <c r="G101" s="173" t="s">
        <v>230</v>
      </c>
      <c r="H101" s="174"/>
      <c r="I101" s="94" t="s">
        <v>235</v>
      </c>
      <c r="J101" s="175" t="s">
        <v>242</v>
      </c>
      <c r="K101" s="176"/>
    </row>
    <row r="102" spans="6:11" x14ac:dyDescent="0.25">
      <c r="F102" s="90" t="s">
        <v>227</v>
      </c>
      <c r="G102" s="152" t="s">
        <v>231</v>
      </c>
      <c r="H102" s="153"/>
      <c r="I102" s="95" t="s">
        <v>246</v>
      </c>
      <c r="J102" s="154" t="s">
        <v>243</v>
      </c>
      <c r="K102" s="155"/>
    </row>
    <row r="103" spans="6:11" x14ac:dyDescent="0.25">
      <c r="F103" s="91" t="s">
        <v>144</v>
      </c>
      <c r="G103" s="156" t="s">
        <v>234</v>
      </c>
      <c r="H103" s="157"/>
      <c r="I103" s="50" t="s">
        <v>247</v>
      </c>
      <c r="J103" s="158" t="s">
        <v>244</v>
      </c>
      <c r="K103" s="159"/>
    </row>
    <row r="104" spans="6:11" x14ac:dyDescent="0.25">
      <c r="F104" s="92"/>
      <c r="G104" s="160" t="s">
        <v>233</v>
      </c>
      <c r="H104" s="161"/>
      <c r="I104" s="96" t="s">
        <v>248</v>
      </c>
      <c r="J104" s="162" t="s">
        <v>245</v>
      </c>
      <c r="K104" s="163"/>
    </row>
    <row r="105" spans="6:11" ht="16.5" thickBot="1" x14ac:dyDescent="0.3">
      <c r="F105" s="100" t="s">
        <v>251</v>
      </c>
      <c r="G105" s="184" t="s">
        <v>252</v>
      </c>
      <c r="H105" s="185"/>
      <c r="I105" s="101" t="s">
        <v>249</v>
      </c>
      <c r="J105" s="184" t="s">
        <v>250</v>
      </c>
      <c r="K105" s="186"/>
    </row>
  </sheetData>
  <autoFilter ref="F4:AJ92" xr:uid="{10A87D31-A428-49C7-B3CE-66B468A7BADA}"/>
  <mergeCells count="112">
    <mergeCell ref="G105:H105"/>
    <mergeCell ref="J105:K105"/>
    <mergeCell ref="J99:K99"/>
    <mergeCell ref="C80:D80"/>
    <mergeCell ref="C81:D81"/>
    <mergeCell ref="C82:D82"/>
    <mergeCell ref="C84:D84"/>
    <mergeCell ref="C77:D77"/>
    <mergeCell ref="C78:D78"/>
    <mergeCell ref="C79:D79"/>
    <mergeCell ref="C66:D66"/>
    <mergeCell ref="C67:D67"/>
    <mergeCell ref="C74:D74"/>
    <mergeCell ref="C75:D75"/>
    <mergeCell ref="C76:D76"/>
    <mergeCell ref="C68:D68"/>
    <mergeCell ref="C69:D69"/>
    <mergeCell ref="C70:D70"/>
    <mergeCell ref="C71:D71"/>
    <mergeCell ref="C72:D72"/>
    <mergeCell ref="C73:D73"/>
    <mergeCell ref="C65:D65"/>
    <mergeCell ref="G102:H102"/>
    <mergeCell ref="J102:K102"/>
    <mergeCell ref="G103:H103"/>
    <mergeCell ref="J103:K103"/>
    <mergeCell ref="G104:H104"/>
    <mergeCell ref="J104:K104"/>
    <mergeCell ref="F98:K98"/>
    <mergeCell ref="G99:H99"/>
    <mergeCell ref="G100:H100"/>
    <mergeCell ref="J100:K100"/>
    <mergeCell ref="G101:H101"/>
    <mergeCell ref="J101:K101"/>
    <mergeCell ref="C91:D91"/>
    <mergeCell ref="C92:D92"/>
    <mergeCell ref="F93:AJ93"/>
    <mergeCell ref="C94:D94"/>
    <mergeCell ref="C95:D95"/>
    <mergeCell ref="C96:D96"/>
    <mergeCell ref="C86:D86"/>
    <mergeCell ref="C87:D87"/>
    <mergeCell ref="C88:D88"/>
    <mergeCell ref="C89:D89"/>
    <mergeCell ref="C90:D90"/>
    <mergeCell ref="C59:D59"/>
    <mergeCell ref="C60:D60"/>
    <mergeCell ref="C61:D61"/>
    <mergeCell ref="C62:D62"/>
    <mergeCell ref="C63:D63"/>
    <mergeCell ref="C64:D64"/>
    <mergeCell ref="C53:D53"/>
    <mergeCell ref="C54:D54"/>
    <mergeCell ref="C55:D55"/>
    <mergeCell ref="C56:D56"/>
    <mergeCell ref="C57:D57"/>
    <mergeCell ref="C58:D58"/>
    <mergeCell ref="C47:D47"/>
    <mergeCell ref="C48:D48"/>
    <mergeCell ref="C49:D49"/>
    <mergeCell ref="C50:D50"/>
    <mergeCell ref="C51:D51"/>
    <mergeCell ref="C52:D52"/>
    <mergeCell ref="C41:D41"/>
    <mergeCell ref="C42:D42"/>
    <mergeCell ref="C43:D43"/>
    <mergeCell ref="C44:D44"/>
    <mergeCell ref="C45:D45"/>
    <mergeCell ref="C46:D46"/>
    <mergeCell ref="C38:D38"/>
    <mergeCell ref="C39:D39"/>
    <mergeCell ref="C40:D40"/>
    <mergeCell ref="B3:D4"/>
    <mergeCell ref="C30:D30"/>
    <mergeCell ref="C31:D31"/>
    <mergeCell ref="C32:D32"/>
    <mergeCell ref="C33:D33"/>
    <mergeCell ref="C34:D34"/>
    <mergeCell ref="C15:D15"/>
    <mergeCell ref="C9:D9"/>
    <mergeCell ref="C10:D10"/>
    <mergeCell ref="C11:D11"/>
    <mergeCell ref="C12:D12"/>
    <mergeCell ref="C13:D13"/>
    <mergeCell ref="C14:D14"/>
    <mergeCell ref="C28:D28"/>
    <mergeCell ref="C29:D29"/>
    <mergeCell ref="C22:D22"/>
    <mergeCell ref="C23:D23"/>
    <mergeCell ref="C24:D24"/>
    <mergeCell ref="C25:D25"/>
    <mergeCell ref="C26:D26"/>
    <mergeCell ref="C27:D27"/>
    <mergeCell ref="F2:AJ2"/>
    <mergeCell ref="AL2:AL4"/>
    <mergeCell ref="AM2:AM4"/>
    <mergeCell ref="AN2:AN4"/>
    <mergeCell ref="AO2:AO4"/>
    <mergeCell ref="AP2:AP4"/>
    <mergeCell ref="C35:D35"/>
    <mergeCell ref="C36:D36"/>
    <mergeCell ref="C37:D37"/>
    <mergeCell ref="C16:D16"/>
    <mergeCell ref="C17:D17"/>
    <mergeCell ref="C18:D18"/>
    <mergeCell ref="C19:D19"/>
    <mergeCell ref="C20:D20"/>
    <mergeCell ref="C21:D21"/>
    <mergeCell ref="C5:D5"/>
    <mergeCell ref="C6:D6"/>
    <mergeCell ref="C7:D7"/>
    <mergeCell ref="C8:D8"/>
  </mergeCells>
  <phoneticPr fontId="14" type="noConversion"/>
  <conditionalFormatting sqref="AJ5 AJ7:AJ8">
    <cfRule type="containsText" dxfId="198" priority="58" operator="containsText" text="TR">
      <formula>NOT(ISERROR(SEARCH("TR",AJ5)))</formula>
    </cfRule>
    <cfRule type="containsText" dxfId="197" priority="59" operator="containsText" text="MN06">
      <formula>NOT(ISERROR(SEARCH("MN06",AJ5)))</formula>
    </cfRule>
    <cfRule type="containsText" dxfId="196" priority="60" operator="containsText" text="AN13">
      <formula>NOT(ISERROR(SEARCH("AN13",AJ5)))</formula>
    </cfRule>
    <cfRule type="containsText" dxfId="195" priority="61" operator="containsText" text="OFF">
      <formula>NOT(ISERROR(SEARCH("OFF",AJ5)))</formula>
    </cfRule>
    <cfRule type="containsText" dxfId="194" priority="62" operator="containsText" text="ME07">
      <formula>NOT(ISERROR(SEARCH("ME07",AJ5)))</formula>
    </cfRule>
  </conditionalFormatting>
  <conditionalFormatting sqref="F30:AJ65">
    <cfRule type="containsText" dxfId="56" priority="48" operator="containsText" text="MN12">
      <formula>NOT(ISERROR(SEARCH("MN12",F30)))</formula>
    </cfRule>
    <cfRule type="containsText" dxfId="55" priority="49" operator="containsText" text="STNN21">
      <formula>NOT(ISERROR(SEARCH("STNN21",F30)))</formula>
    </cfRule>
    <cfRule type="containsText" dxfId="54" priority="50" operator="containsText" text="STAN13">
      <formula>NOT(ISERROR(SEARCH("STAN13",F30)))</formula>
    </cfRule>
    <cfRule type="containsText" dxfId="53" priority="51" operator="containsText" text="STMN06">
      <formula>NOT(ISERROR(SEARCH("STMN06",F30)))</formula>
    </cfRule>
    <cfRule type="containsText" dxfId="52" priority="52" operator="containsText" text="LV">
      <formula>NOT(ISERROR(SEARCH("LV",F30)))</formula>
    </cfRule>
    <cfRule type="containsText" dxfId="51" priority="53" operator="containsText" text="TR">
      <formula>NOT(ISERROR(SEARCH("TR",F30)))</formula>
    </cfRule>
    <cfRule type="containsText" dxfId="50" priority="54" operator="containsText" text="NN21">
      <formula>NOT(ISERROR(SEARCH("NN21",F30)))</formula>
    </cfRule>
    <cfRule type="containsText" dxfId="49" priority="55" operator="containsText" text="AN13">
      <formula>NOT(ISERROR(SEARCH("AN13",F30)))</formula>
    </cfRule>
    <cfRule type="containsText" dxfId="48" priority="56" operator="containsText" text="MN06">
      <formula>NOT(ISERROR(SEARCH("MN06",F30)))</formula>
    </cfRule>
    <cfRule type="containsText" dxfId="47" priority="57" operator="containsText" text="OFF">
      <formula>NOT(ISERROR(SEARCH("OFF",F30)))</formula>
    </cfRule>
  </conditionalFormatting>
  <conditionalFormatting sqref="F15:AJ29">
    <cfRule type="containsText" dxfId="36" priority="26" operator="containsText" text="STMN06">
      <formula>NOT(ISERROR(SEARCH("STMN06",F15)))</formula>
    </cfRule>
    <cfRule type="containsText" dxfId="35" priority="27" operator="containsText" text="STAN13">
      <formula>NOT(ISERROR(SEARCH("STAN13",F15)))</formula>
    </cfRule>
    <cfRule type="containsText" dxfId="34" priority="28" operator="containsText" text="TR">
      <formula>NOT(ISERROR(SEARCH("TR",F15)))</formula>
    </cfRule>
    <cfRule type="containsText" dxfId="33" priority="29" operator="containsText" text="LV">
      <formula>NOT(ISERROR(SEARCH("LV",F15)))</formula>
    </cfRule>
    <cfRule type="containsText" dxfId="32" priority="30" operator="containsText" text="AN13">
      <formula>NOT(ISERROR(SEARCH("AN13",F15)))</formula>
    </cfRule>
    <cfRule type="containsText" dxfId="31" priority="31" operator="containsText" text="AN13">
      <formula>NOT(ISERROR(SEARCH("AN13",F15)))</formula>
    </cfRule>
    <cfRule type="containsText" dxfId="30" priority="32" operator="containsText" text="AN13">
      <formula>NOT(ISERROR(SEARCH("AN13",F15)))</formula>
    </cfRule>
    <cfRule type="containsText" dxfId="29" priority="33" operator="containsText" text="MN06">
      <formula>NOT(ISERROR(SEARCH("MN06",F15)))</formula>
    </cfRule>
    <cfRule type="containsText" dxfId="28" priority="34" operator="containsText" text="STAN13">
      <formula>NOT(ISERROR(SEARCH("STAN13",F15)))</formula>
    </cfRule>
    <cfRule type="containsText" dxfId="27" priority="35" operator="containsText" text="STNN21">
      <formula>NOT(ISERROR(SEARCH("STNN21",F15)))</formula>
    </cfRule>
    <cfRule type="containsText" dxfId="26" priority="36" operator="containsText" text="NN21">
      <formula>NOT(ISERROR(SEARCH("NN21",F15)))</formula>
    </cfRule>
    <cfRule type="containsText" dxfId="25" priority="37" operator="containsText" text="OFF">
      <formula>NOT(ISERROR(SEARCH("OFF",F15)))</formula>
    </cfRule>
  </conditionalFormatting>
  <conditionalFormatting sqref="F66:AJ84">
    <cfRule type="containsText" dxfId="24" priority="16" operator="containsText" text="STMN06">
      <formula>NOT(ISERROR(SEARCH("STMN06",F66)))</formula>
    </cfRule>
    <cfRule type="containsText" dxfId="23" priority="17" operator="containsText" text="STAN13">
      <formula>NOT(ISERROR(SEARCH("STAN13",F66)))</formula>
    </cfRule>
    <cfRule type="containsText" dxfId="22" priority="18" operator="containsText" text="STNN21">
      <formula>NOT(ISERROR(SEARCH("STNN21",F66)))</formula>
    </cfRule>
    <cfRule type="containsText" dxfId="21" priority="19" operator="containsText" text="LV">
      <formula>NOT(ISERROR(SEARCH("LV",F66)))</formula>
    </cfRule>
    <cfRule type="containsText" dxfId="20" priority="20" operator="containsText" text="TR">
      <formula>NOT(ISERROR(SEARCH("TR",F66)))</formula>
    </cfRule>
    <cfRule type="containsText" dxfId="19" priority="21" operator="containsText" text="NN21">
      <formula>NOT(ISERROR(SEARCH("NN21",F66)))</formula>
    </cfRule>
    <cfRule type="containsText" dxfId="18" priority="22" operator="containsText" text="NN13">
      <formula>NOT(ISERROR(SEARCH("NN13",F66)))</formula>
    </cfRule>
    <cfRule type="containsText" dxfId="17" priority="23" operator="containsText" text="AN13">
      <formula>NOT(ISERROR(SEARCH("AN13",F66)))</formula>
    </cfRule>
    <cfRule type="containsText" dxfId="16" priority="24" operator="containsText" text="MN06">
      <formula>NOT(ISERROR(SEARCH("MN06",F66)))</formula>
    </cfRule>
    <cfRule type="containsText" dxfId="15" priority="25" operator="containsText" text="OFF">
      <formula>NOT(ISERROR(SEARCH("OFF",F66)))</formula>
    </cfRule>
  </conditionalFormatting>
  <conditionalFormatting sqref="F9:AJ14">
    <cfRule type="containsText" dxfId="14" priority="6" operator="containsText" text="LV">
      <formula>NOT(ISERROR(SEARCH("LV",F9)))</formula>
    </cfRule>
    <cfRule type="containsText" dxfId="13" priority="7" operator="containsText" text="STNN21">
      <formula>NOT(ISERROR(SEARCH("STNN21",F9)))</formula>
    </cfRule>
    <cfRule type="containsText" dxfId="12" priority="8" operator="containsText" text="STAN13">
      <formula>NOT(ISERROR(SEARCH("STAN13",F9)))</formula>
    </cfRule>
    <cfRule type="containsText" dxfId="11" priority="9" operator="containsText" text="STMN06">
      <formula>NOT(ISERROR(SEARCH("STMN06",F9)))</formula>
    </cfRule>
    <cfRule type="containsText" dxfId="10" priority="10" operator="containsText" text="MN12">
      <formula>NOT(ISERROR(SEARCH("MN12",F9)))</formula>
    </cfRule>
    <cfRule type="containsText" dxfId="9" priority="11" operator="containsText" text="TR">
      <formula>NOT(ISERROR(SEARCH("TR",F9)))</formula>
    </cfRule>
    <cfRule type="containsText" dxfId="8" priority="12" operator="containsText" text="OFF">
      <formula>NOT(ISERROR(SEARCH("OFF",F9)))</formula>
    </cfRule>
    <cfRule type="containsText" dxfId="7" priority="13" operator="containsText" text="NN21">
      <formula>NOT(ISERROR(SEARCH("NN21",F9)))</formula>
    </cfRule>
    <cfRule type="containsText" dxfId="6" priority="14" operator="containsText" text="AN13">
      <formula>NOT(ISERROR(SEARCH("AN13",F9)))</formula>
    </cfRule>
    <cfRule type="containsText" dxfId="5" priority="15" operator="containsText" text="MN06">
      <formula>NOT(ISERROR(SEARCH("MN06",F9)))</formula>
    </cfRule>
  </conditionalFormatting>
  <conditionalFormatting sqref="F7:AI8 F6:AJ6 F5:AI5">
    <cfRule type="containsText" dxfId="4" priority="1" operator="containsText" text="TR">
      <formula>NOT(ISERROR(SEARCH("TR",F5)))</formula>
    </cfRule>
    <cfRule type="containsText" dxfId="3" priority="2" operator="containsText" text="MN06">
      <formula>NOT(ISERROR(SEARCH("MN06",F5)))</formula>
    </cfRule>
    <cfRule type="containsText" dxfId="2" priority="3" operator="containsText" text="AN13">
      <formula>NOT(ISERROR(SEARCH("AN13",F5)))</formula>
    </cfRule>
    <cfRule type="containsText" dxfId="1" priority="4" operator="containsText" text="OFF">
      <formula>NOT(ISERROR(SEARCH("OFF",F5)))</formula>
    </cfRule>
    <cfRule type="containsText" dxfId="0" priority="5" operator="containsText" text="ME07">
      <formula>NOT(ISERROR(SEARCH("ME07",F5)))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5894-4B83-4B21-B11B-1816F3B6D377}">
  <dimension ref="B1:AP38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I14" sqref="I14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9" t="s">
        <v>261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.75" thickBot="1" x14ac:dyDescent="0.3">
      <c r="B3" s="148" t="s">
        <v>105</v>
      </c>
      <c r="C3" s="148"/>
      <c r="D3" s="148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3"/>
      <c r="AM3" s="143"/>
      <c r="AN3" s="143"/>
      <c r="AO3" s="143"/>
      <c r="AP3" s="143"/>
    </row>
    <row r="4" spans="2:42" ht="19.5" customHeight="1" thickBot="1" x14ac:dyDescent="0.3">
      <c r="B4" s="148"/>
      <c r="C4" s="148"/>
      <c r="D4" s="148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44"/>
      <c r="AM4" s="144"/>
      <c r="AN4" s="144"/>
      <c r="AO4" s="144"/>
      <c r="AP4" s="144"/>
    </row>
    <row r="5" spans="2:42" ht="18.75" x14ac:dyDescent="0.25">
      <c r="B5" s="37">
        <v>1</v>
      </c>
      <c r="C5" s="145" t="s">
        <v>187</v>
      </c>
      <c r="D5" s="145"/>
      <c r="F5" s="264" t="s">
        <v>258</v>
      </c>
      <c r="G5" s="264" t="s">
        <v>258</v>
      </c>
      <c r="H5" s="264" t="s">
        <v>258</v>
      </c>
      <c r="I5" s="264" t="s">
        <v>258</v>
      </c>
      <c r="J5" s="264" t="s">
        <v>258</v>
      </c>
      <c r="K5" s="264" t="s">
        <v>258</v>
      </c>
      <c r="L5" s="264" t="s">
        <v>258</v>
      </c>
      <c r="M5" s="264" t="s">
        <v>258</v>
      </c>
      <c r="N5" s="264" t="s">
        <v>257</v>
      </c>
      <c r="O5" s="264" t="s">
        <v>257</v>
      </c>
      <c r="P5" s="23" t="s">
        <v>237</v>
      </c>
      <c r="Q5" s="23" t="s">
        <v>237</v>
      </c>
      <c r="R5" s="23" t="s">
        <v>237</v>
      </c>
      <c r="S5" s="23" t="s">
        <v>237</v>
      </c>
      <c r="T5" s="23" t="s">
        <v>237</v>
      </c>
      <c r="U5" s="23" t="s">
        <v>257</v>
      </c>
      <c r="V5" s="23" t="s">
        <v>257</v>
      </c>
      <c r="W5" s="23" t="s">
        <v>237</v>
      </c>
      <c r="X5" s="23" t="s">
        <v>144</v>
      </c>
      <c r="Y5" s="23" t="s">
        <v>144</v>
      </c>
      <c r="Z5" s="23" t="s">
        <v>237</v>
      </c>
      <c r="AA5" s="23" t="s">
        <v>237</v>
      </c>
      <c r="AB5" s="23" t="s">
        <v>257</v>
      </c>
      <c r="AC5" s="23" t="s">
        <v>257</v>
      </c>
      <c r="AD5" s="23" t="s">
        <v>237</v>
      </c>
      <c r="AE5" s="23" t="s">
        <v>237</v>
      </c>
      <c r="AF5" s="23" t="s">
        <v>237</v>
      </c>
      <c r="AG5" s="23" t="s">
        <v>237</v>
      </c>
      <c r="AH5" s="23" t="s">
        <v>237</v>
      </c>
      <c r="AI5" s="23" t="s">
        <v>257</v>
      </c>
      <c r="AJ5" s="23" t="s">
        <v>257</v>
      </c>
      <c r="AL5" s="50">
        <f t="shared" ref="AL5:AL8" si="0">COUNTIF($F5:$AJ5,"ST*")</f>
        <v>0</v>
      </c>
      <c r="AM5" s="50">
        <f t="shared" ref="AM5:AM8" si="1">COUNTIF($F5:$AJ5,"M*")</f>
        <v>13</v>
      </c>
      <c r="AN5" s="50">
        <f t="shared" ref="AN5:AN8" si="2">COUNTIF($F5:$AJ5,"A*")</f>
        <v>0</v>
      </c>
      <c r="AO5" s="50">
        <f t="shared" ref="AO5:AO8" si="3">COUNTIF($F5:$AJ5,"N*")</f>
        <v>0</v>
      </c>
      <c r="AP5" s="50">
        <f t="shared" ref="AP5:AP8" si="4">COUNTIF($F5:$AJ5,"O*")</f>
        <v>8</v>
      </c>
    </row>
    <row r="6" spans="2:42" ht="18.75" x14ac:dyDescent="0.25">
      <c r="B6" s="37">
        <v>2</v>
      </c>
      <c r="C6" s="145" t="s">
        <v>190</v>
      </c>
      <c r="D6" s="145"/>
      <c r="F6" s="264" t="s">
        <v>258</v>
      </c>
      <c r="G6" s="51" t="s">
        <v>257</v>
      </c>
      <c r="H6" s="51" t="s">
        <v>257</v>
      </c>
      <c r="I6" s="264" t="s">
        <v>258</v>
      </c>
      <c r="J6" s="264" t="s">
        <v>258</v>
      </c>
      <c r="K6" s="51" t="s">
        <v>237</v>
      </c>
      <c r="L6" s="51" t="s">
        <v>237</v>
      </c>
      <c r="M6" s="51" t="s">
        <v>237</v>
      </c>
      <c r="N6" s="51" t="s">
        <v>257</v>
      </c>
      <c r="O6" s="51" t="s">
        <v>257</v>
      </c>
      <c r="P6" s="265" t="s">
        <v>258</v>
      </c>
      <c r="Q6" s="265" t="s">
        <v>258</v>
      </c>
      <c r="R6" s="265" t="s">
        <v>258</v>
      </c>
      <c r="S6" s="265" t="s">
        <v>258</v>
      </c>
      <c r="T6" s="265" t="s">
        <v>258</v>
      </c>
      <c r="U6" s="51" t="s">
        <v>257</v>
      </c>
      <c r="V6" s="51" t="s">
        <v>257</v>
      </c>
      <c r="W6" s="51" t="s">
        <v>237</v>
      </c>
      <c r="X6" s="51" t="s">
        <v>237</v>
      </c>
      <c r="Y6" s="51" t="s">
        <v>237</v>
      </c>
      <c r="Z6" s="51" t="s">
        <v>237</v>
      </c>
      <c r="AA6" s="51" t="s">
        <v>237</v>
      </c>
      <c r="AB6" s="51" t="s">
        <v>257</v>
      </c>
      <c r="AC6" s="51" t="s">
        <v>257</v>
      </c>
      <c r="AD6" s="51" t="s">
        <v>237</v>
      </c>
      <c r="AE6" s="51" t="s">
        <v>237</v>
      </c>
      <c r="AF6" s="51" t="s">
        <v>237</v>
      </c>
      <c r="AG6" s="51" t="s">
        <v>237</v>
      </c>
      <c r="AH6" s="51" t="s">
        <v>237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13</v>
      </c>
      <c r="AN6" s="50">
        <f t="shared" si="2"/>
        <v>0</v>
      </c>
      <c r="AO6" s="50">
        <f t="shared" si="3"/>
        <v>0</v>
      </c>
      <c r="AP6" s="50">
        <f t="shared" si="4"/>
        <v>10</v>
      </c>
    </row>
    <row r="7" spans="2:42" ht="18.75" x14ac:dyDescent="0.25">
      <c r="B7" s="37">
        <v>3</v>
      </c>
      <c r="C7" s="145" t="s">
        <v>188</v>
      </c>
      <c r="D7" s="145"/>
      <c r="F7" s="51" t="s">
        <v>229</v>
      </c>
      <c r="G7" s="51" t="s">
        <v>229</v>
      </c>
      <c r="H7" s="51" t="s">
        <v>229</v>
      </c>
      <c r="I7" s="51" t="s">
        <v>230</v>
      </c>
      <c r="J7" s="51" t="s">
        <v>230</v>
      </c>
      <c r="K7" s="51" t="s">
        <v>257</v>
      </c>
      <c r="L7" s="51" t="s">
        <v>257</v>
      </c>
      <c r="M7" s="51" t="s">
        <v>229</v>
      </c>
      <c r="N7" s="51" t="s">
        <v>229</v>
      </c>
      <c r="O7" s="51" t="s">
        <v>229</v>
      </c>
      <c r="P7" s="51" t="s">
        <v>230</v>
      </c>
      <c r="Q7" s="51" t="s">
        <v>230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229</v>
      </c>
      <c r="W7" s="51" t="s">
        <v>230</v>
      </c>
      <c r="X7" s="51" t="s">
        <v>230</v>
      </c>
      <c r="Y7" s="51" t="s">
        <v>257</v>
      </c>
      <c r="Z7" s="51" t="s">
        <v>257</v>
      </c>
      <c r="AA7" s="51" t="s">
        <v>229</v>
      </c>
      <c r="AB7" s="51" t="s">
        <v>229</v>
      </c>
      <c r="AC7" s="51" t="s">
        <v>229</v>
      </c>
      <c r="AD7" s="51" t="s">
        <v>230</v>
      </c>
      <c r="AE7" s="51" t="s">
        <v>144</v>
      </c>
      <c r="AF7" s="51" t="s">
        <v>257</v>
      </c>
      <c r="AG7" s="51" t="s">
        <v>257</v>
      </c>
      <c r="AH7" s="51" t="s">
        <v>229</v>
      </c>
      <c r="AI7" s="51" t="s">
        <v>229</v>
      </c>
      <c r="AJ7" s="51" t="s">
        <v>229</v>
      </c>
      <c r="AL7" s="50">
        <f t="shared" si="0"/>
        <v>0</v>
      </c>
      <c r="AM7" s="50">
        <f t="shared" si="1"/>
        <v>15</v>
      </c>
      <c r="AN7" s="50">
        <f t="shared" si="2"/>
        <v>7</v>
      </c>
      <c r="AO7" s="50">
        <f t="shared" si="3"/>
        <v>0</v>
      </c>
      <c r="AP7" s="50">
        <f t="shared" si="4"/>
        <v>8</v>
      </c>
    </row>
    <row r="8" spans="2:42" ht="18.75" x14ac:dyDescent="0.25">
      <c r="B8" s="37">
        <v>4</v>
      </c>
      <c r="C8" s="145" t="s">
        <v>189</v>
      </c>
      <c r="D8" s="145"/>
      <c r="F8" s="51" t="s">
        <v>230</v>
      </c>
      <c r="G8" s="51" t="s">
        <v>230</v>
      </c>
      <c r="H8" s="51" t="s">
        <v>230</v>
      </c>
      <c r="I8" s="51" t="s">
        <v>257</v>
      </c>
      <c r="J8" s="51" t="s">
        <v>257</v>
      </c>
      <c r="K8" s="51" t="s">
        <v>229</v>
      </c>
      <c r="L8" s="51" t="s">
        <v>229</v>
      </c>
      <c r="M8" s="51" t="s">
        <v>230</v>
      </c>
      <c r="N8" s="51" t="s">
        <v>230</v>
      </c>
      <c r="O8" s="51" t="s">
        <v>230</v>
      </c>
      <c r="P8" s="51" t="s">
        <v>257</v>
      </c>
      <c r="Q8" s="51" t="s">
        <v>257</v>
      </c>
      <c r="R8" s="51" t="s">
        <v>229</v>
      </c>
      <c r="S8" s="51" t="s">
        <v>229</v>
      </c>
      <c r="T8" s="51" t="s">
        <v>230</v>
      </c>
      <c r="U8" s="51" t="s">
        <v>230</v>
      </c>
      <c r="V8" s="51" t="s">
        <v>230</v>
      </c>
      <c r="W8" s="56" t="s">
        <v>257</v>
      </c>
      <c r="X8" s="56" t="s">
        <v>257</v>
      </c>
      <c r="Y8" s="51" t="s">
        <v>229</v>
      </c>
      <c r="Z8" s="51" t="s">
        <v>229</v>
      </c>
      <c r="AA8" s="51" t="s">
        <v>230</v>
      </c>
      <c r="AB8" s="51" t="s">
        <v>230</v>
      </c>
      <c r="AC8" s="51" t="s">
        <v>230</v>
      </c>
      <c r="AD8" s="51" t="s">
        <v>257</v>
      </c>
      <c r="AE8" s="51" t="s">
        <v>257</v>
      </c>
      <c r="AF8" s="51" t="s">
        <v>144</v>
      </c>
      <c r="AG8" s="51" t="s">
        <v>229</v>
      </c>
      <c r="AH8" s="51" t="s">
        <v>230</v>
      </c>
      <c r="AI8" s="51" t="s">
        <v>230</v>
      </c>
      <c r="AJ8" s="51" t="s">
        <v>230</v>
      </c>
      <c r="AL8" s="50">
        <f t="shared" si="0"/>
        <v>0</v>
      </c>
      <c r="AM8" s="50">
        <f t="shared" si="1"/>
        <v>7</v>
      </c>
      <c r="AN8" s="50">
        <f t="shared" si="2"/>
        <v>15</v>
      </c>
      <c r="AO8" s="50">
        <f t="shared" si="3"/>
        <v>0</v>
      </c>
      <c r="AP8" s="50">
        <f t="shared" si="4"/>
        <v>8</v>
      </c>
    </row>
    <row r="9" spans="2:42" x14ac:dyDescent="0.25">
      <c r="F9" s="20" t="s">
        <v>94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</row>
    <row r="10" spans="2:42" ht="18.75" x14ac:dyDescent="0.3">
      <c r="C10" s="181" t="s">
        <v>91</v>
      </c>
      <c r="D10" s="181"/>
      <c r="E10" s="36"/>
      <c r="F10" s="37">
        <f t="shared" ref="F10:AJ10" si="5">COUNTIF(F$5:F$8,"M*")</f>
        <v>1</v>
      </c>
      <c r="G10" s="37">
        <f t="shared" si="5"/>
        <v>1</v>
      </c>
      <c r="H10" s="37">
        <f t="shared" si="5"/>
        <v>1</v>
      </c>
      <c r="I10" s="37">
        <f t="shared" si="5"/>
        <v>0</v>
      </c>
      <c r="J10" s="37">
        <f t="shared" si="5"/>
        <v>0</v>
      </c>
      <c r="K10" s="37">
        <f t="shared" si="5"/>
        <v>2</v>
      </c>
      <c r="L10" s="37">
        <f t="shared" si="5"/>
        <v>2</v>
      </c>
      <c r="M10" s="37">
        <f t="shared" si="5"/>
        <v>2</v>
      </c>
      <c r="N10" s="37">
        <f t="shared" si="5"/>
        <v>1</v>
      </c>
      <c r="O10" s="37">
        <f t="shared" si="5"/>
        <v>1</v>
      </c>
      <c r="P10" s="37">
        <f t="shared" si="5"/>
        <v>1</v>
      </c>
      <c r="Q10" s="37">
        <f t="shared" si="5"/>
        <v>1</v>
      </c>
      <c r="R10" s="37">
        <f t="shared" si="5"/>
        <v>2</v>
      </c>
      <c r="S10" s="37">
        <f t="shared" si="5"/>
        <v>2</v>
      </c>
      <c r="T10" s="37">
        <f t="shared" si="5"/>
        <v>2</v>
      </c>
      <c r="U10" s="37">
        <f t="shared" si="5"/>
        <v>1</v>
      </c>
      <c r="V10" s="37">
        <f t="shared" si="5"/>
        <v>1</v>
      </c>
      <c r="W10" s="37">
        <f t="shared" si="5"/>
        <v>2</v>
      </c>
      <c r="X10" s="37">
        <f t="shared" si="5"/>
        <v>1</v>
      </c>
      <c r="Y10" s="37">
        <f t="shared" si="5"/>
        <v>2</v>
      </c>
      <c r="Z10" s="37">
        <f t="shared" si="5"/>
        <v>3</v>
      </c>
      <c r="AA10" s="37">
        <f t="shared" si="5"/>
        <v>3</v>
      </c>
      <c r="AB10" s="37">
        <f t="shared" si="5"/>
        <v>1</v>
      </c>
      <c r="AC10" s="37">
        <f t="shared" si="5"/>
        <v>1</v>
      </c>
      <c r="AD10" s="37">
        <f t="shared" si="5"/>
        <v>2</v>
      </c>
      <c r="AE10" s="37">
        <f t="shared" si="5"/>
        <v>2</v>
      </c>
      <c r="AF10" s="37">
        <f t="shared" si="5"/>
        <v>2</v>
      </c>
      <c r="AG10" s="37">
        <f t="shared" si="5"/>
        <v>3</v>
      </c>
      <c r="AH10" s="37">
        <f t="shared" si="5"/>
        <v>3</v>
      </c>
      <c r="AI10" s="37">
        <f t="shared" si="5"/>
        <v>1</v>
      </c>
      <c r="AJ10" s="37">
        <f t="shared" si="5"/>
        <v>1</v>
      </c>
    </row>
    <row r="11" spans="2:42" ht="18.75" x14ac:dyDescent="0.3">
      <c r="C11" s="181" t="s">
        <v>92</v>
      </c>
      <c r="D11" s="181"/>
      <c r="E11" s="36"/>
      <c r="F11" s="37">
        <f t="shared" ref="F11:AJ11" si="6">COUNTIF(F$5:F$8,"A*")</f>
        <v>1</v>
      </c>
      <c r="G11" s="37">
        <f t="shared" si="6"/>
        <v>1</v>
      </c>
      <c r="H11" s="37">
        <f t="shared" si="6"/>
        <v>1</v>
      </c>
      <c r="I11" s="37">
        <f t="shared" si="6"/>
        <v>1</v>
      </c>
      <c r="J11" s="37">
        <f t="shared" si="6"/>
        <v>1</v>
      </c>
      <c r="K11" s="37">
        <f t="shared" si="6"/>
        <v>0</v>
      </c>
      <c r="L11" s="37">
        <f t="shared" si="6"/>
        <v>0</v>
      </c>
      <c r="M11" s="37">
        <f t="shared" si="6"/>
        <v>1</v>
      </c>
      <c r="N11" s="37">
        <f t="shared" si="6"/>
        <v>1</v>
      </c>
      <c r="O11" s="37">
        <f t="shared" si="6"/>
        <v>1</v>
      </c>
      <c r="P11" s="37">
        <f t="shared" si="6"/>
        <v>1</v>
      </c>
      <c r="Q11" s="37">
        <f t="shared" si="6"/>
        <v>1</v>
      </c>
      <c r="R11" s="37">
        <f t="shared" si="6"/>
        <v>0</v>
      </c>
      <c r="S11" s="37">
        <f t="shared" si="6"/>
        <v>0</v>
      </c>
      <c r="T11" s="37">
        <f t="shared" si="6"/>
        <v>1</v>
      </c>
      <c r="U11" s="37">
        <f t="shared" si="6"/>
        <v>1</v>
      </c>
      <c r="V11" s="37">
        <f t="shared" si="6"/>
        <v>1</v>
      </c>
      <c r="W11" s="37">
        <f t="shared" si="6"/>
        <v>1</v>
      </c>
      <c r="X11" s="37">
        <f t="shared" si="6"/>
        <v>1</v>
      </c>
      <c r="Y11" s="37">
        <f t="shared" si="6"/>
        <v>0</v>
      </c>
      <c r="Z11" s="37">
        <f t="shared" si="6"/>
        <v>0</v>
      </c>
      <c r="AA11" s="37">
        <f t="shared" si="6"/>
        <v>1</v>
      </c>
      <c r="AB11" s="37">
        <f t="shared" si="6"/>
        <v>1</v>
      </c>
      <c r="AC11" s="37">
        <f t="shared" si="6"/>
        <v>1</v>
      </c>
      <c r="AD11" s="37">
        <f t="shared" si="6"/>
        <v>1</v>
      </c>
      <c r="AE11" s="37">
        <f t="shared" si="6"/>
        <v>0</v>
      </c>
      <c r="AF11" s="37">
        <f t="shared" si="6"/>
        <v>0</v>
      </c>
      <c r="AG11" s="37">
        <f t="shared" si="6"/>
        <v>0</v>
      </c>
      <c r="AH11" s="37">
        <f t="shared" si="6"/>
        <v>1</v>
      </c>
      <c r="AI11" s="37">
        <f t="shared" si="6"/>
        <v>1</v>
      </c>
      <c r="AJ11" s="37">
        <f t="shared" si="6"/>
        <v>1</v>
      </c>
    </row>
    <row r="12" spans="2:42" ht="18.75" x14ac:dyDescent="0.3">
      <c r="C12" s="181" t="s">
        <v>72</v>
      </c>
      <c r="D12" s="181"/>
      <c r="E12" s="36"/>
      <c r="F12" s="37">
        <f t="shared" ref="F12:AJ12" si="7">COUNTIF(F$5:F$8,"N*")</f>
        <v>0</v>
      </c>
      <c r="G12" s="37">
        <f t="shared" si="7"/>
        <v>0</v>
      </c>
      <c r="H12" s="37">
        <f t="shared" si="7"/>
        <v>0</v>
      </c>
      <c r="I12" s="37">
        <f t="shared" si="7"/>
        <v>0</v>
      </c>
      <c r="J12" s="37">
        <f t="shared" si="7"/>
        <v>0</v>
      </c>
      <c r="K12" s="37">
        <f t="shared" si="7"/>
        <v>0</v>
      </c>
      <c r="L12" s="37">
        <f t="shared" si="7"/>
        <v>0</v>
      </c>
      <c r="M12" s="37">
        <f t="shared" si="7"/>
        <v>0</v>
      </c>
      <c r="N12" s="37">
        <f t="shared" si="7"/>
        <v>0</v>
      </c>
      <c r="O12" s="37">
        <f t="shared" si="7"/>
        <v>0</v>
      </c>
      <c r="P12" s="37">
        <f t="shared" si="7"/>
        <v>0</v>
      </c>
      <c r="Q12" s="37">
        <f t="shared" si="7"/>
        <v>0</v>
      </c>
      <c r="R12" s="37">
        <f t="shared" si="7"/>
        <v>0</v>
      </c>
      <c r="S12" s="37">
        <f t="shared" si="7"/>
        <v>0</v>
      </c>
      <c r="T12" s="37">
        <f t="shared" si="7"/>
        <v>0</v>
      </c>
      <c r="U12" s="37">
        <f t="shared" si="7"/>
        <v>0</v>
      </c>
      <c r="V12" s="37">
        <f t="shared" si="7"/>
        <v>0</v>
      </c>
      <c r="W12" s="37">
        <f t="shared" si="7"/>
        <v>0</v>
      </c>
      <c r="X12" s="37">
        <f t="shared" si="7"/>
        <v>0</v>
      </c>
      <c r="Y12" s="37">
        <f t="shared" si="7"/>
        <v>0</v>
      </c>
      <c r="Z12" s="37">
        <f t="shared" si="7"/>
        <v>0</v>
      </c>
      <c r="AA12" s="37">
        <f t="shared" si="7"/>
        <v>0</v>
      </c>
      <c r="AB12" s="37">
        <f t="shared" si="7"/>
        <v>0</v>
      </c>
      <c r="AC12" s="37">
        <f t="shared" si="7"/>
        <v>0</v>
      </c>
      <c r="AD12" s="37">
        <f t="shared" si="7"/>
        <v>0</v>
      </c>
      <c r="AE12" s="37">
        <f t="shared" si="7"/>
        <v>0</v>
      </c>
      <c r="AF12" s="37">
        <f t="shared" si="7"/>
        <v>0</v>
      </c>
      <c r="AG12" s="37">
        <f t="shared" si="7"/>
        <v>0</v>
      </c>
      <c r="AH12" s="37">
        <f t="shared" si="7"/>
        <v>0</v>
      </c>
      <c r="AI12" s="37">
        <f t="shared" si="7"/>
        <v>0</v>
      </c>
      <c r="AJ12" s="37">
        <f t="shared" si="7"/>
        <v>0</v>
      </c>
    </row>
    <row r="13" spans="2:42" ht="18.75" x14ac:dyDescent="0.3">
      <c r="C13" s="181" t="s">
        <v>73</v>
      </c>
      <c r="D13" s="181"/>
      <c r="E13" s="36"/>
      <c r="F13" s="37">
        <f t="shared" ref="F13:AJ13" si="8">COUNTIF(F$5:F$8,"O*")</f>
        <v>0</v>
      </c>
      <c r="G13" s="37">
        <f t="shared" si="8"/>
        <v>1</v>
      </c>
      <c r="H13" s="37">
        <f t="shared" si="8"/>
        <v>1</v>
      </c>
      <c r="I13" s="37">
        <f t="shared" si="8"/>
        <v>1</v>
      </c>
      <c r="J13" s="37">
        <f t="shared" si="8"/>
        <v>1</v>
      </c>
      <c r="K13" s="37">
        <f t="shared" si="8"/>
        <v>1</v>
      </c>
      <c r="L13" s="37">
        <f t="shared" si="8"/>
        <v>1</v>
      </c>
      <c r="M13" s="37">
        <f t="shared" si="8"/>
        <v>0</v>
      </c>
      <c r="N13" s="37">
        <f t="shared" si="8"/>
        <v>2</v>
      </c>
      <c r="O13" s="37">
        <f t="shared" si="8"/>
        <v>2</v>
      </c>
      <c r="P13" s="37">
        <f t="shared" si="8"/>
        <v>1</v>
      </c>
      <c r="Q13" s="37">
        <f t="shared" si="8"/>
        <v>1</v>
      </c>
      <c r="R13" s="37">
        <f t="shared" si="8"/>
        <v>1</v>
      </c>
      <c r="S13" s="37">
        <f t="shared" si="8"/>
        <v>1</v>
      </c>
      <c r="T13" s="37">
        <f t="shared" si="8"/>
        <v>0</v>
      </c>
      <c r="U13" s="37">
        <f t="shared" si="8"/>
        <v>2</v>
      </c>
      <c r="V13" s="37">
        <f t="shared" si="8"/>
        <v>2</v>
      </c>
      <c r="W13" s="37">
        <f t="shared" si="8"/>
        <v>1</v>
      </c>
      <c r="X13" s="37">
        <f t="shared" si="8"/>
        <v>1</v>
      </c>
      <c r="Y13" s="37">
        <f t="shared" si="8"/>
        <v>1</v>
      </c>
      <c r="Z13" s="37">
        <f t="shared" si="8"/>
        <v>1</v>
      </c>
      <c r="AA13" s="37">
        <f t="shared" si="8"/>
        <v>0</v>
      </c>
      <c r="AB13" s="37">
        <f t="shared" si="8"/>
        <v>2</v>
      </c>
      <c r="AC13" s="37">
        <f t="shared" si="8"/>
        <v>2</v>
      </c>
      <c r="AD13" s="37">
        <f t="shared" si="8"/>
        <v>1</v>
      </c>
      <c r="AE13" s="37">
        <f t="shared" si="8"/>
        <v>1</v>
      </c>
      <c r="AF13" s="37">
        <f t="shared" si="8"/>
        <v>1</v>
      </c>
      <c r="AG13" s="37">
        <f t="shared" si="8"/>
        <v>1</v>
      </c>
      <c r="AH13" s="37">
        <f t="shared" si="8"/>
        <v>0</v>
      </c>
      <c r="AI13" s="37">
        <f t="shared" si="8"/>
        <v>2</v>
      </c>
      <c r="AJ13" s="37">
        <f t="shared" si="8"/>
        <v>2</v>
      </c>
    </row>
    <row r="14" spans="2:42" ht="18.75" x14ac:dyDescent="0.3">
      <c r="C14" s="177" t="s">
        <v>143</v>
      </c>
      <c r="D14" s="178"/>
      <c r="E14" s="36"/>
      <c r="F14" s="37">
        <f t="shared" ref="F14:AJ14" si="9">COUNTIF(F$5:F$8,"TR*")</f>
        <v>0</v>
      </c>
      <c r="G14" s="37">
        <f t="shared" si="9"/>
        <v>0</v>
      </c>
      <c r="H14" s="37">
        <f t="shared" si="9"/>
        <v>0</v>
      </c>
      <c r="I14" s="37">
        <f t="shared" si="9"/>
        <v>0</v>
      </c>
      <c r="J14" s="37">
        <f t="shared" si="9"/>
        <v>0</v>
      </c>
      <c r="K14" s="37">
        <f t="shared" si="9"/>
        <v>0</v>
      </c>
      <c r="L14" s="37">
        <f t="shared" si="9"/>
        <v>0</v>
      </c>
      <c r="M14" s="37">
        <f t="shared" si="9"/>
        <v>0</v>
      </c>
      <c r="N14" s="37">
        <f t="shared" si="9"/>
        <v>0</v>
      </c>
      <c r="O14" s="37">
        <f t="shared" si="9"/>
        <v>0</v>
      </c>
      <c r="P14" s="37">
        <f t="shared" si="9"/>
        <v>0</v>
      </c>
      <c r="Q14" s="37">
        <f t="shared" si="9"/>
        <v>0</v>
      </c>
      <c r="R14" s="37">
        <f t="shared" si="9"/>
        <v>0</v>
      </c>
      <c r="S14" s="37">
        <f t="shared" si="9"/>
        <v>0</v>
      </c>
      <c r="T14" s="37">
        <f t="shared" si="9"/>
        <v>0</v>
      </c>
      <c r="U14" s="37">
        <f t="shared" si="9"/>
        <v>0</v>
      </c>
      <c r="V14" s="37">
        <f t="shared" si="9"/>
        <v>0</v>
      </c>
      <c r="W14" s="37">
        <f t="shared" si="9"/>
        <v>0</v>
      </c>
      <c r="X14" s="37">
        <f t="shared" si="9"/>
        <v>1</v>
      </c>
      <c r="Y14" s="37">
        <f t="shared" si="9"/>
        <v>1</v>
      </c>
      <c r="Z14" s="37">
        <f t="shared" si="9"/>
        <v>0</v>
      </c>
      <c r="AA14" s="37">
        <f t="shared" si="9"/>
        <v>0</v>
      </c>
      <c r="AB14" s="37">
        <f t="shared" si="9"/>
        <v>0</v>
      </c>
      <c r="AC14" s="37">
        <f t="shared" si="9"/>
        <v>0</v>
      </c>
      <c r="AD14" s="37">
        <f t="shared" si="9"/>
        <v>0</v>
      </c>
      <c r="AE14" s="37">
        <f t="shared" si="9"/>
        <v>1</v>
      </c>
      <c r="AF14" s="37">
        <f t="shared" si="9"/>
        <v>1</v>
      </c>
      <c r="AG14" s="37">
        <f t="shared" si="9"/>
        <v>0</v>
      </c>
      <c r="AH14" s="37">
        <f t="shared" si="9"/>
        <v>0</v>
      </c>
      <c r="AI14" s="37">
        <f t="shared" si="9"/>
        <v>0</v>
      </c>
      <c r="AJ14" s="37">
        <f t="shared" si="9"/>
        <v>0</v>
      </c>
    </row>
    <row r="15" spans="2:42" ht="18.75" x14ac:dyDescent="0.3">
      <c r="C15" s="177" t="s">
        <v>106</v>
      </c>
      <c r="D15" s="178"/>
      <c r="E15" s="36"/>
      <c r="F15" s="37">
        <f t="shared" ref="F15:AJ15" si="10">COUNTIF(F$5:F$8,"ST*")</f>
        <v>0</v>
      </c>
      <c r="G15" s="37">
        <f t="shared" si="10"/>
        <v>0</v>
      </c>
      <c r="H15" s="37">
        <f t="shared" si="10"/>
        <v>0</v>
      </c>
      <c r="I15" s="37">
        <f t="shared" si="10"/>
        <v>0</v>
      </c>
      <c r="J15" s="37">
        <f t="shared" si="10"/>
        <v>0</v>
      </c>
      <c r="K15" s="37">
        <f t="shared" si="10"/>
        <v>0</v>
      </c>
      <c r="L15" s="37">
        <f t="shared" si="10"/>
        <v>0</v>
      </c>
      <c r="M15" s="37">
        <f t="shared" si="10"/>
        <v>0</v>
      </c>
      <c r="N15" s="37">
        <f t="shared" si="10"/>
        <v>0</v>
      </c>
      <c r="O15" s="37">
        <f t="shared" si="10"/>
        <v>0</v>
      </c>
      <c r="P15" s="37">
        <f t="shared" si="10"/>
        <v>0</v>
      </c>
      <c r="Q15" s="37">
        <f t="shared" si="10"/>
        <v>0</v>
      </c>
      <c r="R15" s="37">
        <f t="shared" si="10"/>
        <v>0</v>
      </c>
      <c r="S15" s="37">
        <f t="shared" si="10"/>
        <v>0</v>
      </c>
      <c r="T15" s="37">
        <f t="shared" si="10"/>
        <v>0</v>
      </c>
      <c r="U15" s="37">
        <f t="shared" si="10"/>
        <v>0</v>
      </c>
      <c r="V15" s="37">
        <f t="shared" si="10"/>
        <v>0</v>
      </c>
      <c r="W15" s="37">
        <f t="shared" si="10"/>
        <v>0</v>
      </c>
      <c r="X15" s="37">
        <f t="shared" si="10"/>
        <v>0</v>
      </c>
      <c r="Y15" s="37">
        <f t="shared" si="10"/>
        <v>0</v>
      </c>
      <c r="Z15" s="37">
        <f t="shared" si="10"/>
        <v>0</v>
      </c>
      <c r="AA15" s="37">
        <f t="shared" si="10"/>
        <v>0</v>
      </c>
      <c r="AB15" s="37">
        <f t="shared" si="10"/>
        <v>0</v>
      </c>
      <c r="AC15" s="37">
        <f t="shared" si="10"/>
        <v>0</v>
      </c>
      <c r="AD15" s="37">
        <f t="shared" si="10"/>
        <v>0</v>
      </c>
      <c r="AE15" s="37">
        <f t="shared" si="10"/>
        <v>0</v>
      </c>
      <c r="AF15" s="37">
        <f t="shared" si="10"/>
        <v>0</v>
      </c>
      <c r="AG15" s="37">
        <f t="shared" si="10"/>
        <v>0</v>
      </c>
      <c r="AH15" s="37">
        <f t="shared" si="10"/>
        <v>0</v>
      </c>
      <c r="AI15" s="37">
        <f t="shared" si="10"/>
        <v>0</v>
      </c>
      <c r="AJ15" s="37">
        <f t="shared" si="10"/>
        <v>0</v>
      </c>
    </row>
    <row r="16" spans="2:42" ht="18.75" x14ac:dyDescent="0.3">
      <c r="C16" s="179" t="s">
        <v>104</v>
      </c>
      <c r="D16" s="179"/>
      <c r="E16" s="38"/>
      <c r="F16" s="53">
        <f>F18-F19</f>
        <v>0</v>
      </c>
      <c r="G16" s="53">
        <f t="shared" ref="G16:AJ16" si="11">G18-G19</f>
        <v>0</v>
      </c>
      <c r="H16" s="53">
        <f t="shared" si="11"/>
        <v>0</v>
      </c>
      <c r="I16" s="53">
        <f t="shared" si="11"/>
        <v>-1</v>
      </c>
      <c r="J16" s="53">
        <f t="shared" si="11"/>
        <v>-1</v>
      </c>
      <c r="K16" s="53">
        <f t="shared" si="11"/>
        <v>0</v>
      </c>
      <c r="L16" s="53">
        <f t="shared" si="11"/>
        <v>0</v>
      </c>
      <c r="M16" s="53">
        <f t="shared" si="11"/>
        <v>1</v>
      </c>
      <c r="N16" s="53">
        <f t="shared" si="11"/>
        <v>0</v>
      </c>
      <c r="O16" s="53">
        <f t="shared" si="11"/>
        <v>0</v>
      </c>
      <c r="P16" s="53">
        <f t="shared" si="11"/>
        <v>0</v>
      </c>
      <c r="Q16" s="53">
        <f t="shared" si="11"/>
        <v>0</v>
      </c>
      <c r="R16" s="53">
        <f t="shared" si="11"/>
        <v>0</v>
      </c>
      <c r="S16" s="53">
        <f t="shared" si="11"/>
        <v>0</v>
      </c>
      <c r="T16" s="53">
        <f t="shared" si="11"/>
        <v>1</v>
      </c>
      <c r="U16" s="53">
        <f t="shared" si="11"/>
        <v>0</v>
      </c>
      <c r="V16" s="53">
        <f t="shared" si="11"/>
        <v>0</v>
      </c>
      <c r="W16" s="53">
        <f t="shared" si="11"/>
        <v>1</v>
      </c>
      <c r="X16" s="53">
        <f t="shared" si="11"/>
        <v>0</v>
      </c>
      <c r="Y16" s="53">
        <f t="shared" si="11"/>
        <v>0</v>
      </c>
      <c r="Z16" s="53">
        <f t="shared" si="11"/>
        <v>1</v>
      </c>
      <c r="AA16" s="53">
        <f t="shared" si="11"/>
        <v>2</v>
      </c>
      <c r="AB16" s="53">
        <f t="shared" si="11"/>
        <v>0</v>
      </c>
      <c r="AC16" s="53">
        <f t="shared" si="11"/>
        <v>0</v>
      </c>
      <c r="AD16" s="53">
        <f t="shared" si="11"/>
        <v>1</v>
      </c>
      <c r="AE16" s="53">
        <f t="shared" si="11"/>
        <v>0</v>
      </c>
      <c r="AF16" s="53">
        <f t="shared" si="11"/>
        <v>0</v>
      </c>
      <c r="AG16" s="53">
        <f t="shared" si="11"/>
        <v>1</v>
      </c>
      <c r="AH16" s="53">
        <f t="shared" si="11"/>
        <v>2</v>
      </c>
      <c r="AI16" s="53">
        <f t="shared" si="11"/>
        <v>0</v>
      </c>
      <c r="AJ16" s="53">
        <f t="shared" si="11"/>
        <v>16</v>
      </c>
    </row>
    <row r="17" spans="3:36" ht="9.75" customHeight="1" x14ac:dyDescent="0.3">
      <c r="C17" s="40"/>
      <c r="D17" s="40"/>
      <c r="E17" s="36"/>
      <c r="F17" s="180"/>
      <c r="G17" s="180"/>
      <c r="H17" s="180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  <c r="U17" s="180"/>
      <c r="V17" s="180"/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</row>
    <row r="18" spans="3:36" ht="18.75" x14ac:dyDescent="0.3">
      <c r="C18" s="181" t="s">
        <v>102</v>
      </c>
      <c r="D18" s="181"/>
      <c r="E18" s="36"/>
      <c r="F18" s="41">
        <f>SUM(F10:F12)</f>
        <v>2</v>
      </c>
      <c r="G18" s="41">
        <f t="shared" ref="G18:AI18" si="12">SUM(G10:G12)</f>
        <v>2</v>
      </c>
      <c r="H18" s="41">
        <f t="shared" si="12"/>
        <v>2</v>
      </c>
      <c r="I18" s="41">
        <f t="shared" si="12"/>
        <v>1</v>
      </c>
      <c r="J18" s="41">
        <f t="shared" si="12"/>
        <v>1</v>
      </c>
      <c r="K18" s="41">
        <f t="shared" si="12"/>
        <v>2</v>
      </c>
      <c r="L18" s="41">
        <f t="shared" si="12"/>
        <v>2</v>
      </c>
      <c r="M18" s="41">
        <f t="shared" si="12"/>
        <v>3</v>
      </c>
      <c r="N18" s="41">
        <f t="shared" si="12"/>
        <v>2</v>
      </c>
      <c r="O18" s="41">
        <f t="shared" si="12"/>
        <v>2</v>
      </c>
      <c r="P18" s="41">
        <f t="shared" si="12"/>
        <v>2</v>
      </c>
      <c r="Q18" s="41">
        <f t="shared" si="12"/>
        <v>2</v>
      </c>
      <c r="R18" s="41">
        <f t="shared" si="12"/>
        <v>2</v>
      </c>
      <c r="S18" s="41">
        <f t="shared" si="12"/>
        <v>2</v>
      </c>
      <c r="T18" s="41">
        <f t="shared" si="12"/>
        <v>3</v>
      </c>
      <c r="U18" s="41">
        <f t="shared" si="12"/>
        <v>2</v>
      </c>
      <c r="V18" s="41">
        <f t="shared" si="12"/>
        <v>2</v>
      </c>
      <c r="W18" s="41">
        <f t="shared" si="12"/>
        <v>3</v>
      </c>
      <c r="X18" s="41">
        <f t="shared" si="12"/>
        <v>2</v>
      </c>
      <c r="Y18" s="41">
        <f t="shared" si="12"/>
        <v>2</v>
      </c>
      <c r="Z18" s="41">
        <f t="shared" si="12"/>
        <v>3</v>
      </c>
      <c r="AA18" s="41">
        <f t="shared" si="12"/>
        <v>4</v>
      </c>
      <c r="AB18" s="41">
        <f t="shared" si="12"/>
        <v>2</v>
      </c>
      <c r="AC18" s="41">
        <f t="shared" si="12"/>
        <v>2</v>
      </c>
      <c r="AD18" s="41">
        <f t="shared" si="12"/>
        <v>3</v>
      </c>
      <c r="AE18" s="41">
        <f t="shared" si="12"/>
        <v>2</v>
      </c>
      <c r="AF18" s="41">
        <f t="shared" si="12"/>
        <v>2</v>
      </c>
      <c r="AG18" s="41">
        <f t="shared" si="12"/>
        <v>3</v>
      </c>
      <c r="AH18" s="41">
        <f t="shared" si="12"/>
        <v>4</v>
      </c>
      <c r="AI18" s="41">
        <f t="shared" si="12"/>
        <v>2</v>
      </c>
      <c r="AJ18" s="41">
        <v>18</v>
      </c>
    </row>
    <row r="19" spans="3:36" ht="18.75" x14ac:dyDescent="0.3">
      <c r="C19" s="181" t="s">
        <v>90</v>
      </c>
      <c r="D19" s="181"/>
      <c r="E19" s="36"/>
      <c r="F19" s="37">
        <v>2</v>
      </c>
      <c r="G19" s="37">
        <v>2</v>
      </c>
      <c r="H19" s="37">
        <v>2</v>
      </c>
      <c r="I19" s="37">
        <v>2</v>
      </c>
      <c r="J19" s="37">
        <v>2</v>
      </c>
      <c r="K19" s="37">
        <v>2</v>
      </c>
      <c r="L19" s="37">
        <v>2</v>
      </c>
      <c r="M19" s="37">
        <v>2</v>
      </c>
      <c r="N19" s="37">
        <v>2</v>
      </c>
      <c r="O19" s="37">
        <v>2</v>
      </c>
      <c r="P19" s="37">
        <v>2</v>
      </c>
      <c r="Q19" s="37">
        <v>2</v>
      </c>
      <c r="R19" s="37">
        <v>2</v>
      </c>
      <c r="S19" s="37">
        <v>2</v>
      </c>
      <c r="T19" s="37">
        <v>2</v>
      </c>
      <c r="U19" s="37">
        <v>2</v>
      </c>
      <c r="V19" s="37">
        <v>2</v>
      </c>
      <c r="W19" s="37">
        <v>2</v>
      </c>
      <c r="X19" s="37">
        <v>2</v>
      </c>
      <c r="Y19" s="37">
        <v>2</v>
      </c>
      <c r="Z19" s="37">
        <v>2</v>
      </c>
      <c r="AA19" s="37">
        <v>2</v>
      </c>
      <c r="AB19" s="37">
        <v>2</v>
      </c>
      <c r="AC19" s="37">
        <v>2</v>
      </c>
      <c r="AD19" s="37">
        <v>2</v>
      </c>
      <c r="AE19" s="37">
        <v>2</v>
      </c>
      <c r="AF19" s="37">
        <v>2</v>
      </c>
      <c r="AG19" s="37">
        <v>2</v>
      </c>
      <c r="AH19" s="37">
        <v>2</v>
      </c>
      <c r="AI19" s="37">
        <v>2</v>
      </c>
      <c r="AJ19" s="37">
        <v>2</v>
      </c>
    </row>
    <row r="20" spans="3:36" ht="18.75" x14ac:dyDescent="0.3">
      <c r="C20" s="181" t="s">
        <v>103</v>
      </c>
      <c r="D20" s="181"/>
      <c r="E20" s="36"/>
      <c r="F20" s="37">
        <f>SUM(F10,F11,F12,F13,F15)</f>
        <v>2</v>
      </c>
      <c r="G20" s="37">
        <f t="shared" ref="G20:AI20" si="13">SUM(G10,G11,G12,G13,G15)</f>
        <v>3</v>
      </c>
      <c r="H20" s="37">
        <f t="shared" si="13"/>
        <v>3</v>
      </c>
      <c r="I20" s="37">
        <f t="shared" si="13"/>
        <v>2</v>
      </c>
      <c r="J20" s="37">
        <f t="shared" si="13"/>
        <v>2</v>
      </c>
      <c r="K20" s="37">
        <f t="shared" si="13"/>
        <v>3</v>
      </c>
      <c r="L20" s="37">
        <f t="shared" si="13"/>
        <v>3</v>
      </c>
      <c r="M20" s="37">
        <f t="shared" si="13"/>
        <v>3</v>
      </c>
      <c r="N20" s="37">
        <f t="shared" si="13"/>
        <v>4</v>
      </c>
      <c r="O20" s="37">
        <f t="shared" si="13"/>
        <v>4</v>
      </c>
      <c r="P20" s="37">
        <f t="shared" si="13"/>
        <v>3</v>
      </c>
      <c r="Q20" s="37">
        <f t="shared" si="13"/>
        <v>3</v>
      </c>
      <c r="R20" s="37">
        <f t="shared" si="13"/>
        <v>3</v>
      </c>
      <c r="S20" s="37">
        <f t="shared" si="13"/>
        <v>3</v>
      </c>
      <c r="T20" s="37">
        <f t="shared" si="13"/>
        <v>3</v>
      </c>
      <c r="U20" s="37">
        <f t="shared" si="13"/>
        <v>4</v>
      </c>
      <c r="V20" s="37">
        <f t="shared" si="13"/>
        <v>4</v>
      </c>
      <c r="W20" s="37">
        <f t="shared" si="13"/>
        <v>4</v>
      </c>
      <c r="X20" s="37">
        <f t="shared" si="13"/>
        <v>3</v>
      </c>
      <c r="Y20" s="37">
        <f t="shared" si="13"/>
        <v>3</v>
      </c>
      <c r="Z20" s="37">
        <f t="shared" si="13"/>
        <v>4</v>
      </c>
      <c r="AA20" s="37">
        <f t="shared" si="13"/>
        <v>4</v>
      </c>
      <c r="AB20" s="37">
        <f t="shared" si="13"/>
        <v>4</v>
      </c>
      <c r="AC20" s="37">
        <f t="shared" si="13"/>
        <v>4</v>
      </c>
      <c r="AD20" s="37">
        <f t="shared" si="13"/>
        <v>4</v>
      </c>
      <c r="AE20" s="37">
        <f t="shared" si="13"/>
        <v>3</v>
      </c>
      <c r="AF20" s="37">
        <f t="shared" si="13"/>
        <v>3</v>
      </c>
      <c r="AG20" s="37">
        <f t="shared" si="13"/>
        <v>4</v>
      </c>
      <c r="AH20" s="37">
        <f t="shared" si="13"/>
        <v>4</v>
      </c>
      <c r="AI20" s="37">
        <f t="shared" si="13"/>
        <v>4</v>
      </c>
      <c r="AJ20" s="37">
        <v>35</v>
      </c>
    </row>
    <row r="21" spans="3:36" ht="16.5" thickBot="1" x14ac:dyDescent="0.3"/>
    <row r="22" spans="3:36" ht="16.5" thickBot="1" x14ac:dyDescent="0.3">
      <c r="F22" s="197" t="s">
        <v>232</v>
      </c>
      <c r="G22" s="198"/>
      <c r="H22" s="199"/>
    </row>
    <row r="23" spans="3:36" x14ac:dyDescent="0.25">
      <c r="F23" s="70" t="s">
        <v>142</v>
      </c>
      <c r="G23" s="200" t="s">
        <v>228</v>
      </c>
      <c r="H23" s="201"/>
    </row>
    <row r="24" spans="3:36" x14ac:dyDescent="0.25">
      <c r="F24" s="79" t="s">
        <v>119</v>
      </c>
      <c r="G24" s="195" t="s">
        <v>229</v>
      </c>
      <c r="H24" s="202"/>
    </row>
    <row r="25" spans="3:36" x14ac:dyDescent="0.25">
      <c r="F25" s="72" t="s">
        <v>226</v>
      </c>
      <c r="G25" s="203" t="s">
        <v>230</v>
      </c>
      <c r="H25" s="204"/>
    </row>
    <row r="26" spans="3:36" x14ac:dyDescent="0.25">
      <c r="F26" s="73" t="s">
        <v>227</v>
      </c>
      <c r="G26" s="205" t="s">
        <v>231</v>
      </c>
      <c r="H26" s="206"/>
    </row>
    <row r="27" spans="3:36" x14ac:dyDescent="0.25">
      <c r="F27" s="74" t="s">
        <v>144</v>
      </c>
      <c r="G27" s="189" t="s">
        <v>234</v>
      </c>
      <c r="H27" s="190"/>
    </row>
    <row r="28" spans="3:36" x14ac:dyDescent="0.25">
      <c r="F28" s="75"/>
      <c r="G28" s="191" t="s">
        <v>233</v>
      </c>
      <c r="H28" s="192"/>
    </row>
    <row r="29" spans="3:36" x14ac:dyDescent="0.25">
      <c r="F29" s="77" t="s">
        <v>235</v>
      </c>
      <c r="G29" s="193" t="s">
        <v>236</v>
      </c>
      <c r="H29" s="194"/>
    </row>
    <row r="30" spans="3:36" x14ac:dyDescent="0.25">
      <c r="F30" s="78" t="s">
        <v>237</v>
      </c>
      <c r="G30" s="195" t="s">
        <v>238</v>
      </c>
      <c r="H30" s="196"/>
    </row>
    <row r="38" spans="18:18" x14ac:dyDescent="0.25">
      <c r="R38" s="18" t="s">
        <v>260</v>
      </c>
    </row>
  </sheetData>
  <mergeCells count="31">
    <mergeCell ref="AP2:AP4"/>
    <mergeCell ref="F2:AJ2"/>
    <mergeCell ref="AL2:AL4"/>
    <mergeCell ref="AM2:AM4"/>
    <mergeCell ref="AN2:AN4"/>
    <mergeCell ref="AO2:AO4"/>
    <mergeCell ref="B3:D4"/>
    <mergeCell ref="C5:D5"/>
    <mergeCell ref="C7:D7"/>
    <mergeCell ref="C8:D8"/>
    <mergeCell ref="C6:D6"/>
    <mergeCell ref="F17:AJ17"/>
    <mergeCell ref="C18:D18"/>
    <mergeCell ref="C19:D19"/>
    <mergeCell ref="C20:D20"/>
    <mergeCell ref="C10:D10"/>
    <mergeCell ref="C11:D11"/>
    <mergeCell ref="C12:D12"/>
    <mergeCell ref="C13:D13"/>
    <mergeCell ref="C14:D14"/>
    <mergeCell ref="C15:D15"/>
    <mergeCell ref="C16:D16"/>
    <mergeCell ref="G27:H27"/>
    <mergeCell ref="G28:H28"/>
    <mergeCell ref="G29:H29"/>
    <mergeCell ref="G30:H30"/>
    <mergeCell ref="F22:H22"/>
    <mergeCell ref="G23:H23"/>
    <mergeCell ref="G24:H24"/>
    <mergeCell ref="G25:H25"/>
    <mergeCell ref="G26:H26"/>
  </mergeCells>
  <phoneticPr fontId="14" type="noConversion"/>
  <conditionalFormatting sqref="F5:AJ8">
    <cfRule type="containsText" dxfId="154" priority="1" operator="containsText" text="TR">
      <formula>NOT(ISERROR(SEARCH("TR",F5)))</formula>
    </cfRule>
    <cfRule type="containsText" dxfId="153" priority="2" operator="containsText" text="MN06">
      <formula>NOT(ISERROR(SEARCH("MN06",F5)))</formula>
    </cfRule>
    <cfRule type="containsText" dxfId="152" priority="3" operator="containsText" text="AN13">
      <formula>NOT(ISERROR(SEARCH("AN13",F5)))</formula>
    </cfRule>
    <cfRule type="containsText" dxfId="151" priority="4" operator="containsText" text="OFF">
      <formula>NOT(ISERROR(SEARCH("OFF",F5)))</formula>
    </cfRule>
    <cfRule type="containsText" dxfId="150" priority="5" operator="containsText" text="ME07">
      <formula>NOT(ISERROR(SEARCH("ME07",F5)))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AD3-5BBA-46C8-A732-A93A351A1D2D}">
  <dimension ref="B1:AP33"/>
  <sheetViews>
    <sheetView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5" sqref="F5:AJ10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9" t="s">
        <v>261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.75" thickBot="1" x14ac:dyDescent="0.3">
      <c r="B3" s="148" t="s">
        <v>105</v>
      </c>
      <c r="C3" s="148"/>
      <c r="D3" s="148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3"/>
      <c r="AM3" s="143"/>
      <c r="AN3" s="143"/>
      <c r="AO3" s="143"/>
      <c r="AP3" s="143"/>
    </row>
    <row r="4" spans="2:42" ht="19.5" customHeight="1" thickBot="1" x14ac:dyDescent="0.3">
      <c r="B4" s="148"/>
      <c r="C4" s="148"/>
      <c r="D4" s="148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44"/>
      <c r="AM4" s="144"/>
      <c r="AN4" s="144"/>
      <c r="AO4" s="144"/>
      <c r="AP4" s="144"/>
    </row>
    <row r="5" spans="2:42" ht="18.75" x14ac:dyDescent="0.25">
      <c r="B5" s="37">
        <v>1</v>
      </c>
      <c r="C5" s="145" t="s">
        <v>178</v>
      </c>
      <c r="D5" s="145"/>
      <c r="F5" s="44" t="s">
        <v>257</v>
      </c>
      <c r="G5" s="44" t="s">
        <v>258</v>
      </c>
      <c r="H5" s="44" t="s">
        <v>258</v>
      </c>
      <c r="I5" s="44" t="s">
        <v>258</v>
      </c>
      <c r="J5" s="44" t="s">
        <v>258</v>
      </c>
      <c r="K5" s="44" t="s">
        <v>258</v>
      </c>
      <c r="L5" s="44" t="s">
        <v>258</v>
      </c>
      <c r="M5" s="44" t="s">
        <v>257</v>
      </c>
      <c r="N5" s="44" t="s">
        <v>257</v>
      </c>
      <c r="O5" s="44" t="s">
        <v>229</v>
      </c>
      <c r="P5" s="44" t="s">
        <v>229</v>
      </c>
      <c r="Q5" s="44" t="s">
        <v>230</v>
      </c>
      <c r="R5" s="44" t="s">
        <v>230</v>
      </c>
      <c r="S5" s="44" t="s">
        <v>254</v>
      </c>
      <c r="T5" s="44" t="s">
        <v>257</v>
      </c>
      <c r="U5" s="44" t="s">
        <v>257</v>
      </c>
      <c r="V5" s="44" t="s">
        <v>257</v>
      </c>
      <c r="W5" s="44" t="s">
        <v>229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257</v>
      </c>
      <c r="AC5" s="44" t="s">
        <v>257</v>
      </c>
      <c r="AD5" s="44" t="s">
        <v>257</v>
      </c>
      <c r="AE5" s="44" t="s">
        <v>229</v>
      </c>
      <c r="AF5" s="44" t="s">
        <v>229</v>
      </c>
      <c r="AG5" s="44" t="s">
        <v>230</v>
      </c>
      <c r="AH5" s="44" t="s">
        <v>230</v>
      </c>
      <c r="AI5" s="44" t="s">
        <v>254</v>
      </c>
      <c r="AJ5" s="44" t="s">
        <v>257</v>
      </c>
      <c r="AL5" s="50">
        <f t="shared" ref="AL5:AL10" si="0">COUNTIF($F5:$AJ5,"ST*")</f>
        <v>0</v>
      </c>
      <c r="AM5" s="50">
        <f t="shared" ref="AM5:AM10" si="1">COUNTIF($F5:$AJ5,"M*")</f>
        <v>6</v>
      </c>
      <c r="AN5" s="50">
        <f t="shared" ref="AN5:AN10" si="2">COUNTIF($F5:$AJ5,"A*")</f>
        <v>6</v>
      </c>
      <c r="AO5" s="50">
        <f t="shared" ref="AO5:AO10" si="3">COUNTIF($F5:$AJ5,"N*")</f>
        <v>3</v>
      </c>
      <c r="AP5" s="50">
        <f t="shared" ref="AP5:AP10" si="4">COUNTIF($F5:$AJ5,"O*")</f>
        <v>10</v>
      </c>
    </row>
    <row r="6" spans="2:42" ht="18.75" x14ac:dyDescent="0.25">
      <c r="B6" s="37">
        <v>2</v>
      </c>
      <c r="C6" s="145" t="s">
        <v>179</v>
      </c>
      <c r="D6" s="145"/>
      <c r="F6" s="51" t="s">
        <v>230</v>
      </c>
      <c r="G6" s="51" t="s">
        <v>230</v>
      </c>
      <c r="H6" s="51" t="s">
        <v>254</v>
      </c>
      <c r="I6" s="51" t="s">
        <v>257</v>
      </c>
      <c r="J6" s="51" t="s">
        <v>257</v>
      </c>
      <c r="K6" s="51" t="s">
        <v>257</v>
      </c>
      <c r="L6" s="51" t="s">
        <v>229</v>
      </c>
      <c r="M6" s="51" t="s">
        <v>229</v>
      </c>
      <c r="N6" s="51" t="s">
        <v>230</v>
      </c>
      <c r="O6" s="51" t="s">
        <v>230</v>
      </c>
      <c r="P6" s="51" t="s">
        <v>254</v>
      </c>
      <c r="Q6" s="51" t="s">
        <v>257</v>
      </c>
      <c r="R6" s="51" t="s">
        <v>257</v>
      </c>
      <c r="S6" s="51" t="s">
        <v>257</v>
      </c>
      <c r="T6" s="51" t="s">
        <v>229</v>
      </c>
      <c r="U6" s="51" t="s">
        <v>229</v>
      </c>
      <c r="V6" s="51" t="s">
        <v>230</v>
      </c>
      <c r="W6" s="51" t="s">
        <v>230</v>
      </c>
      <c r="X6" s="51" t="s">
        <v>254</v>
      </c>
      <c r="Y6" s="51" t="s">
        <v>257</v>
      </c>
      <c r="Z6" s="51" t="s">
        <v>257</v>
      </c>
      <c r="AA6" s="51" t="s">
        <v>257</v>
      </c>
      <c r="AB6" s="51" t="s">
        <v>229</v>
      </c>
      <c r="AC6" s="51" t="s">
        <v>229</v>
      </c>
      <c r="AD6" s="51" t="s">
        <v>230</v>
      </c>
      <c r="AE6" s="51" t="s">
        <v>230</v>
      </c>
      <c r="AF6" s="51" t="s">
        <v>254</v>
      </c>
      <c r="AG6" s="51" t="s">
        <v>257</v>
      </c>
      <c r="AH6" s="51" t="s">
        <v>257</v>
      </c>
      <c r="AI6" s="51" t="s">
        <v>257</v>
      </c>
      <c r="AJ6" s="51" t="s">
        <v>229</v>
      </c>
      <c r="AL6" s="50">
        <f t="shared" si="0"/>
        <v>0</v>
      </c>
      <c r="AM6" s="50">
        <f t="shared" si="1"/>
        <v>7</v>
      </c>
      <c r="AN6" s="50">
        <f t="shared" si="2"/>
        <v>8</v>
      </c>
      <c r="AO6" s="50">
        <f t="shared" si="3"/>
        <v>4</v>
      </c>
      <c r="AP6" s="50">
        <f t="shared" si="4"/>
        <v>12</v>
      </c>
    </row>
    <row r="7" spans="2:42" ht="18.75" x14ac:dyDescent="0.25">
      <c r="B7" s="37">
        <v>3</v>
      </c>
      <c r="C7" s="145" t="s">
        <v>180</v>
      </c>
      <c r="D7" s="145"/>
      <c r="F7" s="51" t="s">
        <v>258</v>
      </c>
      <c r="G7" s="51" t="s">
        <v>258</v>
      </c>
      <c r="H7" s="51" t="s">
        <v>258</v>
      </c>
      <c r="I7" s="51" t="s">
        <v>258</v>
      </c>
      <c r="J7" s="51" t="s">
        <v>258</v>
      </c>
      <c r="K7" s="51" t="s">
        <v>258</v>
      </c>
      <c r="L7" s="51" t="s">
        <v>258</v>
      </c>
      <c r="M7" s="51" t="s">
        <v>258</v>
      </c>
      <c r="N7" s="51" t="s">
        <v>258</v>
      </c>
      <c r="O7" s="51" t="s">
        <v>258</v>
      </c>
      <c r="P7" s="51" t="s">
        <v>258</v>
      </c>
      <c r="Q7" s="51" t="s">
        <v>258</v>
      </c>
      <c r="R7" s="51" t="s">
        <v>258</v>
      </c>
      <c r="S7" s="51" t="s">
        <v>258</v>
      </c>
      <c r="T7" s="51" t="s">
        <v>258</v>
      </c>
      <c r="U7" s="51" t="s">
        <v>258</v>
      </c>
      <c r="V7" s="51" t="s">
        <v>258</v>
      </c>
      <c r="W7" s="51" t="s">
        <v>258</v>
      </c>
      <c r="X7" s="51" t="s">
        <v>258</v>
      </c>
      <c r="Y7" s="51" t="s">
        <v>258</v>
      </c>
      <c r="Z7" s="51" t="s">
        <v>258</v>
      </c>
      <c r="AA7" s="51" t="s">
        <v>258</v>
      </c>
      <c r="AB7" s="51" t="s">
        <v>258</v>
      </c>
      <c r="AC7" s="51" t="s">
        <v>258</v>
      </c>
      <c r="AD7" s="51" t="s">
        <v>258</v>
      </c>
      <c r="AE7" s="51" t="s">
        <v>258</v>
      </c>
      <c r="AF7" s="51" t="s">
        <v>258</v>
      </c>
      <c r="AG7" s="51" t="s">
        <v>258</v>
      </c>
      <c r="AH7" s="51" t="s">
        <v>258</v>
      </c>
      <c r="AI7" s="51" t="s">
        <v>258</v>
      </c>
      <c r="AJ7" s="51" t="s">
        <v>258</v>
      </c>
      <c r="AL7" s="50">
        <f t="shared" si="0"/>
        <v>0</v>
      </c>
      <c r="AM7" s="50">
        <f t="shared" si="1"/>
        <v>0</v>
      </c>
      <c r="AN7" s="50">
        <f t="shared" si="2"/>
        <v>0</v>
      </c>
      <c r="AO7" s="50">
        <f t="shared" si="3"/>
        <v>0</v>
      </c>
      <c r="AP7" s="50">
        <f t="shared" si="4"/>
        <v>0</v>
      </c>
    </row>
    <row r="8" spans="2:42" ht="18.75" x14ac:dyDescent="0.25">
      <c r="B8" s="37">
        <v>4</v>
      </c>
      <c r="C8" s="145" t="s">
        <v>181</v>
      </c>
      <c r="D8" s="145"/>
      <c r="F8" s="51" t="s">
        <v>229</v>
      </c>
      <c r="G8" s="51" t="s">
        <v>229</v>
      </c>
      <c r="H8" s="51" t="s">
        <v>230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1" t="s">
        <v>229</v>
      </c>
      <c r="O8" s="51" t="s">
        <v>229</v>
      </c>
      <c r="P8" s="51" t="s">
        <v>230</v>
      </c>
      <c r="Q8" s="51" t="s">
        <v>254</v>
      </c>
      <c r="R8" s="51" t="s">
        <v>254</v>
      </c>
      <c r="S8" s="51" t="s">
        <v>257</v>
      </c>
      <c r="T8" s="51" t="s">
        <v>257</v>
      </c>
      <c r="U8" s="51" t="s">
        <v>257</v>
      </c>
      <c r="V8" s="51" t="s">
        <v>258</v>
      </c>
      <c r="W8" s="51" t="s">
        <v>258</v>
      </c>
      <c r="X8" s="51" t="s">
        <v>258</v>
      </c>
      <c r="Y8" s="51" t="s">
        <v>258</v>
      </c>
      <c r="Z8" s="51" t="s">
        <v>258</v>
      </c>
      <c r="AA8" s="51" t="s">
        <v>258</v>
      </c>
      <c r="AB8" s="51" t="s">
        <v>258</v>
      </c>
      <c r="AC8" s="51" t="s">
        <v>258</v>
      </c>
      <c r="AD8" s="51" t="s">
        <v>258</v>
      </c>
      <c r="AE8" s="51" t="s">
        <v>258</v>
      </c>
      <c r="AF8" s="51" t="s">
        <v>258</v>
      </c>
      <c r="AG8" s="51" t="s">
        <v>258</v>
      </c>
      <c r="AH8" s="51" t="s">
        <v>258</v>
      </c>
      <c r="AI8" s="51" t="s">
        <v>258</v>
      </c>
      <c r="AJ8" s="51" t="s">
        <v>257</v>
      </c>
      <c r="AL8" s="50">
        <f t="shared" si="0"/>
        <v>0</v>
      </c>
      <c r="AM8" s="50">
        <f t="shared" si="1"/>
        <v>4</v>
      </c>
      <c r="AN8" s="50">
        <f t="shared" si="2"/>
        <v>2</v>
      </c>
      <c r="AO8" s="50">
        <f t="shared" si="3"/>
        <v>4</v>
      </c>
      <c r="AP8" s="50">
        <f t="shared" si="4"/>
        <v>7</v>
      </c>
    </row>
    <row r="9" spans="2:42" ht="18.75" x14ac:dyDescent="0.25">
      <c r="B9" s="37">
        <v>5</v>
      </c>
      <c r="C9" s="145" t="s">
        <v>182</v>
      </c>
      <c r="D9" s="145"/>
      <c r="F9" s="51" t="s">
        <v>257</v>
      </c>
      <c r="G9" s="51" t="s">
        <v>257</v>
      </c>
      <c r="H9" s="51" t="s">
        <v>257</v>
      </c>
      <c r="I9" s="51" t="s">
        <v>229</v>
      </c>
      <c r="J9" s="51" t="s">
        <v>229</v>
      </c>
      <c r="K9" s="51" t="s">
        <v>230</v>
      </c>
      <c r="L9" s="51" t="s">
        <v>254</v>
      </c>
      <c r="M9" s="51" t="s">
        <v>254</v>
      </c>
      <c r="N9" s="51" t="s">
        <v>257</v>
      </c>
      <c r="O9" s="51" t="s">
        <v>257</v>
      </c>
      <c r="P9" s="51" t="s">
        <v>257</v>
      </c>
      <c r="Q9" s="51" t="s">
        <v>229</v>
      </c>
      <c r="R9" s="51" t="s">
        <v>229</v>
      </c>
      <c r="S9" s="51" t="s">
        <v>230</v>
      </c>
      <c r="T9" s="51" t="s">
        <v>254</v>
      </c>
      <c r="U9" s="51" t="s">
        <v>254</v>
      </c>
      <c r="V9" s="51" t="s">
        <v>257</v>
      </c>
      <c r="W9" s="51" t="s">
        <v>257</v>
      </c>
      <c r="X9" s="51" t="s">
        <v>257</v>
      </c>
      <c r="Y9" s="51" t="s">
        <v>229</v>
      </c>
      <c r="Z9" s="51" t="s">
        <v>229</v>
      </c>
      <c r="AA9" s="51" t="s">
        <v>230</v>
      </c>
      <c r="AB9" s="51" t="s">
        <v>254</v>
      </c>
      <c r="AC9" s="51" t="s">
        <v>254</v>
      </c>
      <c r="AD9" s="51" t="s">
        <v>257</v>
      </c>
      <c r="AE9" s="51" t="s">
        <v>257</v>
      </c>
      <c r="AF9" s="51" t="s">
        <v>257</v>
      </c>
      <c r="AG9" s="51" t="s">
        <v>229</v>
      </c>
      <c r="AH9" s="51" t="s">
        <v>229</v>
      </c>
      <c r="AI9" s="51" t="s">
        <v>230</v>
      </c>
      <c r="AJ9" s="51" t="s">
        <v>254</v>
      </c>
      <c r="AK9" s="111"/>
      <c r="AL9" s="50">
        <f t="shared" si="0"/>
        <v>0</v>
      </c>
      <c r="AM9" s="50">
        <f t="shared" si="1"/>
        <v>8</v>
      </c>
      <c r="AN9" s="50">
        <f t="shared" si="2"/>
        <v>4</v>
      </c>
      <c r="AO9" s="50">
        <f t="shared" si="3"/>
        <v>7</v>
      </c>
      <c r="AP9" s="50">
        <f t="shared" si="4"/>
        <v>12</v>
      </c>
    </row>
    <row r="10" spans="2:42" ht="19.5" thickBot="1" x14ac:dyDescent="0.3">
      <c r="B10" s="37">
        <v>6</v>
      </c>
      <c r="C10" s="145" t="s">
        <v>183</v>
      </c>
      <c r="D10" s="145"/>
      <c r="F10" s="64" t="s">
        <v>229</v>
      </c>
      <c r="G10" s="64" t="s">
        <v>257</v>
      </c>
      <c r="H10" s="64" t="s">
        <v>257</v>
      </c>
      <c r="I10" s="64" t="s">
        <v>229</v>
      </c>
      <c r="J10" s="64" t="s">
        <v>229</v>
      </c>
      <c r="K10" s="64" t="s">
        <v>144</v>
      </c>
      <c r="L10" s="64" t="s">
        <v>229</v>
      </c>
      <c r="M10" s="64" t="s">
        <v>229</v>
      </c>
      <c r="N10" s="64" t="s">
        <v>257</v>
      </c>
      <c r="O10" s="64" t="s">
        <v>257</v>
      </c>
      <c r="P10" s="64" t="s">
        <v>229</v>
      </c>
      <c r="Q10" s="64" t="s">
        <v>229</v>
      </c>
      <c r="R10" s="64" t="s">
        <v>229</v>
      </c>
      <c r="S10" s="64" t="s">
        <v>144</v>
      </c>
      <c r="T10" s="64" t="s">
        <v>229</v>
      </c>
      <c r="U10" s="64" t="s">
        <v>257</v>
      </c>
      <c r="V10" s="64" t="s">
        <v>257</v>
      </c>
      <c r="W10" s="64" t="s">
        <v>229</v>
      </c>
      <c r="X10" s="64" t="s">
        <v>229</v>
      </c>
      <c r="Y10" s="64" t="s">
        <v>229</v>
      </c>
      <c r="Z10" s="64" t="s">
        <v>229</v>
      </c>
      <c r="AA10" s="64" t="s">
        <v>229</v>
      </c>
      <c r="AB10" s="64" t="s">
        <v>257</v>
      </c>
      <c r="AC10" s="64" t="s">
        <v>257</v>
      </c>
      <c r="AD10" s="64" t="s">
        <v>229</v>
      </c>
      <c r="AE10" s="64" t="s">
        <v>229</v>
      </c>
      <c r="AF10" s="64" t="s">
        <v>229</v>
      </c>
      <c r="AG10" s="64" t="s">
        <v>229</v>
      </c>
      <c r="AH10" s="64" t="s">
        <v>229</v>
      </c>
      <c r="AI10" s="64" t="s">
        <v>257</v>
      </c>
      <c r="AJ10" s="64" t="s">
        <v>257</v>
      </c>
      <c r="AL10" s="50">
        <f t="shared" si="0"/>
        <v>0</v>
      </c>
      <c r="AM10" s="50">
        <f t="shared" si="1"/>
        <v>19</v>
      </c>
      <c r="AN10" s="50">
        <f t="shared" si="2"/>
        <v>0</v>
      </c>
      <c r="AO10" s="50">
        <f t="shared" si="3"/>
        <v>0</v>
      </c>
      <c r="AP10" s="50">
        <f t="shared" si="4"/>
        <v>10</v>
      </c>
    </row>
    <row r="11" spans="2:42" x14ac:dyDescent="0.25">
      <c r="F11" s="20" t="s">
        <v>94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</row>
    <row r="12" spans="2:42" ht="18.75" x14ac:dyDescent="0.3">
      <c r="C12" s="181" t="s">
        <v>91</v>
      </c>
      <c r="D12" s="181"/>
      <c r="E12" s="36"/>
      <c r="F12" s="37">
        <f>COUNTIF(F$5:F$9,"M*")</f>
        <v>1</v>
      </c>
      <c r="G12" s="37">
        <f t="shared" ref="G12:AJ12" si="5">COUNTIF(G$5:G$9,"M*")</f>
        <v>1</v>
      </c>
      <c r="H12" s="37">
        <f t="shared" si="5"/>
        <v>0</v>
      </c>
      <c r="I12" s="37">
        <f t="shared" si="5"/>
        <v>1</v>
      </c>
      <c r="J12" s="37">
        <f t="shared" si="5"/>
        <v>1</v>
      </c>
      <c r="K12" s="37">
        <f t="shared" si="5"/>
        <v>0</v>
      </c>
      <c r="L12" s="37">
        <f t="shared" si="5"/>
        <v>1</v>
      </c>
      <c r="M12" s="37">
        <f t="shared" si="5"/>
        <v>1</v>
      </c>
      <c r="N12" s="37">
        <f t="shared" si="5"/>
        <v>1</v>
      </c>
      <c r="O12" s="37">
        <f t="shared" si="5"/>
        <v>2</v>
      </c>
      <c r="P12" s="37">
        <f t="shared" si="5"/>
        <v>1</v>
      </c>
      <c r="Q12" s="37">
        <f t="shared" si="5"/>
        <v>1</v>
      </c>
      <c r="R12" s="37">
        <f t="shared" si="5"/>
        <v>1</v>
      </c>
      <c r="S12" s="37">
        <f t="shared" si="5"/>
        <v>0</v>
      </c>
      <c r="T12" s="37">
        <f t="shared" si="5"/>
        <v>1</v>
      </c>
      <c r="U12" s="37">
        <f t="shared" si="5"/>
        <v>1</v>
      </c>
      <c r="V12" s="37">
        <f t="shared" si="5"/>
        <v>0</v>
      </c>
      <c r="W12" s="37">
        <f t="shared" si="5"/>
        <v>1</v>
      </c>
      <c r="X12" s="37">
        <f t="shared" si="5"/>
        <v>1</v>
      </c>
      <c r="Y12" s="37">
        <f t="shared" si="5"/>
        <v>1</v>
      </c>
      <c r="Z12" s="37">
        <f t="shared" si="5"/>
        <v>1</v>
      </c>
      <c r="AA12" s="37">
        <f t="shared" si="5"/>
        <v>0</v>
      </c>
      <c r="AB12" s="37">
        <f t="shared" si="5"/>
        <v>1</v>
      </c>
      <c r="AC12" s="37">
        <f t="shared" si="5"/>
        <v>1</v>
      </c>
      <c r="AD12" s="37">
        <f t="shared" si="5"/>
        <v>0</v>
      </c>
      <c r="AE12" s="37">
        <f t="shared" si="5"/>
        <v>1</v>
      </c>
      <c r="AF12" s="37">
        <f t="shared" si="5"/>
        <v>1</v>
      </c>
      <c r="AG12" s="37">
        <f t="shared" si="5"/>
        <v>1</v>
      </c>
      <c r="AH12" s="37">
        <f t="shared" si="5"/>
        <v>1</v>
      </c>
      <c r="AI12" s="37">
        <f t="shared" si="5"/>
        <v>0</v>
      </c>
      <c r="AJ12" s="37">
        <f t="shared" si="5"/>
        <v>1</v>
      </c>
    </row>
    <row r="13" spans="2:42" ht="18.75" x14ac:dyDescent="0.3">
      <c r="C13" s="181" t="s">
        <v>92</v>
      </c>
      <c r="D13" s="181"/>
      <c r="E13" s="36"/>
      <c r="F13" s="37">
        <f>COUNTIF(F$5:F$9,"A*")</f>
        <v>1</v>
      </c>
      <c r="G13" s="37">
        <f t="shared" ref="G13:AJ13" si="6">COUNTIF(G$5:G$9,"A*")</f>
        <v>1</v>
      </c>
      <c r="H13" s="37">
        <f t="shared" si="6"/>
        <v>1</v>
      </c>
      <c r="I13" s="37">
        <f t="shared" si="6"/>
        <v>0</v>
      </c>
      <c r="J13" s="37">
        <f t="shared" si="6"/>
        <v>0</v>
      </c>
      <c r="K13" s="37">
        <f t="shared" si="6"/>
        <v>1</v>
      </c>
      <c r="L13" s="37">
        <f t="shared" si="6"/>
        <v>0</v>
      </c>
      <c r="M13" s="37">
        <f t="shared" si="6"/>
        <v>0</v>
      </c>
      <c r="N13" s="37">
        <f t="shared" si="6"/>
        <v>1</v>
      </c>
      <c r="O13" s="37">
        <f t="shared" si="6"/>
        <v>1</v>
      </c>
      <c r="P13" s="37">
        <f t="shared" si="6"/>
        <v>1</v>
      </c>
      <c r="Q13" s="37">
        <f t="shared" si="6"/>
        <v>1</v>
      </c>
      <c r="R13" s="37">
        <f t="shared" si="6"/>
        <v>1</v>
      </c>
      <c r="S13" s="37">
        <f t="shared" si="6"/>
        <v>1</v>
      </c>
      <c r="T13" s="37">
        <f t="shared" si="6"/>
        <v>0</v>
      </c>
      <c r="U13" s="37">
        <f t="shared" si="6"/>
        <v>0</v>
      </c>
      <c r="V13" s="37">
        <f t="shared" si="6"/>
        <v>1</v>
      </c>
      <c r="W13" s="37">
        <f t="shared" si="6"/>
        <v>1</v>
      </c>
      <c r="X13" s="37">
        <f t="shared" si="6"/>
        <v>0</v>
      </c>
      <c r="Y13" s="37">
        <f t="shared" si="6"/>
        <v>1</v>
      </c>
      <c r="Z13" s="37">
        <f t="shared" si="6"/>
        <v>1</v>
      </c>
      <c r="AA13" s="37">
        <f t="shared" si="6"/>
        <v>1</v>
      </c>
      <c r="AB13" s="37">
        <f t="shared" si="6"/>
        <v>0</v>
      </c>
      <c r="AC13" s="37">
        <f t="shared" si="6"/>
        <v>0</v>
      </c>
      <c r="AD13" s="37">
        <f t="shared" si="6"/>
        <v>1</v>
      </c>
      <c r="AE13" s="37">
        <f t="shared" si="6"/>
        <v>1</v>
      </c>
      <c r="AF13" s="37">
        <f t="shared" si="6"/>
        <v>0</v>
      </c>
      <c r="AG13" s="37">
        <f t="shared" si="6"/>
        <v>1</v>
      </c>
      <c r="AH13" s="37">
        <f t="shared" si="6"/>
        <v>1</v>
      </c>
      <c r="AI13" s="37">
        <f t="shared" si="6"/>
        <v>1</v>
      </c>
      <c r="AJ13" s="37">
        <f t="shared" si="6"/>
        <v>0</v>
      </c>
    </row>
    <row r="14" spans="2:42" ht="18.75" x14ac:dyDescent="0.3">
      <c r="C14" s="181" t="s">
        <v>72</v>
      </c>
      <c r="D14" s="181"/>
      <c r="E14" s="36"/>
      <c r="F14" s="37">
        <f>COUNTIF(F$5:F$9,"N*")</f>
        <v>0</v>
      </c>
      <c r="G14" s="37">
        <f t="shared" ref="G14:AJ14" si="7">COUNTIF(G$5:G$9,"N*")</f>
        <v>0</v>
      </c>
      <c r="H14" s="37">
        <f t="shared" si="7"/>
        <v>1</v>
      </c>
      <c r="I14" s="37">
        <f t="shared" si="7"/>
        <v>1</v>
      </c>
      <c r="J14" s="37">
        <f t="shared" si="7"/>
        <v>1</v>
      </c>
      <c r="K14" s="37">
        <f t="shared" si="7"/>
        <v>0</v>
      </c>
      <c r="L14" s="37">
        <f t="shared" si="7"/>
        <v>1</v>
      </c>
      <c r="M14" s="37">
        <f t="shared" si="7"/>
        <v>1</v>
      </c>
      <c r="N14" s="37">
        <f t="shared" si="7"/>
        <v>0</v>
      </c>
      <c r="O14" s="37">
        <f t="shared" si="7"/>
        <v>0</v>
      </c>
      <c r="P14" s="37">
        <f t="shared" si="7"/>
        <v>1</v>
      </c>
      <c r="Q14" s="37">
        <f t="shared" si="7"/>
        <v>1</v>
      </c>
      <c r="R14" s="37">
        <f t="shared" si="7"/>
        <v>1</v>
      </c>
      <c r="S14" s="37">
        <f t="shared" si="7"/>
        <v>1</v>
      </c>
      <c r="T14" s="37">
        <f t="shared" si="7"/>
        <v>1</v>
      </c>
      <c r="U14" s="37">
        <f t="shared" si="7"/>
        <v>1</v>
      </c>
      <c r="V14" s="37">
        <f t="shared" si="7"/>
        <v>0</v>
      </c>
      <c r="W14" s="37">
        <f t="shared" si="7"/>
        <v>0</v>
      </c>
      <c r="X14" s="37">
        <f t="shared" si="7"/>
        <v>1</v>
      </c>
      <c r="Y14" s="37">
        <f t="shared" si="7"/>
        <v>0</v>
      </c>
      <c r="Z14" s="37">
        <f t="shared" si="7"/>
        <v>0</v>
      </c>
      <c r="AA14" s="37">
        <f t="shared" si="7"/>
        <v>1</v>
      </c>
      <c r="AB14" s="37">
        <f t="shared" si="7"/>
        <v>1</v>
      </c>
      <c r="AC14" s="37">
        <f t="shared" si="7"/>
        <v>1</v>
      </c>
      <c r="AD14" s="37">
        <f t="shared" si="7"/>
        <v>0</v>
      </c>
      <c r="AE14" s="37">
        <f t="shared" si="7"/>
        <v>0</v>
      </c>
      <c r="AF14" s="37">
        <f t="shared" si="7"/>
        <v>1</v>
      </c>
      <c r="AG14" s="37">
        <f t="shared" si="7"/>
        <v>0</v>
      </c>
      <c r="AH14" s="37">
        <f t="shared" si="7"/>
        <v>0</v>
      </c>
      <c r="AI14" s="37">
        <f t="shared" si="7"/>
        <v>1</v>
      </c>
      <c r="AJ14" s="37">
        <f t="shared" si="7"/>
        <v>1</v>
      </c>
    </row>
    <row r="15" spans="2:42" ht="18.75" x14ac:dyDescent="0.3">
      <c r="C15" s="181" t="s">
        <v>73</v>
      </c>
      <c r="D15" s="181"/>
      <c r="E15" s="36"/>
      <c r="F15" s="37">
        <f t="shared" ref="F15:AJ15" si="8">COUNTIF(F$5:F$10,"O*")</f>
        <v>2</v>
      </c>
      <c r="G15" s="37">
        <f t="shared" si="8"/>
        <v>2</v>
      </c>
      <c r="H15" s="37">
        <f t="shared" si="8"/>
        <v>2</v>
      </c>
      <c r="I15" s="37">
        <f t="shared" si="8"/>
        <v>1</v>
      </c>
      <c r="J15" s="37">
        <f t="shared" si="8"/>
        <v>1</v>
      </c>
      <c r="K15" s="37">
        <f t="shared" si="8"/>
        <v>2</v>
      </c>
      <c r="L15" s="37">
        <f t="shared" si="8"/>
        <v>1</v>
      </c>
      <c r="M15" s="37">
        <f t="shared" si="8"/>
        <v>2</v>
      </c>
      <c r="N15" s="37">
        <f t="shared" si="8"/>
        <v>3</v>
      </c>
      <c r="O15" s="37">
        <f t="shared" si="8"/>
        <v>2</v>
      </c>
      <c r="P15" s="37">
        <f t="shared" si="8"/>
        <v>1</v>
      </c>
      <c r="Q15" s="37">
        <f t="shared" si="8"/>
        <v>1</v>
      </c>
      <c r="R15" s="37">
        <f t="shared" si="8"/>
        <v>1</v>
      </c>
      <c r="S15" s="37">
        <f t="shared" si="8"/>
        <v>2</v>
      </c>
      <c r="T15" s="37">
        <f t="shared" si="8"/>
        <v>2</v>
      </c>
      <c r="U15" s="37">
        <f t="shared" si="8"/>
        <v>3</v>
      </c>
      <c r="V15" s="37">
        <f t="shared" si="8"/>
        <v>3</v>
      </c>
      <c r="W15" s="37">
        <f t="shared" si="8"/>
        <v>1</v>
      </c>
      <c r="X15" s="37">
        <f t="shared" si="8"/>
        <v>1</v>
      </c>
      <c r="Y15" s="37">
        <f t="shared" si="8"/>
        <v>1</v>
      </c>
      <c r="Z15" s="37">
        <f t="shared" si="8"/>
        <v>1</v>
      </c>
      <c r="AA15" s="37">
        <f t="shared" si="8"/>
        <v>1</v>
      </c>
      <c r="AB15" s="37">
        <f t="shared" si="8"/>
        <v>2</v>
      </c>
      <c r="AC15" s="37">
        <f t="shared" si="8"/>
        <v>2</v>
      </c>
      <c r="AD15" s="37">
        <f t="shared" si="8"/>
        <v>2</v>
      </c>
      <c r="AE15" s="37">
        <f t="shared" si="8"/>
        <v>1</v>
      </c>
      <c r="AF15" s="37">
        <f t="shared" si="8"/>
        <v>1</v>
      </c>
      <c r="AG15" s="37">
        <f t="shared" si="8"/>
        <v>1</v>
      </c>
      <c r="AH15" s="37">
        <f t="shared" si="8"/>
        <v>1</v>
      </c>
      <c r="AI15" s="37">
        <f t="shared" si="8"/>
        <v>2</v>
      </c>
      <c r="AJ15" s="37">
        <f t="shared" si="8"/>
        <v>3</v>
      </c>
    </row>
    <row r="16" spans="2:42" ht="18.75" x14ac:dyDescent="0.3">
      <c r="C16" s="177" t="s">
        <v>143</v>
      </c>
      <c r="D16" s="178"/>
      <c r="E16" s="36"/>
      <c r="F16" s="37">
        <f t="shared" ref="F16:AJ16" si="9">COUNTIF(F$5:F$10,"TR*")</f>
        <v>0</v>
      </c>
      <c r="G16" s="37">
        <f t="shared" si="9"/>
        <v>0</v>
      </c>
      <c r="H16" s="37">
        <f t="shared" si="9"/>
        <v>0</v>
      </c>
      <c r="I16" s="37">
        <f t="shared" si="9"/>
        <v>0</v>
      </c>
      <c r="J16" s="37">
        <f t="shared" si="9"/>
        <v>0</v>
      </c>
      <c r="K16" s="37">
        <f t="shared" si="9"/>
        <v>1</v>
      </c>
      <c r="L16" s="37">
        <f t="shared" si="9"/>
        <v>0</v>
      </c>
      <c r="M16" s="37">
        <f t="shared" si="9"/>
        <v>0</v>
      </c>
      <c r="N16" s="37">
        <f t="shared" si="9"/>
        <v>0</v>
      </c>
      <c r="O16" s="37">
        <f t="shared" si="9"/>
        <v>0</v>
      </c>
      <c r="P16" s="37">
        <f t="shared" si="9"/>
        <v>0</v>
      </c>
      <c r="Q16" s="37">
        <f t="shared" si="9"/>
        <v>0</v>
      </c>
      <c r="R16" s="37">
        <f t="shared" si="9"/>
        <v>0</v>
      </c>
      <c r="S16" s="37">
        <f t="shared" si="9"/>
        <v>1</v>
      </c>
      <c r="T16" s="37">
        <f t="shared" si="9"/>
        <v>0</v>
      </c>
      <c r="U16" s="37">
        <f t="shared" si="9"/>
        <v>0</v>
      </c>
      <c r="V16" s="37">
        <f t="shared" si="9"/>
        <v>0</v>
      </c>
      <c r="W16" s="37">
        <f t="shared" si="9"/>
        <v>0</v>
      </c>
      <c r="X16" s="37">
        <f t="shared" si="9"/>
        <v>0</v>
      </c>
      <c r="Y16" s="37">
        <f t="shared" si="9"/>
        <v>0</v>
      </c>
      <c r="Z16" s="37">
        <f t="shared" si="9"/>
        <v>0</v>
      </c>
      <c r="AA16" s="37">
        <f t="shared" si="9"/>
        <v>0</v>
      </c>
      <c r="AB16" s="37">
        <f t="shared" si="9"/>
        <v>0</v>
      </c>
      <c r="AC16" s="37">
        <f t="shared" si="9"/>
        <v>0</v>
      </c>
      <c r="AD16" s="37">
        <f t="shared" si="9"/>
        <v>0</v>
      </c>
      <c r="AE16" s="37">
        <f t="shared" si="9"/>
        <v>0</v>
      </c>
      <c r="AF16" s="37">
        <f t="shared" si="9"/>
        <v>0</v>
      </c>
      <c r="AG16" s="37">
        <f t="shared" si="9"/>
        <v>0</v>
      </c>
      <c r="AH16" s="37">
        <f t="shared" si="9"/>
        <v>0</v>
      </c>
      <c r="AI16" s="37">
        <f t="shared" si="9"/>
        <v>0</v>
      </c>
      <c r="AJ16" s="37">
        <f t="shared" si="9"/>
        <v>0</v>
      </c>
    </row>
    <row r="17" spans="3:36" ht="18.75" x14ac:dyDescent="0.3">
      <c r="C17" s="177" t="s">
        <v>106</v>
      </c>
      <c r="D17" s="178"/>
      <c r="E17" s="36"/>
      <c r="F17" s="37">
        <f t="shared" ref="F17:AJ17" si="10">COUNTIF(F$5:F$10,"ST*")</f>
        <v>0</v>
      </c>
      <c r="G17" s="37">
        <f t="shared" si="10"/>
        <v>0</v>
      </c>
      <c r="H17" s="37">
        <f t="shared" si="10"/>
        <v>0</v>
      </c>
      <c r="I17" s="37">
        <f t="shared" si="10"/>
        <v>0</v>
      </c>
      <c r="J17" s="37">
        <f t="shared" si="10"/>
        <v>0</v>
      </c>
      <c r="K17" s="37">
        <f t="shared" si="10"/>
        <v>0</v>
      </c>
      <c r="L17" s="37">
        <f t="shared" si="10"/>
        <v>0</v>
      </c>
      <c r="M17" s="37">
        <f t="shared" si="10"/>
        <v>0</v>
      </c>
      <c r="N17" s="37">
        <f t="shared" si="10"/>
        <v>0</v>
      </c>
      <c r="O17" s="37">
        <f t="shared" si="10"/>
        <v>0</v>
      </c>
      <c r="P17" s="37">
        <f t="shared" si="10"/>
        <v>0</v>
      </c>
      <c r="Q17" s="37">
        <f t="shared" si="10"/>
        <v>0</v>
      </c>
      <c r="R17" s="37">
        <f t="shared" si="10"/>
        <v>0</v>
      </c>
      <c r="S17" s="37">
        <f t="shared" si="10"/>
        <v>0</v>
      </c>
      <c r="T17" s="37">
        <f t="shared" si="10"/>
        <v>0</v>
      </c>
      <c r="U17" s="37">
        <f t="shared" si="10"/>
        <v>0</v>
      </c>
      <c r="V17" s="37">
        <f t="shared" si="10"/>
        <v>0</v>
      </c>
      <c r="W17" s="37">
        <f t="shared" si="10"/>
        <v>0</v>
      </c>
      <c r="X17" s="37">
        <f t="shared" si="10"/>
        <v>0</v>
      </c>
      <c r="Y17" s="37">
        <f t="shared" si="10"/>
        <v>0</v>
      </c>
      <c r="Z17" s="37">
        <f t="shared" si="10"/>
        <v>0</v>
      </c>
      <c r="AA17" s="37">
        <f t="shared" si="10"/>
        <v>0</v>
      </c>
      <c r="AB17" s="37">
        <f t="shared" si="10"/>
        <v>0</v>
      </c>
      <c r="AC17" s="37">
        <f t="shared" si="10"/>
        <v>0</v>
      </c>
      <c r="AD17" s="37">
        <f t="shared" si="10"/>
        <v>0</v>
      </c>
      <c r="AE17" s="37">
        <f t="shared" si="10"/>
        <v>0</v>
      </c>
      <c r="AF17" s="37">
        <f t="shared" si="10"/>
        <v>0</v>
      </c>
      <c r="AG17" s="37">
        <f t="shared" si="10"/>
        <v>0</v>
      </c>
      <c r="AH17" s="37">
        <f t="shared" si="10"/>
        <v>0</v>
      </c>
      <c r="AI17" s="37">
        <f t="shared" si="10"/>
        <v>0</v>
      </c>
      <c r="AJ17" s="37">
        <f t="shared" si="10"/>
        <v>0</v>
      </c>
    </row>
    <row r="18" spans="3:36" ht="18.75" x14ac:dyDescent="0.3">
      <c r="C18" s="179" t="s">
        <v>104</v>
      </c>
      <c r="D18" s="179"/>
      <c r="E18" s="38"/>
      <c r="F18" s="52">
        <f>F20-F21</f>
        <v>-1</v>
      </c>
      <c r="G18" s="52">
        <f t="shared" ref="G18:AJ18" si="11">G20-G21</f>
        <v>-1</v>
      </c>
      <c r="H18" s="52">
        <f t="shared" si="11"/>
        <v>-1</v>
      </c>
      <c r="I18" s="52">
        <f t="shared" si="11"/>
        <v>-1</v>
      </c>
      <c r="J18" s="52">
        <f t="shared" si="11"/>
        <v>-1</v>
      </c>
      <c r="K18" s="52">
        <f t="shared" si="11"/>
        <v>-2</v>
      </c>
      <c r="L18" s="52">
        <f t="shared" si="11"/>
        <v>-1</v>
      </c>
      <c r="M18" s="52">
        <f t="shared" si="11"/>
        <v>-1</v>
      </c>
      <c r="N18" s="52">
        <f t="shared" si="11"/>
        <v>-1</v>
      </c>
      <c r="O18" s="52">
        <f t="shared" si="11"/>
        <v>0</v>
      </c>
      <c r="P18" s="52">
        <f t="shared" si="11"/>
        <v>0</v>
      </c>
      <c r="Q18" s="52">
        <f t="shared" si="11"/>
        <v>0</v>
      </c>
      <c r="R18" s="52">
        <f t="shared" si="11"/>
        <v>0</v>
      </c>
      <c r="S18" s="52">
        <f t="shared" si="11"/>
        <v>-1</v>
      </c>
      <c r="T18" s="52">
        <f t="shared" si="11"/>
        <v>-1</v>
      </c>
      <c r="U18" s="52">
        <f t="shared" si="11"/>
        <v>-1</v>
      </c>
      <c r="V18" s="52">
        <f t="shared" si="11"/>
        <v>-2</v>
      </c>
      <c r="W18" s="52">
        <f t="shared" si="11"/>
        <v>-1</v>
      </c>
      <c r="X18" s="52">
        <f t="shared" si="11"/>
        <v>-1</v>
      </c>
      <c r="Y18" s="52">
        <f t="shared" si="11"/>
        <v>-1</v>
      </c>
      <c r="Z18" s="52">
        <f t="shared" si="11"/>
        <v>-1</v>
      </c>
      <c r="AA18" s="52">
        <f t="shared" si="11"/>
        <v>-1</v>
      </c>
      <c r="AB18" s="52">
        <f t="shared" si="11"/>
        <v>-1</v>
      </c>
      <c r="AC18" s="52">
        <f t="shared" si="11"/>
        <v>-1</v>
      </c>
      <c r="AD18" s="52">
        <f t="shared" si="11"/>
        <v>-2</v>
      </c>
      <c r="AE18" s="52">
        <f t="shared" si="11"/>
        <v>-1</v>
      </c>
      <c r="AF18" s="52">
        <f t="shared" si="11"/>
        <v>-1</v>
      </c>
      <c r="AG18" s="52">
        <f t="shared" si="11"/>
        <v>-1</v>
      </c>
      <c r="AH18" s="52">
        <f t="shared" si="11"/>
        <v>-1</v>
      </c>
      <c r="AI18" s="52">
        <f t="shared" si="11"/>
        <v>-1</v>
      </c>
      <c r="AJ18" s="52">
        <f t="shared" si="11"/>
        <v>15</v>
      </c>
    </row>
    <row r="19" spans="3:36" ht="9.75" customHeight="1" x14ac:dyDescent="0.3">
      <c r="C19" s="40"/>
      <c r="D19" s="40"/>
      <c r="E19" s="36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</row>
    <row r="20" spans="3:36" ht="18.75" x14ac:dyDescent="0.3">
      <c r="C20" s="181" t="s">
        <v>102</v>
      </c>
      <c r="D20" s="181"/>
      <c r="E20" s="36"/>
      <c r="F20" s="41">
        <f>SUM(F12:F14)</f>
        <v>2</v>
      </c>
      <c r="G20" s="41">
        <f t="shared" ref="G20:AI20" si="12">SUM(G12:G14)</f>
        <v>2</v>
      </c>
      <c r="H20" s="41">
        <f t="shared" si="12"/>
        <v>2</v>
      </c>
      <c r="I20" s="41">
        <f t="shared" si="12"/>
        <v>2</v>
      </c>
      <c r="J20" s="41">
        <f t="shared" si="12"/>
        <v>2</v>
      </c>
      <c r="K20" s="41">
        <f t="shared" si="12"/>
        <v>1</v>
      </c>
      <c r="L20" s="41">
        <f t="shared" si="12"/>
        <v>2</v>
      </c>
      <c r="M20" s="41">
        <f t="shared" si="12"/>
        <v>2</v>
      </c>
      <c r="N20" s="41">
        <f t="shared" si="12"/>
        <v>2</v>
      </c>
      <c r="O20" s="41">
        <f t="shared" si="12"/>
        <v>3</v>
      </c>
      <c r="P20" s="41">
        <f t="shared" si="12"/>
        <v>3</v>
      </c>
      <c r="Q20" s="41">
        <f t="shared" si="12"/>
        <v>3</v>
      </c>
      <c r="R20" s="41">
        <f t="shared" si="12"/>
        <v>3</v>
      </c>
      <c r="S20" s="41">
        <f t="shared" si="12"/>
        <v>2</v>
      </c>
      <c r="T20" s="41">
        <f t="shared" si="12"/>
        <v>2</v>
      </c>
      <c r="U20" s="41">
        <f t="shared" si="12"/>
        <v>2</v>
      </c>
      <c r="V20" s="41">
        <f t="shared" si="12"/>
        <v>1</v>
      </c>
      <c r="W20" s="41">
        <f t="shared" si="12"/>
        <v>2</v>
      </c>
      <c r="X20" s="41">
        <f t="shared" si="12"/>
        <v>2</v>
      </c>
      <c r="Y20" s="41">
        <f t="shared" si="12"/>
        <v>2</v>
      </c>
      <c r="Z20" s="41">
        <f t="shared" si="12"/>
        <v>2</v>
      </c>
      <c r="AA20" s="41">
        <f t="shared" si="12"/>
        <v>2</v>
      </c>
      <c r="AB20" s="41">
        <f t="shared" si="12"/>
        <v>2</v>
      </c>
      <c r="AC20" s="41">
        <f t="shared" si="12"/>
        <v>2</v>
      </c>
      <c r="AD20" s="41">
        <f t="shared" si="12"/>
        <v>1</v>
      </c>
      <c r="AE20" s="41">
        <f t="shared" si="12"/>
        <v>2</v>
      </c>
      <c r="AF20" s="41">
        <f t="shared" si="12"/>
        <v>2</v>
      </c>
      <c r="AG20" s="41">
        <f t="shared" si="12"/>
        <v>2</v>
      </c>
      <c r="AH20" s="41">
        <f t="shared" si="12"/>
        <v>2</v>
      </c>
      <c r="AI20" s="41">
        <f t="shared" si="12"/>
        <v>2</v>
      </c>
      <c r="AJ20" s="41">
        <v>18</v>
      </c>
    </row>
    <row r="21" spans="3:36" ht="18.75" x14ac:dyDescent="0.3">
      <c r="C21" s="181" t="s">
        <v>90</v>
      </c>
      <c r="D21" s="181"/>
      <c r="E21" s="36"/>
      <c r="F21" s="37">
        <v>3</v>
      </c>
      <c r="G21" s="37">
        <v>3</v>
      </c>
      <c r="H21" s="37">
        <v>3</v>
      </c>
      <c r="I21" s="37">
        <v>3</v>
      </c>
      <c r="J21" s="37">
        <v>3</v>
      </c>
      <c r="K21" s="37">
        <v>3</v>
      </c>
      <c r="L21" s="37">
        <v>3</v>
      </c>
      <c r="M21" s="37">
        <v>3</v>
      </c>
      <c r="N21" s="37">
        <v>3</v>
      </c>
      <c r="O21" s="37">
        <v>3</v>
      </c>
      <c r="P21" s="37">
        <v>3</v>
      </c>
      <c r="Q21" s="37">
        <v>3</v>
      </c>
      <c r="R21" s="37">
        <v>3</v>
      </c>
      <c r="S21" s="37">
        <v>3</v>
      </c>
      <c r="T21" s="37">
        <v>3</v>
      </c>
      <c r="U21" s="37">
        <v>3</v>
      </c>
      <c r="V21" s="37">
        <v>3</v>
      </c>
      <c r="W21" s="37">
        <v>3</v>
      </c>
      <c r="X21" s="37">
        <v>3</v>
      </c>
      <c r="Y21" s="37">
        <v>3</v>
      </c>
      <c r="Z21" s="37">
        <v>3</v>
      </c>
      <c r="AA21" s="37">
        <v>3</v>
      </c>
      <c r="AB21" s="37">
        <v>3</v>
      </c>
      <c r="AC21" s="37">
        <v>3</v>
      </c>
      <c r="AD21" s="37">
        <v>3</v>
      </c>
      <c r="AE21" s="37">
        <v>3</v>
      </c>
      <c r="AF21" s="37">
        <v>3</v>
      </c>
      <c r="AG21" s="37">
        <v>3</v>
      </c>
      <c r="AH21" s="37">
        <v>3</v>
      </c>
      <c r="AI21" s="37">
        <v>3</v>
      </c>
      <c r="AJ21" s="37">
        <v>3</v>
      </c>
    </row>
    <row r="22" spans="3:36" ht="18.75" x14ac:dyDescent="0.3">
      <c r="C22" s="181" t="s">
        <v>103</v>
      </c>
      <c r="D22" s="181"/>
      <c r="E22" s="36"/>
      <c r="F22" s="37">
        <f>SUM(F12,F13,F14,F15,F17)</f>
        <v>4</v>
      </c>
      <c r="G22" s="37">
        <f t="shared" ref="G22:AI22" si="13">SUM(G12,G13,G14,G15,G17)</f>
        <v>4</v>
      </c>
      <c r="H22" s="37">
        <f t="shared" si="13"/>
        <v>4</v>
      </c>
      <c r="I22" s="37">
        <f t="shared" si="13"/>
        <v>3</v>
      </c>
      <c r="J22" s="37">
        <f t="shared" si="13"/>
        <v>3</v>
      </c>
      <c r="K22" s="37">
        <f t="shared" si="13"/>
        <v>3</v>
      </c>
      <c r="L22" s="37">
        <f t="shared" si="13"/>
        <v>3</v>
      </c>
      <c r="M22" s="37">
        <f t="shared" si="13"/>
        <v>4</v>
      </c>
      <c r="N22" s="37">
        <f t="shared" si="13"/>
        <v>5</v>
      </c>
      <c r="O22" s="37">
        <f t="shared" si="13"/>
        <v>5</v>
      </c>
      <c r="P22" s="37">
        <f t="shared" si="13"/>
        <v>4</v>
      </c>
      <c r="Q22" s="37">
        <f t="shared" si="13"/>
        <v>4</v>
      </c>
      <c r="R22" s="37">
        <f t="shared" si="13"/>
        <v>4</v>
      </c>
      <c r="S22" s="37">
        <f t="shared" si="13"/>
        <v>4</v>
      </c>
      <c r="T22" s="37">
        <f t="shared" si="13"/>
        <v>4</v>
      </c>
      <c r="U22" s="37">
        <f t="shared" si="13"/>
        <v>5</v>
      </c>
      <c r="V22" s="37">
        <f t="shared" si="13"/>
        <v>4</v>
      </c>
      <c r="W22" s="37">
        <f t="shared" si="13"/>
        <v>3</v>
      </c>
      <c r="X22" s="37">
        <f t="shared" si="13"/>
        <v>3</v>
      </c>
      <c r="Y22" s="37">
        <f t="shared" si="13"/>
        <v>3</v>
      </c>
      <c r="Z22" s="37">
        <f t="shared" si="13"/>
        <v>3</v>
      </c>
      <c r="AA22" s="37">
        <f t="shared" si="13"/>
        <v>3</v>
      </c>
      <c r="AB22" s="37">
        <f t="shared" si="13"/>
        <v>4</v>
      </c>
      <c r="AC22" s="37">
        <f t="shared" si="13"/>
        <v>4</v>
      </c>
      <c r="AD22" s="37">
        <f t="shared" si="13"/>
        <v>3</v>
      </c>
      <c r="AE22" s="37">
        <f t="shared" si="13"/>
        <v>3</v>
      </c>
      <c r="AF22" s="37">
        <f t="shared" si="13"/>
        <v>3</v>
      </c>
      <c r="AG22" s="37">
        <f t="shared" si="13"/>
        <v>3</v>
      </c>
      <c r="AH22" s="37">
        <f t="shared" si="13"/>
        <v>3</v>
      </c>
      <c r="AI22" s="37">
        <f t="shared" si="13"/>
        <v>4</v>
      </c>
      <c r="AJ22" s="37">
        <v>35</v>
      </c>
    </row>
    <row r="23" spans="3:36" ht="16.5" thickBot="1" x14ac:dyDescent="0.3"/>
    <row r="24" spans="3:36" ht="16.5" thickBot="1" x14ac:dyDescent="0.3">
      <c r="F24" s="222" t="s">
        <v>232</v>
      </c>
      <c r="G24" s="223"/>
      <c r="H24" s="223"/>
      <c r="I24" s="223"/>
      <c r="J24" s="223"/>
      <c r="K24" s="224"/>
    </row>
    <row r="25" spans="3:36" x14ac:dyDescent="0.25">
      <c r="F25" s="70" t="s">
        <v>142</v>
      </c>
      <c r="G25" s="216" t="s">
        <v>228</v>
      </c>
      <c r="H25" s="217"/>
      <c r="I25" s="83" t="s">
        <v>94</v>
      </c>
      <c r="J25" s="84" t="s">
        <v>94</v>
      </c>
      <c r="K25" s="85"/>
    </row>
    <row r="26" spans="3:36" x14ac:dyDescent="0.25">
      <c r="F26" s="71" t="s">
        <v>229</v>
      </c>
      <c r="G26" s="218" t="s">
        <v>262</v>
      </c>
      <c r="H26" s="219"/>
      <c r="I26" s="83" t="s">
        <v>239</v>
      </c>
      <c r="J26" s="195" t="s">
        <v>241</v>
      </c>
      <c r="K26" s="202"/>
    </row>
    <row r="27" spans="3:36" x14ac:dyDescent="0.25">
      <c r="F27" s="72" t="s">
        <v>230</v>
      </c>
      <c r="G27" s="203" t="s">
        <v>263</v>
      </c>
      <c r="H27" s="220"/>
      <c r="I27" s="86" t="s">
        <v>235</v>
      </c>
      <c r="J27" s="225" t="s">
        <v>242</v>
      </c>
      <c r="K27" s="226"/>
    </row>
    <row r="28" spans="3:36" x14ac:dyDescent="0.25">
      <c r="F28" s="73" t="s">
        <v>254</v>
      </c>
      <c r="G28" s="205" t="s">
        <v>264</v>
      </c>
      <c r="H28" s="221"/>
      <c r="I28" s="26"/>
      <c r="J28" s="227"/>
      <c r="K28" s="228"/>
    </row>
    <row r="29" spans="3:36" x14ac:dyDescent="0.25">
      <c r="F29" s="74" t="s">
        <v>144</v>
      </c>
      <c r="G29" s="189" t="s">
        <v>234</v>
      </c>
      <c r="H29" s="212"/>
      <c r="I29" s="19"/>
      <c r="J29" s="207"/>
      <c r="K29" s="208"/>
    </row>
    <row r="30" spans="3:36" ht="16.5" thickBot="1" x14ac:dyDescent="0.3">
      <c r="F30" s="81"/>
      <c r="G30" s="213" t="s">
        <v>233</v>
      </c>
      <c r="H30" s="214"/>
      <c r="I30" s="82"/>
      <c r="J30" s="209"/>
      <c r="K30" s="210"/>
    </row>
    <row r="31" spans="3:36" x14ac:dyDescent="0.25">
      <c r="F31" s="80"/>
      <c r="G31" s="215"/>
      <c r="H31" s="215"/>
      <c r="I31" s="69"/>
      <c r="J31" s="211"/>
      <c r="K31" s="211"/>
    </row>
    <row r="32" spans="3:36" x14ac:dyDescent="0.25">
      <c r="F32" s="69"/>
      <c r="G32" s="211"/>
      <c r="H32" s="211"/>
      <c r="I32" s="69"/>
      <c r="J32" s="69"/>
      <c r="K32" s="69"/>
    </row>
    <row r="33" spans="6:11" x14ac:dyDescent="0.25">
      <c r="F33" s="69"/>
      <c r="G33" s="211"/>
      <c r="H33" s="211"/>
      <c r="I33" s="69"/>
      <c r="J33" s="69"/>
      <c r="K33" s="69"/>
    </row>
  </sheetData>
  <mergeCells count="40">
    <mergeCell ref="C22:D22"/>
    <mergeCell ref="C15:D15"/>
    <mergeCell ref="C16:D16"/>
    <mergeCell ref="C17:D17"/>
    <mergeCell ref="C18:D18"/>
    <mergeCell ref="C20:D20"/>
    <mergeCell ref="C12:D12"/>
    <mergeCell ref="C13:D13"/>
    <mergeCell ref="C14:D14"/>
    <mergeCell ref="C21:D21"/>
    <mergeCell ref="C9:D9"/>
    <mergeCell ref="C10:D10"/>
    <mergeCell ref="B3:D4"/>
    <mergeCell ref="C5:D5"/>
    <mergeCell ref="C6:D6"/>
    <mergeCell ref="C7:D7"/>
    <mergeCell ref="C8:D8"/>
    <mergeCell ref="F24:K24"/>
    <mergeCell ref="J26:K26"/>
    <mergeCell ref="J27:K27"/>
    <mergeCell ref="J28:K28"/>
    <mergeCell ref="AP2:AP4"/>
    <mergeCell ref="F2:AJ2"/>
    <mergeCell ref="AL2:AL4"/>
    <mergeCell ref="AM2:AM4"/>
    <mergeCell ref="AN2:AN4"/>
    <mergeCell ref="AO2:AO4"/>
    <mergeCell ref="F19:AJ19"/>
    <mergeCell ref="G32:H32"/>
    <mergeCell ref="G33:H33"/>
    <mergeCell ref="G25:H25"/>
    <mergeCell ref="G26:H26"/>
    <mergeCell ref="G27:H27"/>
    <mergeCell ref="G28:H28"/>
    <mergeCell ref="J29:K29"/>
    <mergeCell ref="J30:K30"/>
    <mergeCell ref="J31:K31"/>
    <mergeCell ref="G29:H29"/>
    <mergeCell ref="G30:H30"/>
    <mergeCell ref="G31:H31"/>
  </mergeCells>
  <phoneticPr fontId="14" type="noConversion"/>
  <conditionalFormatting sqref="F5:AJ10">
    <cfRule type="containsText" dxfId="149" priority="1" operator="containsText" text="LV">
      <formula>NOT(ISERROR(SEARCH("LV",F5)))</formula>
    </cfRule>
    <cfRule type="containsText" dxfId="148" priority="2" operator="containsText" text="STNN21">
      <formula>NOT(ISERROR(SEARCH("STNN21",F5)))</formula>
    </cfRule>
    <cfRule type="containsText" dxfId="147" priority="3" operator="containsText" text="STAN13">
      <formula>NOT(ISERROR(SEARCH("STAN13",F5)))</formula>
    </cfRule>
    <cfRule type="containsText" dxfId="146" priority="4" operator="containsText" text="STMN06">
      <formula>NOT(ISERROR(SEARCH("STMN06",F5)))</formula>
    </cfRule>
    <cfRule type="containsText" dxfId="145" priority="5" operator="containsText" text="MN12">
      <formula>NOT(ISERROR(SEARCH("MN12",F5)))</formula>
    </cfRule>
    <cfRule type="containsText" dxfId="144" priority="6" operator="containsText" text="TR">
      <formula>NOT(ISERROR(SEARCH("TR",F5)))</formula>
    </cfRule>
    <cfRule type="containsText" dxfId="143" priority="7" operator="containsText" text="OFF">
      <formula>NOT(ISERROR(SEARCH("OFF",F5)))</formula>
    </cfRule>
    <cfRule type="containsText" dxfId="142" priority="8" operator="containsText" text="NN21">
      <formula>NOT(ISERROR(SEARCH("NN21",F5)))</formula>
    </cfRule>
    <cfRule type="containsText" dxfId="141" priority="9" operator="containsText" text="AN13">
      <formula>NOT(ISERROR(SEARCH("AN13",F5)))</formula>
    </cfRule>
    <cfRule type="containsText" dxfId="140" priority="10" operator="containsText" text="MN06">
      <formula>NOT(ISERROR(SEARCH("MN06",F5)))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8388-A934-4D6C-ABDC-0A7DACECE108}">
  <dimension ref="B2:AP40"/>
  <sheetViews>
    <sheetView zoomScale="90" zoomScaleNormal="9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K14" sqref="K14"/>
    </sheetView>
  </sheetViews>
  <sheetFormatPr defaultRowHeight="15.75" x14ac:dyDescent="0.25"/>
  <cols>
    <col min="1" max="1" width="3.42578125" style="18" customWidth="1"/>
    <col min="2" max="2" width="5.5703125" style="18" customWidth="1"/>
    <col min="3" max="3" width="12.85546875" style="18" customWidth="1"/>
    <col min="4" max="4" width="27.425781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42" t="s">
        <v>265</v>
      </c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  <c r="AA2" s="242"/>
      <c r="AB2" s="242"/>
      <c r="AC2" s="242"/>
      <c r="AD2" s="242"/>
      <c r="AE2" s="242"/>
      <c r="AF2" s="242"/>
      <c r="AG2" s="242"/>
      <c r="AH2" s="242"/>
      <c r="AI2" s="242"/>
      <c r="AJ2" s="242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.75" thickBot="1" x14ac:dyDescent="0.3">
      <c r="B3" s="236" t="s">
        <v>105</v>
      </c>
      <c r="C3" s="237"/>
      <c r="D3" s="238"/>
      <c r="F3" s="121" t="s">
        <v>98</v>
      </c>
      <c r="G3" s="122" t="s">
        <v>99</v>
      </c>
      <c r="H3" s="122" t="s">
        <v>100</v>
      </c>
      <c r="I3" s="121" t="s">
        <v>101</v>
      </c>
      <c r="J3" s="122" t="s">
        <v>95</v>
      </c>
      <c r="K3" s="122" t="s">
        <v>96</v>
      </c>
      <c r="L3" s="121" t="s">
        <v>97</v>
      </c>
      <c r="M3" s="122" t="s">
        <v>98</v>
      </c>
      <c r="N3" s="122" t="s">
        <v>99</v>
      </c>
      <c r="O3" s="121" t="s">
        <v>100</v>
      </c>
      <c r="P3" s="122" t="s">
        <v>101</v>
      </c>
      <c r="Q3" s="122" t="s">
        <v>95</v>
      </c>
      <c r="R3" s="121" t="s">
        <v>96</v>
      </c>
      <c r="S3" s="122" t="s">
        <v>97</v>
      </c>
      <c r="T3" s="122" t="s">
        <v>98</v>
      </c>
      <c r="U3" s="121" t="s">
        <v>99</v>
      </c>
      <c r="V3" s="122" t="s">
        <v>100</v>
      </c>
      <c r="W3" s="122" t="s">
        <v>101</v>
      </c>
      <c r="X3" s="121" t="s">
        <v>95</v>
      </c>
      <c r="Y3" s="122" t="s">
        <v>96</v>
      </c>
      <c r="Z3" s="122" t="s">
        <v>97</v>
      </c>
      <c r="AA3" s="121" t="s">
        <v>98</v>
      </c>
      <c r="AB3" s="122" t="s">
        <v>99</v>
      </c>
      <c r="AC3" s="122" t="s">
        <v>100</v>
      </c>
      <c r="AD3" s="121" t="s">
        <v>101</v>
      </c>
      <c r="AE3" s="122" t="s">
        <v>95</v>
      </c>
      <c r="AF3" s="122" t="s">
        <v>96</v>
      </c>
      <c r="AG3" s="121" t="s">
        <v>97</v>
      </c>
      <c r="AH3" s="122" t="s">
        <v>98</v>
      </c>
      <c r="AI3" s="122" t="s">
        <v>99</v>
      </c>
      <c r="AJ3" s="121" t="s">
        <v>100</v>
      </c>
      <c r="AL3" s="143"/>
      <c r="AM3" s="143"/>
      <c r="AN3" s="143"/>
      <c r="AO3" s="143"/>
      <c r="AP3" s="143"/>
    </row>
    <row r="4" spans="2:42" ht="19.5" customHeight="1" thickBot="1" x14ac:dyDescent="0.3">
      <c r="B4" s="239"/>
      <c r="C4" s="240"/>
      <c r="D4" s="241"/>
      <c r="F4" s="118">
        <v>1</v>
      </c>
      <c r="G4" s="119">
        <v>2</v>
      </c>
      <c r="H4" s="119">
        <v>3</v>
      </c>
      <c r="I4" s="119">
        <v>4</v>
      </c>
      <c r="J4" s="119">
        <v>5</v>
      </c>
      <c r="K4" s="119">
        <v>6</v>
      </c>
      <c r="L4" s="119">
        <v>7</v>
      </c>
      <c r="M4" s="119">
        <v>8</v>
      </c>
      <c r="N4" s="119">
        <v>9</v>
      </c>
      <c r="O4" s="119">
        <v>10</v>
      </c>
      <c r="P4" s="119">
        <v>11</v>
      </c>
      <c r="Q4" s="119">
        <v>12</v>
      </c>
      <c r="R4" s="119">
        <v>13</v>
      </c>
      <c r="S4" s="119">
        <v>14</v>
      </c>
      <c r="T4" s="119">
        <v>15</v>
      </c>
      <c r="U4" s="119">
        <v>16</v>
      </c>
      <c r="V4" s="119">
        <v>17</v>
      </c>
      <c r="W4" s="119">
        <v>18</v>
      </c>
      <c r="X4" s="119">
        <v>19</v>
      </c>
      <c r="Y4" s="119">
        <v>20</v>
      </c>
      <c r="Z4" s="119">
        <v>21</v>
      </c>
      <c r="AA4" s="119">
        <v>22</v>
      </c>
      <c r="AB4" s="119">
        <v>23</v>
      </c>
      <c r="AC4" s="119">
        <v>24</v>
      </c>
      <c r="AD4" s="119">
        <v>25</v>
      </c>
      <c r="AE4" s="119">
        <v>26</v>
      </c>
      <c r="AF4" s="119">
        <v>27</v>
      </c>
      <c r="AG4" s="119">
        <v>28</v>
      </c>
      <c r="AH4" s="119">
        <v>29</v>
      </c>
      <c r="AI4" s="119">
        <v>30</v>
      </c>
      <c r="AJ4" s="120">
        <v>31</v>
      </c>
      <c r="AL4" s="144"/>
      <c r="AM4" s="144"/>
      <c r="AN4" s="144"/>
      <c r="AO4" s="144"/>
      <c r="AP4" s="144"/>
    </row>
    <row r="5" spans="2:42" ht="18.75" x14ac:dyDescent="0.25">
      <c r="B5" s="66">
        <v>1</v>
      </c>
      <c r="C5" s="243" t="s">
        <v>225</v>
      </c>
      <c r="D5" s="244"/>
      <c r="F5" s="44" t="s">
        <v>257</v>
      </c>
      <c r="G5" s="44" t="s">
        <v>257</v>
      </c>
      <c r="H5" s="44" t="s">
        <v>257</v>
      </c>
      <c r="I5" s="105" t="s">
        <v>253</v>
      </c>
      <c r="J5" s="105" t="s">
        <v>229</v>
      </c>
      <c r="K5" s="44" t="s">
        <v>230</v>
      </c>
      <c r="L5" s="44" t="s">
        <v>230</v>
      </c>
      <c r="M5" s="44" t="s">
        <v>254</v>
      </c>
      <c r="N5" s="44" t="s">
        <v>257</v>
      </c>
      <c r="O5" s="44" t="s">
        <v>257</v>
      </c>
      <c r="P5" s="44" t="s">
        <v>257</v>
      </c>
      <c r="Q5" s="105" t="s">
        <v>229</v>
      </c>
      <c r="R5" s="44" t="s">
        <v>230</v>
      </c>
      <c r="S5" s="44" t="s">
        <v>144</v>
      </c>
      <c r="T5" s="44" t="s">
        <v>255</v>
      </c>
      <c r="U5" s="44" t="s">
        <v>254</v>
      </c>
      <c r="V5" s="44" t="s">
        <v>257</v>
      </c>
      <c r="W5" s="44" t="s">
        <v>257</v>
      </c>
      <c r="X5" s="44" t="s">
        <v>257</v>
      </c>
      <c r="Y5" s="110" t="s">
        <v>229</v>
      </c>
      <c r="Z5" s="105" t="s">
        <v>253</v>
      </c>
      <c r="AA5" s="44" t="s">
        <v>229</v>
      </c>
      <c r="AB5" s="44" t="s">
        <v>230</v>
      </c>
      <c r="AC5" s="44" t="s">
        <v>254</v>
      </c>
      <c r="AD5" s="44" t="s">
        <v>257</v>
      </c>
      <c r="AE5" s="44" t="s">
        <v>257</v>
      </c>
      <c r="AF5" s="44" t="s">
        <v>257</v>
      </c>
      <c r="AG5" s="105" t="s">
        <v>229</v>
      </c>
      <c r="AH5" s="105" t="s">
        <v>229</v>
      </c>
      <c r="AI5" s="44" t="s">
        <v>230</v>
      </c>
      <c r="AJ5" s="44" t="s">
        <v>256</v>
      </c>
      <c r="AL5" s="50">
        <f>COUNTIF($F5:$AJ5,"ST*")</f>
        <v>4</v>
      </c>
      <c r="AM5" s="50">
        <f>COUNTIF($F5:$AJ5,"M*")</f>
        <v>6</v>
      </c>
      <c r="AN5" s="50">
        <f>COUNTIF($F5:$AJ5,"A*")</f>
        <v>5</v>
      </c>
      <c r="AO5" s="50">
        <f>COUNTIF($F5:$AJ5,"N*")</f>
        <v>3</v>
      </c>
      <c r="AP5" s="50">
        <f>COUNTIF($F5:$AJ5,"O*")</f>
        <v>12</v>
      </c>
    </row>
    <row r="6" spans="2:42" ht="18.75" x14ac:dyDescent="0.25">
      <c r="B6" s="58">
        <v>2</v>
      </c>
      <c r="C6" s="145" t="s">
        <v>214</v>
      </c>
      <c r="D6" s="232"/>
      <c r="F6" s="51" t="s">
        <v>257</v>
      </c>
      <c r="G6" s="51" t="s">
        <v>257</v>
      </c>
      <c r="H6" s="56" t="s">
        <v>253</v>
      </c>
      <c r="I6" s="56" t="s">
        <v>230</v>
      </c>
      <c r="J6" s="56" t="s">
        <v>230</v>
      </c>
      <c r="K6" s="56" t="s">
        <v>144</v>
      </c>
      <c r="L6" s="56" t="s">
        <v>254</v>
      </c>
      <c r="M6" s="51" t="s">
        <v>257</v>
      </c>
      <c r="N6" s="51" t="s">
        <v>257</v>
      </c>
      <c r="O6" s="51" t="s">
        <v>257</v>
      </c>
      <c r="P6" s="56" t="s">
        <v>229</v>
      </c>
      <c r="Q6" s="51" t="s">
        <v>253</v>
      </c>
      <c r="R6" s="51" t="s">
        <v>230</v>
      </c>
      <c r="S6" s="51" t="s">
        <v>230</v>
      </c>
      <c r="T6" s="51" t="s">
        <v>254</v>
      </c>
      <c r="U6" s="51" t="s">
        <v>257</v>
      </c>
      <c r="V6" s="51" t="s">
        <v>257</v>
      </c>
      <c r="W6" s="51" t="s">
        <v>257</v>
      </c>
      <c r="X6" s="56" t="s">
        <v>229</v>
      </c>
      <c r="Y6" s="51" t="s">
        <v>255</v>
      </c>
      <c r="Z6" s="51" t="s">
        <v>230</v>
      </c>
      <c r="AA6" s="51" t="s">
        <v>256</v>
      </c>
      <c r="AB6" s="51" t="s">
        <v>254</v>
      </c>
      <c r="AC6" s="51" t="s">
        <v>257</v>
      </c>
      <c r="AD6" s="51" t="s">
        <v>257</v>
      </c>
      <c r="AE6" s="51" t="s">
        <v>257</v>
      </c>
      <c r="AF6" s="56" t="s">
        <v>229</v>
      </c>
      <c r="AG6" s="56" t="s">
        <v>253</v>
      </c>
      <c r="AH6" s="56" t="s">
        <v>230</v>
      </c>
      <c r="AI6" s="56" t="s">
        <v>255</v>
      </c>
      <c r="AJ6" s="56" t="s">
        <v>254</v>
      </c>
      <c r="AL6" s="50">
        <f t="shared" ref="AL6:AL19" si="0">COUNTIF($F6:$AJ6,"ST*")</f>
        <v>6</v>
      </c>
      <c r="AM6" s="50">
        <f t="shared" ref="AM6:AM19" si="1">COUNTIF($F6:$AJ6,"M*")</f>
        <v>3</v>
      </c>
      <c r="AN6" s="50">
        <f t="shared" ref="AN6:AN19" si="2">COUNTIF($F6:$AJ6,"A*")</f>
        <v>6</v>
      </c>
      <c r="AO6" s="50">
        <f t="shared" ref="AO6:AO19" si="3">COUNTIF($F6:$AJ6,"N*")</f>
        <v>4</v>
      </c>
      <c r="AP6" s="50">
        <f t="shared" ref="AP6:AP19" si="4">COUNTIF($F6:$AJ6,"O*")</f>
        <v>11</v>
      </c>
    </row>
    <row r="7" spans="2:42" ht="18.75" x14ac:dyDescent="0.25">
      <c r="B7" s="58">
        <v>3</v>
      </c>
      <c r="C7" s="145" t="s">
        <v>215</v>
      </c>
      <c r="D7" s="232"/>
      <c r="F7" s="51" t="s">
        <v>257</v>
      </c>
      <c r="G7" s="56" t="s">
        <v>253</v>
      </c>
      <c r="H7" s="98" t="s">
        <v>230</v>
      </c>
      <c r="I7" s="51" t="s">
        <v>255</v>
      </c>
      <c r="J7" s="51" t="s">
        <v>230</v>
      </c>
      <c r="K7" s="51" t="s">
        <v>254</v>
      </c>
      <c r="L7" s="51" t="s">
        <v>257</v>
      </c>
      <c r="M7" s="51" t="s">
        <v>257</v>
      </c>
      <c r="N7" s="51" t="s">
        <v>257</v>
      </c>
      <c r="O7" s="56" t="s">
        <v>253</v>
      </c>
      <c r="P7" s="98" t="s">
        <v>229</v>
      </c>
      <c r="Q7" s="51" t="s">
        <v>230</v>
      </c>
      <c r="R7" s="51" t="s">
        <v>254</v>
      </c>
      <c r="S7" s="51" t="s">
        <v>254</v>
      </c>
      <c r="T7" s="51" t="s">
        <v>257</v>
      </c>
      <c r="U7" s="51" t="s">
        <v>257</v>
      </c>
      <c r="V7" s="51" t="s">
        <v>257</v>
      </c>
      <c r="W7" s="56" t="s">
        <v>229</v>
      </c>
      <c r="X7" s="98" t="s">
        <v>229</v>
      </c>
      <c r="Y7" s="51" t="s">
        <v>230</v>
      </c>
      <c r="Z7" s="51" t="s">
        <v>256</v>
      </c>
      <c r="AA7" s="51" t="s">
        <v>254</v>
      </c>
      <c r="AB7" s="51" t="s">
        <v>257</v>
      </c>
      <c r="AC7" s="51" t="s">
        <v>257</v>
      </c>
      <c r="AD7" s="51" t="s">
        <v>257</v>
      </c>
      <c r="AE7" s="56" t="s">
        <v>229</v>
      </c>
      <c r="AF7" s="98" t="s">
        <v>253</v>
      </c>
      <c r="AG7" s="51" t="s">
        <v>230</v>
      </c>
      <c r="AH7" s="51" t="s">
        <v>255</v>
      </c>
      <c r="AI7" s="51" t="s">
        <v>254</v>
      </c>
      <c r="AJ7" s="51" t="s">
        <v>257</v>
      </c>
      <c r="AL7" s="50">
        <f t="shared" si="0"/>
        <v>6</v>
      </c>
      <c r="AM7" s="50">
        <f t="shared" si="1"/>
        <v>4</v>
      </c>
      <c r="AN7" s="50">
        <f t="shared" si="2"/>
        <v>5</v>
      </c>
      <c r="AO7" s="50">
        <f t="shared" si="3"/>
        <v>5</v>
      </c>
      <c r="AP7" s="50">
        <f t="shared" si="4"/>
        <v>11</v>
      </c>
    </row>
    <row r="8" spans="2:42" ht="18.75" x14ac:dyDescent="0.25">
      <c r="B8" s="58">
        <v>4</v>
      </c>
      <c r="C8" s="145" t="s">
        <v>216</v>
      </c>
      <c r="D8" s="232"/>
      <c r="F8" s="56" t="s">
        <v>229</v>
      </c>
      <c r="G8" s="98" t="s">
        <v>229</v>
      </c>
      <c r="H8" s="51" t="s">
        <v>255</v>
      </c>
      <c r="I8" s="51" t="s">
        <v>254</v>
      </c>
      <c r="J8" s="51" t="s">
        <v>254</v>
      </c>
      <c r="K8" s="51" t="s">
        <v>257</v>
      </c>
      <c r="L8" s="51" t="s">
        <v>257</v>
      </c>
      <c r="M8" s="51" t="s">
        <v>257</v>
      </c>
      <c r="N8" s="56" t="s">
        <v>229</v>
      </c>
      <c r="O8" s="98" t="s">
        <v>230</v>
      </c>
      <c r="P8" s="51" t="s">
        <v>230</v>
      </c>
      <c r="Q8" s="51" t="s">
        <v>254</v>
      </c>
      <c r="R8" s="51" t="s">
        <v>229</v>
      </c>
      <c r="S8" s="51" t="s">
        <v>257</v>
      </c>
      <c r="T8" s="51" t="s">
        <v>257</v>
      </c>
      <c r="U8" s="51" t="s">
        <v>257</v>
      </c>
      <c r="V8" s="51" t="s">
        <v>229</v>
      </c>
      <c r="W8" s="98" t="s">
        <v>255</v>
      </c>
      <c r="X8" s="51" t="s">
        <v>230</v>
      </c>
      <c r="Y8" s="51" t="s">
        <v>256</v>
      </c>
      <c r="Z8" s="51" t="s">
        <v>254</v>
      </c>
      <c r="AA8" s="51" t="s">
        <v>257</v>
      </c>
      <c r="AB8" s="51" t="s">
        <v>257</v>
      </c>
      <c r="AC8" s="51" t="s">
        <v>257</v>
      </c>
      <c r="AD8" s="56" t="s">
        <v>229</v>
      </c>
      <c r="AE8" s="98" t="s">
        <v>253</v>
      </c>
      <c r="AF8" s="51" t="s">
        <v>230</v>
      </c>
      <c r="AG8" s="51" t="s">
        <v>255</v>
      </c>
      <c r="AH8" s="51" t="s">
        <v>254</v>
      </c>
      <c r="AI8" s="51" t="s">
        <v>257</v>
      </c>
      <c r="AJ8" s="51" t="s">
        <v>257</v>
      </c>
      <c r="AL8" s="50">
        <f t="shared" si="0"/>
        <v>5</v>
      </c>
      <c r="AM8" s="50">
        <f t="shared" si="1"/>
        <v>6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58">
        <v>5</v>
      </c>
      <c r="C9" s="145" t="s">
        <v>217</v>
      </c>
      <c r="D9" s="232"/>
      <c r="F9" s="98" t="s">
        <v>229</v>
      </c>
      <c r="G9" s="51" t="s">
        <v>255</v>
      </c>
      <c r="H9" s="51" t="s">
        <v>254</v>
      </c>
      <c r="I9" s="51" t="s">
        <v>254</v>
      </c>
      <c r="J9" s="51" t="s">
        <v>257</v>
      </c>
      <c r="K9" s="51" t="s">
        <v>257</v>
      </c>
      <c r="L9" s="51" t="s">
        <v>257</v>
      </c>
      <c r="M9" s="56" t="s">
        <v>229</v>
      </c>
      <c r="N9" s="98" t="s">
        <v>230</v>
      </c>
      <c r="O9" s="51" t="s">
        <v>230</v>
      </c>
      <c r="P9" s="51" t="s">
        <v>254</v>
      </c>
      <c r="Q9" s="51" t="s">
        <v>254</v>
      </c>
      <c r="R9" s="51" t="s">
        <v>257</v>
      </c>
      <c r="S9" s="51" t="s">
        <v>257</v>
      </c>
      <c r="T9" s="51" t="s">
        <v>257</v>
      </c>
      <c r="U9" s="56" t="s">
        <v>229</v>
      </c>
      <c r="V9" s="98" t="s">
        <v>253</v>
      </c>
      <c r="W9" s="51" t="s">
        <v>230</v>
      </c>
      <c r="X9" s="51" t="s">
        <v>255</v>
      </c>
      <c r="Y9" s="51" t="s">
        <v>254</v>
      </c>
      <c r="Z9" s="51" t="s">
        <v>257</v>
      </c>
      <c r="AA9" s="51" t="s">
        <v>257</v>
      </c>
      <c r="AB9" s="51" t="s">
        <v>257</v>
      </c>
      <c r="AC9" s="56" t="s">
        <v>229</v>
      </c>
      <c r="AD9" s="98" t="s">
        <v>230</v>
      </c>
      <c r="AE9" s="51" t="s">
        <v>230</v>
      </c>
      <c r="AF9" s="51" t="s">
        <v>254</v>
      </c>
      <c r="AG9" s="51" t="s">
        <v>254</v>
      </c>
      <c r="AH9" s="51" t="s">
        <v>257</v>
      </c>
      <c r="AI9" s="51" t="s">
        <v>257</v>
      </c>
      <c r="AJ9" s="51" t="s">
        <v>257</v>
      </c>
      <c r="AL9" s="50">
        <f t="shared" si="0"/>
        <v>3</v>
      </c>
      <c r="AM9" s="50">
        <f t="shared" si="1"/>
        <v>4</v>
      </c>
      <c r="AN9" s="50">
        <f t="shared" si="2"/>
        <v>5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58">
        <v>6</v>
      </c>
      <c r="C10" s="145" t="s">
        <v>218</v>
      </c>
      <c r="D10" s="232"/>
      <c r="F10" s="51" t="s">
        <v>230</v>
      </c>
      <c r="G10" s="51" t="s">
        <v>230</v>
      </c>
      <c r="H10" s="51" t="s">
        <v>254</v>
      </c>
      <c r="I10" s="51" t="s">
        <v>257</v>
      </c>
      <c r="J10" s="51" t="s">
        <v>257</v>
      </c>
      <c r="K10" s="51" t="s">
        <v>257</v>
      </c>
      <c r="L10" s="98" t="s">
        <v>229</v>
      </c>
      <c r="M10" s="51" t="s">
        <v>229</v>
      </c>
      <c r="N10" s="51" t="s">
        <v>230</v>
      </c>
      <c r="O10" s="51" t="s">
        <v>256</v>
      </c>
      <c r="P10" s="51" t="s">
        <v>254</v>
      </c>
      <c r="Q10" s="51" t="s">
        <v>257</v>
      </c>
      <c r="R10" s="51" t="s">
        <v>257</v>
      </c>
      <c r="S10" s="51" t="s">
        <v>257</v>
      </c>
      <c r="T10" s="56" t="s">
        <v>229</v>
      </c>
      <c r="U10" s="98" t="s">
        <v>253</v>
      </c>
      <c r="V10" s="51" t="s">
        <v>230</v>
      </c>
      <c r="W10" s="51" t="s">
        <v>255</v>
      </c>
      <c r="X10" s="51" t="s">
        <v>254</v>
      </c>
      <c r="Y10" s="51" t="s">
        <v>257</v>
      </c>
      <c r="Z10" s="51" t="s">
        <v>257</v>
      </c>
      <c r="AA10" s="51" t="s">
        <v>257</v>
      </c>
      <c r="AB10" s="98" t="s">
        <v>258</v>
      </c>
      <c r="AC10" s="51" t="s">
        <v>258</v>
      </c>
      <c r="AD10" s="51" t="s">
        <v>258</v>
      </c>
      <c r="AE10" s="51" t="s">
        <v>258</v>
      </c>
      <c r="AF10" s="51" t="s">
        <v>258</v>
      </c>
      <c r="AG10" s="51" t="s">
        <v>258</v>
      </c>
      <c r="AH10" s="51" t="s">
        <v>257</v>
      </c>
      <c r="AI10" s="51" t="s">
        <v>257</v>
      </c>
      <c r="AJ10" s="98" t="s">
        <v>229</v>
      </c>
      <c r="AL10" s="50">
        <f t="shared" si="0"/>
        <v>3</v>
      </c>
      <c r="AM10" s="50">
        <f t="shared" si="1"/>
        <v>4</v>
      </c>
      <c r="AN10" s="50">
        <f t="shared" si="2"/>
        <v>4</v>
      </c>
      <c r="AO10" s="50">
        <f t="shared" si="3"/>
        <v>3</v>
      </c>
      <c r="AP10" s="50">
        <f t="shared" si="4"/>
        <v>11</v>
      </c>
    </row>
    <row r="11" spans="2:42" ht="18.75" x14ac:dyDescent="0.25">
      <c r="B11" s="58">
        <v>7</v>
      </c>
      <c r="C11" s="145" t="s">
        <v>219</v>
      </c>
      <c r="D11" s="232"/>
      <c r="F11" s="51" t="s">
        <v>256</v>
      </c>
      <c r="G11" s="51" t="s">
        <v>254</v>
      </c>
      <c r="H11" s="51" t="s">
        <v>257</v>
      </c>
      <c r="I11" s="51" t="s">
        <v>257</v>
      </c>
      <c r="J11" s="51" t="s">
        <v>257</v>
      </c>
      <c r="K11" s="56" t="s">
        <v>229</v>
      </c>
      <c r="L11" s="56" t="s">
        <v>253</v>
      </c>
      <c r="M11" s="56" t="s">
        <v>230</v>
      </c>
      <c r="N11" s="56" t="s">
        <v>254</v>
      </c>
      <c r="O11" s="56" t="s">
        <v>254</v>
      </c>
      <c r="P11" s="51" t="s">
        <v>257</v>
      </c>
      <c r="Q11" s="51" t="s">
        <v>257</v>
      </c>
      <c r="R11" s="51" t="s">
        <v>257</v>
      </c>
      <c r="S11" s="56" t="s">
        <v>229</v>
      </c>
      <c r="T11" s="98" t="s">
        <v>230</v>
      </c>
      <c r="U11" s="51" t="s">
        <v>255</v>
      </c>
      <c r="V11" s="51" t="s">
        <v>254</v>
      </c>
      <c r="W11" s="51" t="s">
        <v>254</v>
      </c>
      <c r="X11" s="51" t="s">
        <v>257</v>
      </c>
      <c r="Y11" s="51" t="s">
        <v>257</v>
      </c>
      <c r="Z11" s="51" t="s">
        <v>257</v>
      </c>
      <c r="AA11" s="98" t="s">
        <v>258</v>
      </c>
      <c r="AB11" s="51" t="s">
        <v>258</v>
      </c>
      <c r="AC11" s="51" t="s">
        <v>258</v>
      </c>
      <c r="AD11" s="51" t="s">
        <v>258</v>
      </c>
      <c r="AE11" s="51" t="s">
        <v>258</v>
      </c>
      <c r="AF11" s="51" t="s">
        <v>258</v>
      </c>
      <c r="AG11" s="51" t="s">
        <v>257</v>
      </c>
      <c r="AH11" s="51" t="s">
        <v>257</v>
      </c>
      <c r="AI11" s="56" t="s">
        <v>229</v>
      </c>
      <c r="AJ11" s="56" t="s">
        <v>253</v>
      </c>
      <c r="AL11" s="50">
        <f t="shared" si="0"/>
        <v>4</v>
      </c>
      <c r="AM11" s="50">
        <f t="shared" si="1"/>
        <v>3</v>
      </c>
      <c r="AN11" s="50">
        <f t="shared" si="2"/>
        <v>2</v>
      </c>
      <c r="AO11" s="50">
        <f t="shared" si="3"/>
        <v>5</v>
      </c>
      <c r="AP11" s="50">
        <f t="shared" si="4"/>
        <v>11</v>
      </c>
    </row>
    <row r="12" spans="2:42" ht="18.75" x14ac:dyDescent="0.25">
      <c r="B12" s="58">
        <v>8</v>
      </c>
      <c r="C12" s="145" t="s">
        <v>220</v>
      </c>
      <c r="D12" s="232"/>
      <c r="F12" s="56" t="s">
        <v>254</v>
      </c>
      <c r="G12" s="51" t="s">
        <v>257</v>
      </c>
      <c r="H12" s="51" t="s">
        <v>257</v>
      </c>
      <c r="I12" s="51" t="s">
        <v>257</v>
      </c>
      <c r="J12" s="98" t="s">
        <v>258</v>
      </c>
      <c r="K12" s="98" t="s">
        <v>258</v>
      </c>
      <c r="L12" s="51" t="s">
        <v>258</v>
      </c>
      <c r="M12" s="51" t="s">
        <v>258</v>
      </c>
      <c r="N12" s="51" t="s">
        <v>258</v>
      </c>
      <c r="O12" s="51" t="s">
        <v>258</v>
      </c>
      <c r="P12" s="51" t="s">
        <v>257</v>
      </c>
      <c r="Q12" s="51" t="s">
        <v>257</v>
      </c>
      <c r="R12" s="98" t="s">
        <v>229</v>
      </c>
      <c r="S12" s="98" t="s">
        <v>253</v>
      </c>
      <c r="T12" s="51" t="s">
        <v>230</v>
      </c>
      <c r="U12" s="51" t="s">
        <v>256</v>
      </c>
      <c r="V12" s="51" t="s">
        <v>254</v>
      </c>
      <c r="W12" s="51" t="s">
        <v>257</v>
      </c>
      <c r="X12" s="51" t="s">
        <v>257</v>
      </c>
      <c r="Y12" s="51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254</v>
      </c>
      <c r="AE12" s="51" t="s">
        <v>257</v>
      </c>
      <c r="AF12" s="51" t="s">
        <v>257</v>
      </c>
      <c r="AG12" s="51" t="s">
        <v>257</v>
      </c>
      <c r="AH12" s="98" t="s">
        <v>229</v>
      </c>
      <c r="AI12" s="98" t="s">
        <v>253</v>
      </c>
      <c r="AJ12" s="51" t="s">
        <v>230</v>
      </c>
      <c r="AL12" s="50">
        <f t="shared" si="0"/>
        <v>4</v>
      </c>
      <c r="AM12" s="50">
        <f t="shared" si="1"/>
        <v>3</v>
      </c>
      <c r="AN12" s="50">
        <f t="shared" si="2"/>
        <v>4</v>
      </c>
      <c r="AO12" s="50">
        <f t="shared" si="3"/>
        <v>3</v>
      </c>
      <c r="AP12" s="50">
        <f t="shared" si="4"/>
        <v>11</v>
      </c>
    </row>
    <row r="13" spans="2:42" ht="18.75" x14ac:dyDescent="0.25">
      <c r="B13" s="58">
        <v>9</v>
      </c>
      <c r="C13" s="145" t="s">
        <v>221</v>
      </c>
      <c r="D13" s="232"/>
      <c r="F13" s="56" t="s">
        <v>257</v>
      </c>
      <c r="G13" s="56" t="s">
        <v>257</v>
      </c>
      <c r="H13" s="56" t="s">
        <v>257</v>
      </c>
      <c r="I13" s="56" t="s">
        <v>229</v>
      </c>
      <c r="J13" s="56" t="s">
        <v>229</v>
      </c>
      <c r="K13" s="56" t="s">
        <v>230</v>
      </c>
      <c r="L13" s="56" t="s">
        <v>230</v>
      </c>
      <c r="M13" s="56" t="s">
        <v>254</v>
      </c>
      <c r="N13" s="51" t="s">
        <v>257</v>
      </c>
      <c r="O13" s="51" t="s">
        <v>257</v>
      </c>
      <c r="P13" s="51" t="s">
        <v>257</v>
      </c>
      <c r="Q13" s="98" t="s">
        <v>144</v>
      </c>
      <c r="R13" s="98" t="s">
        <v>253</v>
      </c>
      <c r="S13" s="51" t="s">
        <v>230</v>
      </c>
      <c r="T13" s="51" t="s">
        <v>256</v>
      </c>
      <c r="U13" s="51" t="s">
        <v>254</v>
      </c>
      <c r="V13" s="51" t="s">
        <v>257</v>
      </c>
      <c r="W13" s="51" t="s">
        <v>257</v>
      </c>
      <c r="X13" s="51" t="s">
        <v>257</v>
      </c>
      <c r="Y13" s="56" t="s">
        <v>253</v>
      </c>
      <c r="Z13" s="56" t="s">
        <v>229</v>
      </c>
      <c r="AA13" s="56" t="s">
        <v>230</v>
      </c>
      <c r="AB13" s="56" t="s">
        <v>255</v>
      </c>
      <c r="AC13" s="56" t="s">
        <v>254</v>
      </c>
      <c r="AD13" s="56" t="s">
        <v>257</v>
      </c>
      <c r="AE13" s="56" t="s">
        <v>257</v>
      </c>
      <c r="AF13" s="56" t="s">
        <v>257</v>
      </c>
      <c r="AG13" s="56" t="s">
        <v>258</v>
      </c>
      <c r="AH13" s="56" t="s">
        <v>258</v>
      </c>
      <c r="AI13" s="56" t="s">
        <v>258</v>
      </c>
      <c r="AJ13" s="56" t="s">
        <v>258</v>
      </c>
      <c r="AL13" s="50">
        <f t="shared" si="0"/>
        <v>4</v>
      </c>
      <c r="AM13" s="50">
        <f t="shared" si="1"/>
        <v>3</v>
      </c>
      <c r="AN13" s="50">
        <f t="shared" si="2"/>
        <v>4</v>
      </c>
      <c r="AO13" s="50">
        <f t="shared" si="3"/>
        <v>3</v>
      </c>
      <c r="AP13" s="50">
        <f t="shared" si="4"/>
        <v>12</v>
      </c>
    </row>
    <row r="14" spans="2:42" ht="18.75" x14ac:dyDescent="0.25">
      <c r="B14" s="58">
        <v>10</v>
      </c>
      <c r="C14" s="145" t="s">
        <v>145</v>
      </c>
      <c r="D14" s="232"/>
      <c r="F14" s="51" t="s">
        <v>257</v>
      </c>
      <c r="G14" s="51" t="s">
        <v>257</v>
      </c>
      <c r="H14" s="56" t="s">
        <v>229</v>
      </c>
      <c r="I14" s="98" t="s">
        <v>229</v>
      </c>
      <c r="J14" s="51" t="s">
        <v>253</v>
      </c>
      <c r="K14" s="51" t="s">
        <v>144</v>
      </c>
      <c r="L14" s="51" t="s">
        <v>254</v>
      </c>
      <c r="M14" s="51" t="s">
        <v>257</v>
      </c>
      <c r="N14" s="51" t="s">
        <v>257</v>
      </c>
      <c r="O14" s="51" t="s">
        <v>257</v>
      </c>
      <c r="P14" s="56" t="s">
        <v>253</v>
      </c>
      <c r="Q14" s="51" t="s">
        <v>229</v>
      </c>
      <c r="R14" s="51" t="s">
        <v>255</v>
      </c>
      <c r="S14" s="51" t="s">
        <v>254</v>
      </c>
      <c r="T14" s="51" t="s">
        <v>254</v>
      </c>
      <c r="U14" s="51" t="s">
        <v>257</v>
      </c>
      <c r="V14" s="51" t="s">
        <v>257</v>
      </c>
      <c r="W14" s="51" t="s">
        <v>257</v>
      </c>
      <c r="X14" s="56" t="s">
        <v>253</v>
      </c>
      <c r="Y14" s="98" t="s">
        <v>253</v>
      </c>
      <c r="Z14" s="98" t="s">
        <v>230</v>
      </c>
      <c r="AA14" s="51" t="s">
        <v>230</v>
      </c>
      <c r="AB14" s="51" t="s">
        <v>254</v>
      </c>
      <c r="AC14" s="51" t="s">
        <v>257</v>
      </c>
      <c r="AD14" s="51" t="s">
        <v>257</v>
      </c>
      <c r="AE14" s="51" t="s">
        <v>257</v>
      </c>
      <c r="AF14" s="56" t="s">
        <v>229</v>
      </c>
      <c r="AG14" s="98" t="s">
        <v>229</v>
      </c>
      <c r="AH14" s="51" t="s">
        <v>230</v>
      </c>
      <c r="AI14" s="51" t="s">
        <v>230</v>
      </c>
      <c r="AJ14" s="51" t="s">
        <v>254</v>
      </c>
      <c r="AL14" s="50">
        <f t="shared" si="0"/>
        <v>5</v>
      </c>
      <c r="AM14" s="50">
        <f t="shared" si="1"/>
        <v>5</v>
      </c>
      <c r="AN14" s="50">
        <f t="shared" si="2"/>
        <v>4</v>
      </c>
      <c r="AO14" s="50">
        <f t="shared" si="3"/>
        <v>5</v>
      </c>
      <c r="AP14" s="50">
        <f t="shared" si="4"/>
        <v>11</v>
      </c>
    </row>
    <row r="15" spans="2:42" ht="18.75" x14ac:dyDescent="0.25">
      <c r="B15" s="58">
        <v>11</v>
      </c>
      <c r="C15" s="146" t="s">
        <v>147</v>
      </c>
      <c r="D15" s="233"/>
      <c r="F15" s="51" t="s">
        <v>257</v>
      </c>
      <c r="G15" s="56" t="s">
        <v>229</v>
      </c>
      <c r="H15" s="98" t="s">
        <v>229</v>
      </c>
      <c r="I15" s="51" t="s">
        <v>230</v>
      </c>
      <c r="J15" s="51" t="s">
        <v>254</v>
      </c>
      <c r="K15" s="51" t="s">
        <v>254</v>
      </c>
      <c r="L15" s="51" t="s">
        <v>257</v>
      </c>
      <c r="M15" s="51" t="s">
        <v>257</v>
      </c>
      <c r="N15" s="51" t="s">
        <v>257</v>
      </c>
      <c r="O15" s="56" t="s">
        <v>229</v>
      </c>
      <c r="P15" s="98" t="s">
        <v>255</v>
      </c>
      <c r="Q15" s="51" t="s">
        <v>230</v>
      </c>
      <c r="R15" s="51" t="s">
        <v>256</v>
      </c>
      <c r="S15" s="51" t="s">
        <v>144</v>
      </c>
      <c r="T15" s="51" t="s">
        <v>257</v>
      </c>
      <c r="U15" s="51" t="s">
        <v>257</v>
      </c>
      <c r="V15" s="51" t="s">
        <v>257</v>
      </c>
      <c r="W15" s="98" t="s">
        <v>229</v>
      </c>
      <c r="X15" s="98" t="s">
        <v>253</v>
      </c>
      <c r="Y15" s="98" t="s">
        <v>229</v>
      </c>
      <c r="Z15" s="51" t="s">
        <v>255</v>
      </c>
      <c r="AA15" s="51" t="s">
        <v>254</v>
      </c>
      <c r="AB15" s="51" t="s">
        <v>257</v>
      </c>
      <c r="AC15" s="51" t="s">
        <v>257</v>
      </c>
      <c r="AD15" s="51" t="s">
        <v>257</v>
      </c>
      <c r="AE15" s="56" t="s">
        <v>229</v>
      </c>
      <c r="AF15" s="98" t="s">
        <v>255</v>
      </c>
      <c r="AG15" s="51" t="s">
        <v>230</v>
      </c>
      <c r="AH15" s="51" t="s">
        <v>256</v>
      </c>
      <c r="AI15" s="51" t="s">
        <v>254</v>
      </c>
      <c r="AJ15" s="51" t="s">
        <v>257</v>
      </c>
      <c r="AL15" s="50">
        <f t="shared" si="0"/>
        <v>6</v>
      </c>
      <c r="AM15" s="50">
        <f t="shared" si="1"/>
        <v>6</v>
      </c>
      <c r="AN15" s="50">
        <f t="shared" si="2"/>
        <v>3</v>
      </c>
      <c r="AO15" s="50">
        <f t="shared" si="3"/>
        <v>4</v>
      </c>
      <c r="AP15" s="50">
        <f t="shared" si="4"/>
        <v>11</v>
      </c>
    </row>
    <row r="16" spans="2:42" ht="18.75" x14ac:dyDescent="0.25">
      <c r="B16" s="58">
        <v>12</v>
      </c>
      <c r="C16" s="146" t="s">
        <v>170</v>
      </c>
      <c r="D16" s="233"/>
      <c r="F16" s="56" t="s">
        <v>258</v>
      </c>
      <c r="G16" s="98" t="s">
        <v>258</v>
      </c>
      <c r="H16" s="51" t="s">
        <v>230</v>
      </c>
      <c r="I16" s="51" t="s">
        <v>256</v>
      </c>
      <c r="J16" s="51" t="s">
        <v>256</v>
      </c>
      <c r="K16" s="51" t="s">
        <v>257</v>
      </c>
      <c r="L16" s="51" t="s">
        <v>257</v>
      </c>
      <c r="M16" s="51" t="s">
        <v>257</v>
      </c>
      <c r="N16" s="56" t="s">
        <v>229</v>
      </c>
      <c r="O16" s="98" t="s">
        <v>229</v>
      </c>
      <c r="P16" s="51" t="s">
        <v>230</v>
      </c>
      <c r="Q16" s="51" t="s">
        <v>144</v>
      </c>
      <c r="R16" s="51" t="s">
        <v>254</v>
      </c>
      <c r="S16" s="51" t="s">
        <v>257</v>
      </c>
      <c r="T16" s="51" t="s">
        <v>257</v>
      </c>
      <c r="U16" s="51" t="s">
        <v>257</v>
      </c>
      <c r="V16" s="56" t="s">
        <v>229</v>
      </c>
      <c r="W16" s="56" t="s">
        <v>253</v>
      </c>
      <c r="X16" s="56" t="s">
        <v>230</v>
      </c>
      <c r="Y16" s="56" t="s">
        <v>230</v>
      </c>
      <c r="Z16" s="56" t="s">
        <v>254</v>
      </c>
      <c r="AA16" s="51" t="s">
        <v>257</v>
      </c>
      <c r="AB16" s="51" t="s">
        <v>257</v>
      </c>
      <c r="AC16" s="51" t="s">
        <v>257</v>
      </c>
      <c r="AD16" s="56" t="s">
        <v>229</v>
      </c>
      <c r="AE16" s="98" t="s">
        <v>255</v>
      </c>
      <c r="AF16" s="51" t="s">
        <v>230</v>
      </c>
      <c r="AG16" s="51" t="s">
        <v>256</v>
      </c>
      <c r="AH16" s="51" t="s">
        <v>254</v>
      </c>
      <c r="AI16" s="51" t="s">
        <v>257</v>
      </c>
      <c r="AJ16" s="51" t="s">
        <v>257</v>
      </c>
      <c r="AL16" s="50">
        <f t="shared" si="0"/>
        <v>5</v>
      </c>
      <c r="AM16" s="50">
        <f t="shared" si="1"/>
        <v>4</v>
      </c>
      <c r="AN16" s="50">
        <f t="shared" si="2"/>
        <v>5</v>
      </c>
      <c r="AO16" s="50">
        <f t="shared" si="3"/>
        <v>3</v>
      </c>
      <c r="AP16" s="50">
        <f t="shared" si="4"/>
        <v>11</v>
      </c>
    </row>
    <row r="17" spans="2:42" ht="18.75" x14ac:dyDescent="0.25">
      <c r="B17" s="58">
        <v>13</v>
      </c>
      <c r="C17" s="146" t="s">
        <v>222</v>
      </c>
      <c r="D17" s="233"/>
      <c r="F17" s="98" t="s">
        <v>258</v>
      </c>
      <c r="G17" s="98" t="s">
        <v>258</v>
      </c>
      <c r="H17" s="98" t="s">
        <v>258</v>
      </c>
      <c r="I17" s="98" t="s">
        <v>258</v>
      </c>
      <c r="J17" s="98" t="s">
        <v>258</v>
      </c>
      <c r="K17" s="98" t="s">
        <v>258</v>
      </c>
      <c r="L17" s="98" t="s">
        <v>258</v>
      </c>
      <c r="M17" s="98" t="s">
        <v>258</v>
      </c>
      <c r="N17" s="98" t="s">
        <v>258</v>
      </c>
      <c r="O17" s="98" t="s">
        <v>258</v>
      </c>
      <c r="P17" s="98" t="s">
        <v>258</v>
      </c>
      <c r="Q17" s="98" t="s">
        <v>258</v>
      </c>
      <c r="R17" s="98" t="s">
        <v>258</v>
      </c>
      <c r="S17" s="51" t="s">
        <v>257</v>
      </c>
      <c r="T17" s="51" t="s">
        <v>257</v>
      </c>
      <c r="U17" s="56" t="s">
        <v>229</v>
      </c>
      <c r="V17" s="98" t="s">
        <v>255</v>
      </c>
      <c r="W17" s="51" t="s">
        <v>230</v>
      </c>
      <c r="X17" s="51" t="s">
        <v>256</v>
      </c>
      <c r="Y17" s="51" t="s">
        <v>254</v>
      </c>
      <c r="Z17" s="51" t="s">
        <v>257</v>
      </c>
      <c r="AA17" s="51" t="s">
        <v>257</v>
      </c>
      <c r="AB17" s="51" t="s">
        <v>257</v>
      </c>
      <c r="AC17" s="98" t="s">
        <v>229</v>
      </c>
      <c r="AD17" s="98" t="s">
        <v>253</v>
      </c>
      <c r="AE17" s="51" t="s">
        <v>230</v>
      </c>
      <c r="AF17" s="51" t="s">
        <v>256</v>
      </c>
      <c r="AG17" s="51" t="s">
        <v>254</v>
      </c>
      <c r="AH17" s="51" t="s">
        <v>257</v>
      </c>
      <c r="AI17" s="51" t="s">
        <v>257</v>
      </c>
      <c r="AJ17" s="51" t="s">
        <v>257</v>
      </c>
      <c r="AL17" s="50">
        <f t="shared" si="0"/>
        <v>4</v>
      </c>
      <c r="AM17" s="50">
        <f t="shared" si="1"/>
        <v>2</v>
      </c>
      <c r="AN17" s="50">
        <f t="shared" si="2"/>
        <v>2</v>
      </c>
      <c r="AO17" s="50">
        <f t="shared" si="3"/>
        <v>2</v>
      </c>
      <c r="AP17" s="50">
        <f t="shared" si="4"/>
        <v>8</v>
      </c>
    </row>
    <row r="18" spans="2:42" ht="18.75" x14ac:dyDescent="0.25">
      <c r="B18" s="58">
        <v>14</v>
      </c>
      <c r="C18" s="146" t="s">
        <v>223</v>
      </c>
      <c r="D18" s="233"/>
      <c r="F18" s="51" t="s">
        <v>230</v>
      </c>
      <c r="G18" s="51" t="s">
        <v>230</v>
      </c>
      <c r="H18" s="51" t="s">
        <v>256</v>
      </c>
      <c r="I18" s="51" t="s">
        <v>257</v>
      </c>
      <c r="J18" s="51" t="s">
        <v>257</v>
      </c>
      <c r="K18" s="51" t="s">
        <v>257</v>
      </c>
      <c r="L18" s="98" t="s">
        <v>258</v>
      </c>
      <c r="M18" s="98" t="s">
        <v>258</v>
      </c>
      <c r="N18" s="51" t="s">
        <v>258</v>
      </c>
      <c r="O18" s="51" t="s">
        <v>258</v>
      </c>
      <c r="P18" s="51" t="s">
        <v>258</v>
      </c>
      <c r="Q18" s="51" t="s">
        <v>257</v>
      </c>
      <c r="R18" s="51" t="s">
        <v>257</v>
      </c>
      <c r="S18" s="51" t="s">
        <v>257</v>
      </c>
      <c r="T18" s="56" t="s">
        <v>229</v>
      </c>
      <c r="U18" s="98" t="s">
        <v>230</v>
      </c>
      <c r="V18" s="51" t="s">
        <v>230</v>
      </c>
      <c r="W18" s="51" t="s">
        <v>256</v>
      </c>
      <c r="X18" s="51" t="s">
        <v>254</v>
      </c>
      <c r="Y18" s="51" t="s">
        <v>257</v>
      </c>
      <c r="Z18" s="51" t="s">
        <v>257</v>
      </c>
      <c r="AA18" s="51" t="s">
        <v>257</v>
      </c>
      <c r="AB18" s="98" t="s">
        <v>229</v>
      </c>
      <c r="AC18" s="98" t="s">
        <v>253</v>
      </c>
      <c r="AD18" s="51" t="s">
        <v>230</v>
      </c>
      <c r="AE18" s="51" t="s">
        <v>254</v>
      </c>
      <c r="AF18" s="51" t="s">
        <v>254</v>
      </c>
      <c r="AG18" s="51" t="s">
        <v>257</v>
      </c>
      <c r="AH18" s="51" t="s">
        <v>257</v>
      </c>
      <c r="AI18" s="51" t="s">
        <v>257</v>
      </c>
      <c r="AJ18" s="98" t="s">
        <v>229</v>
      </c>
      <c r="AL18" s="50">
        <f t="shared" si="0"/>
        <v>3</v>
      </c>
      <c r="AM18" s="50">
        <f t="shared" si="1"/>
        <v>3</v>
      </c>
      <c r="AN18" s="50">
        <f t="shared" si="2"/>
        <v>5</v>
      </c>
      <c r="AO18" s="50">
        <f t="shared" si="3"/>
        <v>3</v>
      </c>
      <c r="AP18" s="50">
        <f t="shared" si="4"/>
        <v>12</v>
      </c>
    </row>
    <row r="19" spans="2:42" ht="19.5" thickBot="1" x14ac:dyDescent="0.3">
      <c r="B19" s="59">
        <v>15</v>
      </c>
      <c r="C19" s="234" t="s">
        <v>224</v>
      </c>
      <c r="D19" s="235"/>
      <c r="F19" s="64" t="s">
        <v>254</v>
      </c>
      <c r="G19" s="64" t="s">
        <v>254</v>
      </c>
      <c r="H19" s="64" t="s">
        <v>257</v>
      </c>
      <c r="I19" s="64" t="s">
        <v>257</v>
      </c>
      <c r="J19" s="64" t="s">
        <v>257</v>
      </c>
      <c r="K19" s="106" t="s">
        <v>229</v>
      </c>
      <c r="L19" s="64" t="s">
        <v>229</v>
      </c>
      <c r="M19" s="64" t="s">
        <v>230</v>
      </c>
      <c r="N19" s="64" t="s">
        <v>254</v>
      </c>
      <c r="O19" s="64" t="s">
        <v>254</v>
      </c>
      <c r="P19" s="64" t="s">
        <v>257</v>
      </c>
      <c r="Q19" s="64" t="s">
        <v>257</v>
      </c>
      <c r="R19" s="64" t="s">
        <v>257</v>
      </c>
      <c r="S19" s="106" t="s">
        <v>229</v>
      </c>
      <c r="T19" s="106" t="s">
        <v>253</v>
      </c>
      <c r="U19" s="64" t="s">
        <v>230</v>
      </c>
      <c r="V19" s="64" t="s">
        <v>256</v>
      </c>
      <c r="W19" s="64" t="s">
        <v>254</v>
      </c>
      <c r="X19" s="64" t="s">
        <v>257</v>
      </c>
      <c r="Y19" s="64" t="s">
        <v>257</v>
      </c>
      <c r="Z19" s="64" t="s">
        <v>257</v>
      </c>
      <c r="AA19" s="64" t="s">
        <v>229</v>
      </c>
      <c r="AB19" s="64" t="s">
        <v>229</v>
      </c>
      <c r="AC19" s="64" t="s">
        <v>230</v>
      </c>
      <c r="AD19" s="64" t="s">
        <v>254</v>
      </c>
      <c r="AE19" s="64" t="s">
        <v>254</v>
      </c>
      <c r="AF19" s="64" t="s">
        <v>257</v>
      </c>
      <c r="AG19" s="64" t="s">
        <v>257</v>
      </c>
      <c r="AH19" s="64" t="s">
        <v>257</v>
      </c>
      <c r="AI19" s="106" t="s">
        <v>229</v>
      </c>
      <c r="AJ19" s="64" t="s">
        <v>230</v>
      </c>
      <c r="AL19" s="50">
        <f t="shared" si="0"/>
        <v>2</v>
      </c>
      <c r="AM19" s="50">
        <f t="shared" si="1"/>
        <v>6</v>
      </c>
      <c r="AN19" s="50">
        <f t="shared" si="2"/>
        <v>4</v>
      </c>
      <c r="AO19" s="50">
        <f t="shared" si="3"/>
        <v>7</v>
      </c>
      <c r="AP19" s="50">
        <f t="shared" si="4"/>
        <v>12</v>
      </c>
    </row>
    <row r="20" spans="2:42" x14ac:dyDescent="0.25">
      <c r="F20" s="20" t="s">
        <v>94</v>
      </c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</row>
    <row r="21" spans="2:42" ht="18.75" x14ac:dyDescent="0.3">
      <c r="C21" s="181" t="s">
        <v>91</v>
      </c>
      <c r="D21" s="181"/>
      <c r="E21" s="36"/>
      <c r="F21" s="37">
        <f t="shared" ref="F21:AJ21" si="5">COUNTIF(F$5:F$19,"M*")</f>
        <v>2</v>
      </c>
      <c r="G21" s="37">
        <f t="shared" si="5"/>
        <v>2</v>
      </c>
      <c r="H21" s="37">
        <f t="shared" si="5"/>
        <v>2</v>
      </c>
      <c r="I21" s="37">
        <f t="shared" si="5"/>
        <v>2</v>
      </c>
      <c r="J21" s="37">
        <f t="shared" si="5"/>
        <v>2</v>
      </c>
      <c r="K21" s="37">
        <f t="shared" si="5"/>
        <v>2</v>
      </c>
      <c r="L21" s="37">
        <f t="shared" si="5"/>
        <v>2</v>
      </c>
      <c r="M21" s="37">
        <f t="shared" si="5"/>
        <v>2</v>
      </c>
      <c r="N21" s="37">
        <f t="shared" si="5"/>
        <v>2</v>
      </c>
      <c r="O21" s="37">
        <f t="shared" si="5"/>
        <v>2</v>
      </c>
      <c r="P21" s="37">
        <f t="shared" si="5"/>
        <v>2</v>
      </c>
      <c r="Q21" s="37">
        <f t="shared" si="5"/>
        <v>2</v>
      </c>
      <c r="R21" s="37">
        <f t="shared" si="5"/>
        <v>2</v>
      </c>
      <c r="S21" s="37">
        <f t="shared" si="5"/>
        <v>2</v>
      </c>
      <c r="T21" s="37">
        <f t="shared" si="5"/>
        <v>2</v>
      </c>
      <c r="U21" s="37">
        <f t="shared" si="5"/>
        <v>2</v>
      </c>
      <c r="V21" s="37">
        <f t="shared" si="5"/>
        <v>2</v>
      </c>
      <c r="W21" s="37">
        <f t="shared" si="5"/>
        <v>2</v>
      </c>
      <c r="X21" s="37">
        <f t="shared" si="5"/>
        <v>2</v>
      </c>
      <c r="Y21" s="37">
        <f t="shared" si="5"/>
        <v>2</v>
      </c>
      <c r="Z21" s="37">
        <f t="shared" si="5"/>
        <v>2</v>
      </c>
      <c r="AA21" s="37">
        <f t="shared" si="5"/>
        <v>2</v>
      </c>
      <c r="AB21" s="37">
        <f t="shared" si="5"/>
        <v>2</v>
      </c>
      <c r="AC21" s="37">
        <f t="shared" si="5"/>
        <v>2</v>
      </c>
      <c r="AD21" s="37">
        <f t="shared" si="5"/>
        <v>2</v>
      </c>
      <c r="AE21" s="37">
        <f t="shared" si="5"/>
        <v>2</v>
      </c>
      <c r="AF21" s="37">
        <f t="shared" si="5"/>
        <v>2</v>
      </c>
      <c r="AG21" s="37">
        <f t="shared" si="5"/>
        <v>2</v>
      </c>
      <c r="AH21" s="37">
        <f t="shared" si="5"/>
        <v>2</v>
      </c>
      <c r="AI21" s="37">
        <f t="shared" si="5"/>
        <v>2</v>
      </c>
      <c r="AJ21" s="37">
        <f t="shared" si="5"/>
        <v>2</v>
      </c>
    </row>
    <row r="22" spans="2:42" ht="18.75" x14ac:dyDescent="0.3">
      <c r="C22" s="181" t="s">
        <v>92</v>
      </c>
      <c r="D22" s="181"/>
      <c r="E22" s="36"/>
      <c r="F22" s="37">
        <f t="shared" ref="F22:AJ22" si="6">COUNTIF(F$5:F$19,"A*")</f>
        <v>2</v>
      </c>
      <c r="G22" s="37">
        <f t="shared" si="6"/>
        <v>2</v>
      </c>
      <c r="H22" s="37">
        <f t="shared" si="6"/>
        <v>2</v>
      </c>
      <c r="I22" s="37">
        <f t="shared" si="6"/>
        <v>2</v>
      </c>
      <c r="J22" s="37">
        <f t="shared" si="6"/>
        <v>2</v>
      </c>
      <c r="K22" s="37">
        <f t="shared" si="6"/>
        <v>2</v>
      </c>
      <c r="L22" s="37">
        <f t="shared" si="6"/>
        <v>2</v>
      </c>
      <c r="M22" s="37">
        <f t="shared" si="6"/>
        <v>2</v>
      </c>
      <c r="N22" s="37">
        <f t="shared" si="6"/>
        <v>2</v>
      </c>
      <c r="O22" s="37">
        <f t="shared" si="6"/>
        <v>2</v>
      </c>
      <c r="P22" s="37">
        <f t="shared" si="6"/>
        <v>2</v>
      </c>
      <c r="Q22" s="37">
        <f t="shared" si="6"/>
        <v>2</v>
      </c>
      <c r="R22" s="37">
        <f t="shared" si="6"/>
        <v>2</v>
      </c>
      <c r="S22" s="37">
        <f t="shared" si="6"/>
        <v>2</v>
      </c>
      <c r="T22" s="37">
        <f t="shared" si="6"/>
        <v>2</v>
      </c>
      <c r="U22" s="37">
        <f t="shared" si="6"/>
        <v>2</v>
      </c>
      <c r="V22" s="37">
        <f t="shared" si="6"/>
        <v>2</v>
      </c>
      <c r="W22" s="37">
        <f t="shared" si="6"/>
        <v>2</v>
      </c>
      <c r="X22" s="37">
        <f t="shared" si="6"/>
        <v>2</v>
      </c>
      <c r="Y22" s="37">
        <f t="shared" si="6"/>
        <v>2</v>
      </c>
      <c r="Z22" s="37">
        <f t="shared" si="6"/>
        <v>2</v>
      </c>
      <c r="AA22" s="37">
        <f t="shared" si="6"/>
        <v>2</v>
      </c>
      <c r="AB22" s="37">
        <f t="shared" si="6"/>
        <v>2</v>
      </c>
      <c r="AC22" s="37">
        <f t="shared" si="6"/>
        <v>2</v>
      </c>
      <c r="AD22" s="37">
        <f t="shared" si="6"/>
        <v>2</v>
      </c>
      <c r="AE22" s="37">
        <f t="shared" si="6"/>
        <v>2</v>
      </c>
      <c r="AF22" s="37">
        <f t="shared" si="6"/>
        <v>2</v>
      </c>
      <c r="AG22" s="37">
        <f t="shared" si="6"/>
        <v>2</v>
      </c>
      <c r="AH22" s="37">
        <f t="shared" si="6"/>
        <v>2</v>
      </c>
      <c r="AI22" s="37">
        <f t="shared" si="6"/>
        <v>2</v>
      </c>
      <c r="AJ22" s="37">
        <f t="shared" si="6"/>
        <v>2</v>
      </c>
    </row>
    <row r="23" spans="2:42" ht="18.75" x14ac:dyDescent="0.3">
      <c r="C23" s="181" t="s">
        <v>72</v>
      </c>
      <c r="D23" s="181"/>
      <c r="E23" s="36"/>
      <c r="F23" s="37">
        <f t="shared" ref="F23:AJ23" si="7">COUNTIF(F$5:F$19,"N*")</f>
        <v>2</v>
      </c>
      <c r="G23" s="37">
        <f t="shared" si="7"/>
        <v>2</v>
      </c>
      <c r="H23" s="37">
        <f t="shared" si="7"/>
        <v>2</v>
      </c>
      <c r="I23" s="37">
        <f t="shared" si="7"/>
        <v>2</v>
      </c>
      <c r="J23" s="37">
        <f t="shared" si="7"/>
        <v>2</v>
      </c>
      <c r="K23" s="37">
        <f t="shared" si="7"/>
        <v>2</v>
      </c>
      <c r="L23" s="37">
        <f t="shared" si="7"/>
        <v>2</v>
      </c>
      <c r="M23" s="37">
        <f t="shared" si="7"/>
        <v>2</v>
      </c>
      <c r="N23" s="37">
        <f t="shared" si="7"/>
        <v>2</v>
      </c>
      <c r="O23" s="37">
        <f t="shared" si="7"/>
        <v>2</v>
      </c>
      <c r="P23" s="37">
        <f t="shared" si="7"/>
        <v>2</v>
      </c>
      <c r="Q23" s="37">
        <f t="shared" si="7"/>
        <v>2</v>
      </c>
      <c r="R23" s="37">
        <f t="shared" si="7"/>
        <v>2</v>
      </c>
      <c r="S23" s="37">
        <f t="shared" si="7"/>
        <v>2</v>
      </c>
      <c r="T23" s="37">
        <f t="shared" si="7"/>
        <v>2</v>
      </c>
      <c r="U23" s="37">
        <f t="shared" si="7"/>
        <v>2</v>
      </c>
      <c r="V23" s="37">
        <f t="shared" si="7"/>
        <v>2</v>
      </c>
      <c r="W23" s="37">
        <f t="shared" si="7"/>
        <v>2</v>
      </c>
      <c r="X23" s="37">
        <f t="shared" si="7"/>
        <v>2</v>
      </c>
      <c r="Y23" s="37">
        <f t="shared" si="7"/>
        <v>2</v>
      </c>
      <c r="Z23" s="37">
        <f t="shared" si="7"/>
        <v>2</v>
      </c>
      <c r="AA23" s="37">
        <f t="shared" si="7"/>
        <v>2</v>
      </c>
      <c r="AB23" s="37">
        <f t="shared" si="7"/>
        <v>2</v>
      </c>
      <c r="AC23" s="37">
        <f t="shared" si="7"/>
        <v>2</v>
      </c>
      <c r="AD23" s="37">
        <f t="shared" si="7"/>
        <v>2</v>
      </c>
      <c r="AE23" s="37">
        <f t="shared" si="7"/>
        <v>2</v>
      </c>
      <c r="AF23" s="37">
        <f t="shared" si="7"/>
        <v>2</v>
      </c>
      <c r="AG23" s="37">
        <f t="shared" si="7"/>
        <v>2</v>
      </c>
      <c r="AH23" s="37">
        <f t="shared" si="7"/>
        <v>2</v>
      </c>
      <c r="AI23" s="37">
        <f t="shared" si="7"/>
        <v>2</v>
      </c>
      <c r="AJ23" s="37">
        <f t="shared" si="7"/>
        <v>2</v>
      </c>
    </row>
    <row r="24" spans="2:42" ht="18.75" x14ac:dyDescent="0.3">
      <c r="C24" s="181" t="s">
        <v>73</v>
      </c>
      <c r="D24" s="181"/>
      <c r="E24" s="36"/>
      <c r="F24" s="37">
        <f t="shared" ref="F24:AJ24" si="8">COUNTIF(F$5:F$19,"O*")</f>
        <v>6</v>
      </c>
      <c r="G24" s="37">
        <f t="shared" si="8"/>
        <v>5</v>
      </c>
      <c r="H24" s="37">
        <f t="shared" si="8"/>
        <v>5</v>
      </c>
      <c r="I24" s="37">
        <f t="shared" si="8"/>
        <v>5</v>
      </c>
      <c r="J24" s="37">
        <f t="shared" si="8"/>
        <v>5</v>
      </c>
      <c r="K24" s="37">
        <f t="shared" si="8"/>
        <v>5</v>
      </c>
      <c r="L24" s="37">
        <f t="shared" si="8"/>
        <v>5</v>
      </c>
      <c r="M24" s="37">
        <f t="shared" si="8"/>
        <v>6</v>
      </c>
      <c r="N24" s="37">
        <f t="shared" si="8"/>
        <v>6</v>
      </c>
      <c r="O24" s="37">
        <f t="shared" si="8"/>
        <v>4</v>
      </c>
      <c r="P24" s="37">
        <f t="shared" si="8"/>
        <v>5</v>
      </c>
      <c r="Q24" s="37">
        <f t="shared" si="8"/>
        <v>5</v>
      </c>
      <c r="R24" s="37">
        <f t="shared" si="8"/>
        <v>5</v>
      </c>
      <c r="S24" s="37">
        <f t="shared" si="8"/>
        <v>6</v>
      </c>
      <c r="T24" s="37">
        <f t="shared" si="8"/>
        <v>6</v>
      </c>
      <c r="U24" s="37">
        <f t="shared" si="8"/>
        <v>6</v>
      </c>
      <c r="V24" s="37">
        <f t="shared" si="8"/>
        <v>6</v>
      </c>
      <c r="W24" s="37">
        <f t="shared" si="8"/>
        <v>5</v>
      </c>
      <c r="X24" s="37">
        <f t="shared" si="8"/>
        <v>5</v>
      </c>
      <c r="Y24" s="37">
        <f t="shared" si="8"/>
        <v>5</v>
      </c>
      <c r="Z24" s="37">
        <f t="shared" si="8"/>
        <v>6</v>
      </c>
      <c r="AA24" s="37">
        <f t="shared" si="8"/>
        <v>6</v>
      </c>
      <c r="AB24" s="37">
        <f t="shared" si="8"/>
        <v>6</v>
      </c>
      <c r="AC24" s="37">
        <f t="shared" si="8"/>
        <v>6</v>
      </c>
      <c r="AD24" s="37">
        <f t="shared" si="8"/>
        <v>6</v>
      </c>
      <c r="AE24" s="37">
        <f t="shared" si="8"/>
        <v>5</v>
      </c>
      <c r="AF24" s="37">
        <f t="shared" si="8"/>
        <v>4</v>
      </c>
      <c r="AG24" s="37">
        <f t="shared" si="8"/>
        <v>4</v>
      </c>
      <c r="AH24" s="37">
        <f t="shared" si="8"/>
        <v>6</v>
      </c>
      <c r="AI24" s="37">
        <f t="shared" si="8"/>
        <v>6</v>
      </c>
      <c r="AJ24" s="37">
        <f t="shared" si="8"/>
        <v>6</v>
      </c>
    </row>
    <row r="25" spans="2:42" ht="18.75" x14ac:dyDescent="0.3">
      <c r="C25" s="177" t="s">
        <v>106</v>
      </c>
      <c r="D25" s="178"/>
      <c r="E25" s="36"/>
      <c r="F25" s="37">
        <f t="shared" ref="F25:AJ25" si="9">COUNTIF(F$5:F$19,"ST*")</f>
        <v>1</v>
      </c>
      <c r="G25" s="37">
        <f t="shared" si="9"/>
        <v>2</v>
      </c>
      <c r="H25" s="37">
        <f t="shared" si="9"/>
        <v>3</v>
      </c>
      <c r="I25" s="37">
        <f t="shared" si="9"/>
        <v>3</v>
      </c>
      <c r="J25" s="37">
        <f t="shared" si="9"/>
        <v>2</v>
      </c>
      <c r="K25" s="37">
        <f t="shared" si="9"/>
        <v>0</v>
      </c>
      <c r="L25" s="37">
        <f t="shared" si="9"/>
        <v>1</v>
      </c>
      <c r="M25" s="37">
        <f t="shared" si="9"/>
        <v>0</v>
      </c>
      <c r="N25" s="37">
        <f t="shared" si="9"/>
        <v>0</v>
      </c>
      <c r="O25" s="37">
        <f t="shared" si="9"/>
        <v>2</v>
      </c>
      <c r="P25" s="37">
        <f t="shared" si="9"/>
        <v>2</v>
      </c>
      <c r="Q25" s="37">
        <f t="shared" si="9"/>
        <v>1</v>
      </c>
      <c r="R25" s="37">
        <f t="shared" si="9"/>
        <v>3</v>
      </c>
      <c r="S25" s="37">
        <f t="shared" si="9"/>
        <v>1</v>
      </c>
      <c r="T25" s="37">
        <f t="shared" si="9"/>
        <v>3</v>
      </c>
      <c r="U25" s="37">
        <f t="shared" si="9"/>
        <v>3</v>
      </c>
      <c r="V25" s="37">
        <f t="shared" si="9"/>
        <v>3</v>
      </c>
      <c r="W25" s="37">
        <f t="shared" si="9"/>
        <v>4</v>
      </c>
      <c r="X25" s="37">
        <f t="shared" si="9"/>
        <v>4</v>
      </c>
      <c r="Y25" s="37">
        <f t="shared" si="9"/>
        <v>4</v>
      </c>
      <c r="Z25" s="37">
        <f t="shared" si="9"/>
        <v>3</v>
      </c>
      <c r="AA25" s="37">
        <f t="shared" si="9"/>
        <v>2</v>
      </c>
      <c r="AB25" s="37">
        <f t="shared" si="9"/>
        <v>1</v>
      </c>
      <c r="AC25" s="37">
        <f t="shared" si="9"/>
        <v>1</v>
      </c>
      <c r="AD25" s="37">
        <f t="shared" si="9"/>
        <v>1</v>
      </c>
      <c r="AE25" s="37">
        <f t="shared" si="9"/>
        <v>2</v>
      </c>
      <c r="AF25" s="37">
        <f t="shared" si="9"/>
        <v>3</v>
      </c>
      <c r="AG25" s="37">
        <f t="shared" si="9"/>
        <v>3</v>
      </c>
      <c r="AH25" s="37">
        <f t="shared" si="9"/>
        <v>2</v>
      </c>
      <c r="AI25" s="37">
        <f t="shared" si="9"/>
        <v>2</v>
      </c>
      <c r="AJ25" s="37">
        <f t="shared" si="9"/>
        <v>2</v>
      </c>
    </row>
    <row r="26" spans="2:42" ht="18.75" x14ac:dyDescent="0.3">
      <c r="C26" s="179" t="s">
        <v>104</v>
      </c>
      <c r="D26" s="179"/>
      <c r="E26" s="38"/>
      <c r="F26" s="53">
        <f>F28-F29</f>
        <v>0</v>
      </c>
      <c r="G26" s="53">
        <f t="shared" ref="G26:AJ26" si="10">G28-G29</f>
        <v>0</v>
      </c>
      <c r="H26" s="53">
        <f t="shared" si="10"/>
        <v>0</v>
      </c>
      <c r="I26" s="53">
        <f t="shared" si="10"/>
        <v>0</v>
      </c>
      <c r="J26" s="53">
        <f t="shared" si="10"/>
        <v>0</v>
      </c>
      <c r="K26" s="53">
        <f t="shared" si="10"/>
        <v>0</v>
      </c>
      <c r="L26" s="53">
        <f t="shared" si="10"/>
        <v>0</v>
      </c>
      <c r="M26" s="53">
        <f t="shared" si="10"/>
        <v>0</v>
      </c>
      <c r="N26" s="53">
        <f t="shared" si="10"/>
        <v>0</v>
      </c>
      <c r="O26" s="53">
        <f t="shared" si="10"/>
        <v>0</v>
      </c>
      <c r="P26" s="53">
        <f t="shared" si="10"/>
        <v>0</v>
      </c>
      <c r="Q26" s="53">
        <f t="shared" si="10"/>
        <v>0</v>
      </c>
      <c r="R26" s="53">
        <f t="shared" si="10"/>
        <v>0</v>
      </c>
      <c r="S26" s="53">
        <f t="shared" si="10"/>
        <v>0</v>
      </c>
      <c r="T26" s="53">
        <f t="shared" si="10"/>
        <v>0</v>
      </c>
      <c r="U26" s="53">
        <f t="shared" si="10"/>
        <v>0</v>
      </c>
      <c r="V26" s="53">
        <f t="shared" si="10"/>
        <v>0</v>
      </c>
      <c r="W26" s="53">
        <f t="shared" si="10"/>
        <v>0</v>
      </c>
      <c r="X26" s="53">
        <f t="shared" si="10"/>
        <v>0</v>
      </c>
      <c r="Y26" s="53">
        <f t="shared" si="10"/>
        <v>0</v>
      </c>
      <c r="Z26" s="53">
        <f t="shared" si="10"/>
        <v>0</v>
      </c>
      <c r="AA26" s="53">
        <f t="shared" si="10"/>
        <v>0</v>
      </c>
      <c r="AB26" s="53">
        <f t="shared" si="10"/>
        <v>0</v>
      </c>
      <c r="AC26" s="53">
        <f t="shared" si="10"/>
        <v>0</v>
      </c>
      <c r="AD26" s="53">
        <f t="shared" si="10"/>
        <v>0</v>
      </c>
      <c r="AE26" s="53">
        <f t="shared" si="10"/>
        <v>0</v>
      </c>
      <c r="AF26" s="53">
        <f t="shared" si="10"/>
        <v>0</v>
      </c>
      <c r="AG26" s="53">
        <f t="shared" si="10"/>
        <v>0</v>
      </c>
      <c r="AH26" s="53">
        <f t="shared" si="10"/>
        <v>0</v>
      </c>
      <c r="AI26" s="53">
        <f t="shared" si="10"/>
        <v>0</v>
      </c>
      <c r="AJ26" s="53">
        <f t="shared" si="10"/>
        <v>0</v>
      </c>
    </row>
    <row r="27" spans="2:42" ht="18.75" x14ac:dyDescent="0.3">
      <c r="C27" s="40"/>
      <c r="D27" s="40"/>
      <c r="E27" s="36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</row>
    <row r="28" spans="2:42" ht="18.75" x14ac:dyDescent="0.3">
      <c r="C28" s="181" t="s">
        <v>102</v>
      </c>
      <c r="D28" s="181"/>
      <c r="E28" s="36"/>
      <c r="F28" s="41">
        <f>SUM(F21:F23)</f>
        <v>6</v>
      </c>
      <c r="G28" s="41">
        <f t="shared" ref="G28:AJ28" si="11">SUM(G21:G23)</f>
        <v>6</v>
      </c>
      <c r="H28" s="41">
        <f t="shared" si="11"/>
        <v>6</v>
      </c>
      <c r="I28" s="41">
        <f t="shared" si="11"/>
        <v>6</v>
      </c>
      <c r="J28" s="41">
        <f t="shared" si="11"/>
        <v>6</v>
      </c>
      <c r="K28" s="41">
        <f t="shared" si="11"/>
        <v>6</v>
      </c>
      <c r="L28" s="41">
        <f t="shared" si="11"/>
        <v>6</v>
      </c>
      <c r="M28" s="41">
        <f t="shared" si="11"/>
        <v>6</v>
      </c>
      <c r="N28" s="41">
        <f t="shared" si="11"/>
        <v>6</v>
      </c>
      <c r="O28" s="41">
        <f t="shared" si="11"/>
        <v>6</v>
      </c>
      <c r="P28" s="41">
        <f t="shared" si="11"/>
        <v>6</v>
      </c>
      <c r="Q28" s="41">
        <f t="shared" si="11"/>
        <v>6</v>
      </c>
      <c r="R28" s="41">
        <f t="shared" si="11"/>
        <v>6</v>
      </c>
      <c r="S28" s="41">
        <f t="shared" si="11"/>
        <v>6</v>
      </c>
      <c r="T28" s="41">
        <f t="shared" si="11"/>
        <v>6</v>
      </c>
      <c r="U28" s="41">
        <f t="shared" si="11"/>
        <v>6</v>
      </c>
      <c r="V28" s="41">
        <f t="shared" si="11"/>
        <v>6</v>
      </c>
      <c r="W28" s="41">
        <f t="shared" si="11"/>
        <v>6</v>
      </c>
      <c r="X28" s="41">
        <f t="shared" si="11"/>
        <v>6</v>
      </c>
      <c r="Y28" s="41">
        <f t="shared" si="11"/>
        <v>6</v>
      </c>
      <c r="Z28" s="41">
        <f t="shared" si="11"/>
        <v>6</v>
      </c>
      <c r="AA28" s="41">
        <f t="shared" si="11"/>
        <v>6</v>
      </c>
      <c r="AB28" s="41">
        <f t="shared" si="11"/>
        <v>6</v>
      </c>
      <c r="AC28" s="41">
        <f t="shared" si="11"/>
        <v>6</v>
      </c>
      <c r="AD28" s="41">
        <f t="shared" si="11"/>
        <v>6</v>
      </c>
      <c r="AE28" s="41">
        <f t="shared" si="11"/>
        <v>6</v>
      </c>
      <c r="AF28" s="41">
        <f t="shared" si="11"/>
        <v>6</v>
      </c>
      <c r="AG28" s="41">
        <f t="shared" si="11"/>
        <v>6</v>
      </c>
      <c r="AH28" s="41">
        <f t="shared" si="11"/>
        <v>6</v>
      </c>
      <c r="AI28" s="41">
        <f t="shared" si="11"/>
        <v>6</v>
      </c>
      <c r="AJ28" s="41">
        <f t="shared" si="11"/>
        <v>6</v>
      </c>
    </row>
    <row r="29" spans="2:42" ht="18.75" x14ac:dyDescent="0.3">
      <c r="C29" s="181" t="s">
        <v>90</v>
      </c>
      <c r="D29" s="181"/>
      <c r="E29" s="36"/>
      <c r="F29" s="37">
        <v>6</v>
      </c>
      <c r="G29" s="37">
        <v>6</v>
      </c>
      <c r="H29" s="37">
        <v>6</v>
      </c>
      <c r="I29" s="37">
        <v>6</v>
      </c>
      <c r="J29" s="37">
        <v>6</v>
      </c>
      <c r="K29" s="37">
        <v>6</v>
      </c>
      <c r="L29" s="37">
        <v>6</v>
      </c>
      <c r="M29" s="37">
        <v>6</v>
      </c>
      <c r="N29" s="37">
        <v>6</v>
      </c>
      <c r="O29" s="37">
        <v>6</v>
      </c>
      <c r="P29" s="37">
        <v>6</v>
      </c>
      <c r="Q29" s="37">
        <v>6</v>
      </c>
      <c r="R29" s="37">
        <v>6</v>
      </c>
      <c r="S29" s="37">
        <v>6</v>
      </c>
      <c r="T29" s="37">
        <v>6</v>
      </c>
      <c r="U29" s="37">
        <v>6</v>
      </c>
      <c r="V29" s="37">
        <v>6</v>
      </c>
      <c r="W29" s="37">
        <v>6</v>
      </c>
      <c r="X29" s="37">
        <v>6</v>
      </c>
      <c r="Y29" s="37">
        <v>6</v>
      </c>
      <c r="Z29" s="37">
        <v>6</v>
      </c>
      <c r="AA29" s="37">
        <v>6</v>
      </c>
      <c r="AB29" s="37">
        <v>6</v>
      </c>
      <c r="AC29" s="37">
        <v>6</v>
      </c>
      <c r="AD29" s="37">
        <v>6</v>
      </c>
      <c r="AE29" s="37">
        <v>6</v>
      </c>
      <c r="AF29" s="37">
        <v>6</v>
      </c>
      <c r="AG29" s="37">
        <v>6</v>
      </c>
      <c r="AH29" s="37">
        <v>6</v>
      </c>
      <c r="AI29" s="37">
        <v>6</v>
      </c>
      <c r="AJ29" s="37">
        <v>6</v>
      </c>
    </row>
    <row r="30" spans="2:42" ht="18.75" x14ac:dyDescent="0.3">
      <c r="C30" s="181" t="s">
        <v>103</v>
      </c>
      <c r="D30" s="181"/>
      <c r="E30" s="36"/>
      <c r="F30" s="37">
        <f>SUM(F21,F22,F23,F24,F25)</f>
        <v>13</v>
      </c>
      <c r="G30" s="37">
        <f t="shared" ref="G30:AJ30" si="12">SUM(G21,G22,G23,G24,G25)</f>
        <v>13</v>
      </c>
      <c r="H30" s="37">
        <f t="shared" si="12"/>
        <v>14</v>
      </c>
      <c r="I30" s="37">
        <f t="shared" si="12"/>
        <v>14</v>
      </c>
      <c r="J30" s="37">
        <f t="shared" si="12"/>
        <v>13</v>
      </c>
      <c r="K30" s="37">
        <f t="shared" si="12"/>
        <v>11</v>
      </c>
      <c r="L30" s="37">
        <f t="shared" si="12"/>
        <v>12</v>
      </c>
      <c r="M30" s="37">
        <f t="shared" si="12"/>
        <v>12</v>
      </c>
      <c r="N30" s="37">
        <f t="shared" si="12"/>
        <v>12</v>
      </c>
      <c r="O30" s="37">
        <f t="shared" si="12"/>
        <v>12</v>
      </c>
      <c r="P30" s="37">
        <f t="shared" si="12"/>
        <v>13</v>
      </c>
      <c r="Q30" s="37">
        <f t="shared" si="12"/>
        <v>12</v>
      </c>
      <c r="R30" s="37">
        <f t="shared" si="12"/>
        <v>14</v>
      </c>
      <c r="S30" s="37">
        <f t="shared" si="12"/>
        <v>13</v>
      </c>
      <c r="T30" s="37">
        <f t="shared" si="12"/>
        <v>15</v>
      </c>
      <c r="U30" s="37">
        <f t="shared" si="12"/>
        <v>15</v>
      </c>
      <c r="V30" s="37">
        <f t="shared" si="12"/>
        <v>15</v>
      </c>
      <c r="W30" s="37">
        <f t="shared" si="12"/>
        <v>15</v>
      </c>
      <c r="X30" s="37">
        <f t="shared" si="12"/>
        <v>15</v>
      </c>
      <c r="Y30" s="37">
        <f t="shared" si="12"/>
        <v>15</v>
      </c>
      <c r="Z30" s="37">
        <f t="shared" si="12"/>
        <v>15</v>
      </c>
      <c r="AA30" s="37">
        <f t="shared" si="12"/>
        <v>14</v>
      </c>
      <c r="AB30" s="37">
        <f t="shared" si="12"/>
        <v>13</v>
      </c>
      <c r="AC30" s="37">
        <f t="shared" si="12"/>
        <v>13</v>
      </c>
      <c r="AD30" s="37">
        <f t="shared" si="12"/>
        <v>13</v>
      </c>
      <c r="AE30" s="37">
        <f t="shared" si="12"/>
        <v>13</v>
      </c>
      <c r="AF30" s="37">
        <f t="shared" si="12"/>
        <v>13</v>
      </c>
      <c r="AG30" s="37">
        <f t="shared" si="12"/>
        <v>13</v>
      </c>
      <c r="AH30" s="37">
        <f t="shared" si="12"/>
        <v>14</v>
      </c>
      <c r="AI30" s="37">
        <f t="shared" si="12"/>
        <v>14</v>
      </c>
      <c r="AJ30" s="37">
        <f t="shared" si="12"/>
        <v>14</v>
      </c>
    </row>
    <row r="32" spans="2:42" ht="9.75" customHeight="1" thickBot="1" x14ac:dyDescent="0.3"/>
    <row r="33" spans="6:8" ht="16.5" thickBot="1" x14ac:dyDescent="0.3">
      <c r="F33" s="197" t="s">
        <v>232</v>
      </c>
      <c r="G33" s="198"/>
      <c r="H33" s="199"/>
    </row>
    <row r="34" spans="6:8" x14ac:dyDescent="0.25">
      <c r="F34" s="70" t="s">
        <v>142</v>
      </c>
      <c r="G34" s="200" t="s">
        <v>228</v>
      </c>
      <c r="H34" s="201"/>
    </row>
    <row r="35" spans="6:8" x14ac:dyDescent="0.25">
      <c r="F35" s="71" t="s">
        <v>119</v>
      </c>
      <c r="G35" s="218" t="s">
        <v>229</v>
      </c>
      <c r="H35" s="231"/>
    </row>
    <row r="36" spans="6:8" x14ac:dyDescent="0.25">
      <c r="F36" s="72" t="s">
        <v>226</v>
      </c>
      <c r="G36" s="203" t="s">
        <v>230</v>
      </c>
      <c r="H36" s="204"/>
    </row>
    <row r="37" spans="6:8" x14ac:dyDescent="0.25">
      <c r="F37" s="73" t="s">
        <v>227</v>
      </c>
      <c r="G37" s="205" t="s">
        <v>231</v>
      </c>
      <c r="H37" s="206"/>
    </row>
    <row r="38" spans="6:8" x14ac:dyDescent="0.25">
      <c r="F38" s="74" t="s">
        <v>144</v>
      </c>
      <c r="G38" s="189" t="s">
        <v>234</v>
      </c>
      <c r="H38" s="190"/>
    </row>
    <row r="39" spans="6:8" x14ac:dyDescent="0.25">
      <c r="F39" s="75"/>
      <c r="G39" s="191" t="s">
        <v>233</v>
      </c>
      <c r="H39" s="192"/>
    </row>
    <row r="40" spans="6:8" ht="16.5" thickBot="1" x14ac:dyDescent="0.3">
      <c r="F40" s="76" t="s">
        <v>235</v>
      </c>
      <c r="G40" s="229" t="s">
        <v>236</v>
      </c>
      <c r="H40" s="230"/>
    </row>
  </sheetData>
  <mergeCells count="40">
    <mergeCell ref="B3:D4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C28:D28"/>
    <mergeCell ref="C29:D29"/>
    <mergeCell ref="C30:D30"/>
    <mergeCell ref="C10:D10"/>
    <mergeCell ref="C11:D11"/>
    <mergeCell ref="C12:D12"/>
    <mergeCell ref="C13:D13"/>
    <mergeCell ref="C24:D24"/>
    <mergeCell ref="C19:D19"/>
    <mergeCell ref="C15:D15"/>
    <mergeCell ref="C21:D21"/>
    <mergeCell ref="C23:D23"/>
    <mergeCell ref="C22:D22"/>
    <mergeCell ref="C25:D25"/>
    <mergeCell ref="F27:AJ27"/>
    <mergeCell ref="C14:D14"/>
    <mergeCell ref="C16:D16"/>
    <mergeCell ref="C17:D17"/>
    <mergeCell ref="C18:D18"/>
    <mergeCell ref="C26:D26"/>
    <mergeCell ref="G38:H38"/>
    <mergeCell ref="G39:H39"/>
    <mergeCell ref="G40:H40"/>
    <mergeCell ref="F33:H33"/>
    <mergeCell ref="G34:H34"/>
    <mergeCell ref="G35:H35"/>
    <mergeCell ref="G36:H36"/>
    <mergeCell ref="G37:H37"/>
  </mergeCells>
  <phoneticPr fontId="14" type="noConversion"/>
  <conditionalFormatting sqref="F5:AJ19">
    <cfRule type="containsText" dxfId="139" priority="1" operator="containsText" text="STMN06">
      <formula>NOT(ISERROR(SEARCH("STMN06",F5)))</formula>
    </cfRule>
    <cfRule type="containsText" dxfId="138" priority="3" operator="containsText" text="STAN13">
      <formula>NOT(ISERROR(SEARCH("STAN13",F5)))</formula>
    </cfRule>
    <cfRule type="containsText" dxfId="137" priority="4" operator="containsText" text="TR">
      <formula>NOT(ISERROR(SEARCH("TR",F5)))</formula>
    </cfRule>
    <cfRule type="containsText" dxfId="136" priority="5" operator="containsText" text="LV">
      <formula>NOT(ISERROR(SEARCH("LV",F5)))</formula>
    </cfRule>
    <cfRule type="containsText" dxfId="135" priority="6" operator="containsText" text="AN13">
      <formula>NOT(ISERROR(SEARCH("AN13",F5)))</formula>
    </cfRule>
    <cfRule type="containsText" dxfId="134" priority="7" operator="containsText" text="AN13">
      <formula>NOT(ISERROR(SEARCH("AN13",F5)))</formula>
    </cfRule>
    <cfRule type="containsText" dxfId="133" priority="8" operator="containsText" text="AN13">
      <formula>NOT(ISERROR(SEARCH("AN13",F5)))</formula>
    </cfRule>
    <cfRule type="containsText" dxfId="132" priority="9" operator="containsText" text="MN06">
      <formula>NOT(ISERROR(SEARCH("MN06",F5)))</formula>
    </cfRule>
    <cfRule type="containsText" dxfId="131" priority="10" operator="containsText" text="STAN13">
      <formula>NOT(ISERROR(SEARCH("STAN13",F5)))</formula>
    </cfRule>
    <cfRule type="containsText" dxfId="130" priority="11" operator="containsText" text="STNN21">
      <formula>NOT(ISERROR(SEARCH("STNN21",F5)))</formula>
    </cfRule>
    <cfRule type="containsText" dxfId="129" priority="12" operator="containsText" text="NN21">
      <formula>NOT(ISERROR(SEARCH("NN21",F5)))</formula>
    </cfRule>
    <cfRule type="containsText" dxfId="128" priority="13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3B82A-0A32-4C52-97B8-3B346DBCFD2A}">
  <dimension ref="B1:AP60"/>
  <sheetViews>
    <sheetView topLeftCell="A2" zoomScale="80" zoomScaleNormal="80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AK5" sqref="AK5"/>
    </sheetView>
  </sheetViews>
  <sheetFormatPr defaultRowHeight="15.75" x14ac:dyDescent="0.25"/>
  <cols>
    <col min="1" max="1" width="3.42578125" style="18" customWidth="1"/>
    <col min="2" max="2" width="7.140625" style="18" customWidth="1"/>
    <col min="3" max="3" width="12.85546875" style="18" customWidth="1"/>
    <col min="4" max="4" width="31.5703125" style="20" customWidth="1"/>
    <col min="5" max="5" width="2.28515625" style="18" customWidth="1"/>
    <col min="6" max="36" width="10.7109375" style="18" customWidth="1"/>
    <col min="37" max="37" width="4.28515625" style="18" customWidth="1"/>
    <col min="38" max="41" width="9.140625" style="18"/>
    <col min="42" max="42" width="12.28515625" style="18" bestFit="1" customWidth="1"/>
    <col min="43" max="16384" width="9.140625" style="18"/>
  </cols>
  <sheetData>
    <row r="1" spans="2:42" ht="16.5" thickBot="1" x14ac:dyDescent="0.3"/>
    <row r="2" spans="2:42" ht="39" customHeight="1" thickBot="1" x14ac:dyDescent="0.55000000000000004">
      <c r="F2" s="139" t="s">
        <v>261</v>
      </c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1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.75" thickBot="1" x14ac:dyDescent="0.3">
      <c r="B3" s="148" t="s">
        <v>105</v>
      </c>
      <c r="C3" s="148"/>
      <c r="D3" s="148"/>
      <c r="F3" s="48" t="s">
        <v>98</v>
      </c>
      <c r="G3" s="49" t="s">
        <v>99</v>
      </c>
      <c r="H3" s="49" t="s">
        <v>100</v>
      </c>
      <c r="I3" s="48" t="s">
        <v>101</v>
      </c>
      <c r="J3" s="49" t="s">
        <v>95</v>
      </c>
      <c r="K3" s="49" t="s">
        <v>96</v>
      </c>
      <c r="L3" s="48" t="s">
        <v>97</v>
      </c>
      <c r="M3" s="49" t="s">
        <v>98</v>
      </c>
      <c r="N3" s="49" t="s">
        <v>99</v>
      </c>
      <c r="O3" s="48" t="s">
        <v>100</v>
      </c>
      <c r="P3" s="49" t="s">
        <v>101</v>
      </c>
      <c r="Q3" s="49" t="s">
        <v>95</v>
      </c>
      <c r="R3" s="48" t="s">
        <v>96</v>
      </c>
      <c r="S3" s="49" t="s">
        <v>97</v>
      </c>
      <c r="T3" s="49" t="s">
        <v>98</v>
      </c>
      <c r="U3" s="48" t="s">
        <v>99</v>
      </c>
      <c r="V3" s="49" t="s">
        <v>100</v>
      </c>
      <c r="W3" s="49" t="s">
        <v>101</v>
      </c>
      <c r="X3" s="48" t="s">
        <v>95</v>
      </c>
      <c r="Y3" s="49" t="s">
        <v>96</v>
      </c>
      <c r="Z3" s="49" t="s">
        <v>97</v>
      </c>
      <c r="AA3" s="48" t="s">
        <v>98</v>
      </c>
      <c r="AB3" s="49" t="s">
        <v>99</v>
      </c>
      <c r="AC3" s="49" t="s">
        <v>100</v>
      </c>
      <c r="AD3" s="48" t="s">
        <v>101</v>
      </c>
      <c r="AE3" s="49" t="s">
        <v>95</v>
      </c>
      <c r="AF3" s="49" t="s">
        <v>96</v>
      </c>
      <c r="AG3" s="48" t="s">
        <v>97</v>
      </c>
      <c r="AH3" s="49" t="s">
        <v>98</v>
      </c>
      <c r="AI3" s="49" t="s">
        <v>99</v>
      </c>
      <c r="AJ3" s="48" t="s">
        <v>100</v>
      </c>
      <c r="AL3" s="143"/>
      <c r="AM3" s="143"/>
      <c r="AN3" s="143"/>
      <c r="AO3" s="143"/>
      <c r="AP3" s="143"/>
    </row>
    <row r="4" spans="2:42" ht="19.5" customHeight="1" thickBot="1" x14ac:dyDescent="0.3">
      <c r="B4" s="148"/>
      <c r="C4" s="148"/>
      <c r="D4" s="148"/>
      <c r="F4" s="45">
        <v>1</v>
      </c>
      <c r="G4" s="46">
        <v>2</v>
      </c>
      <c r="H4" s="46">
        <v>3</v>
      </c>
      <c r="I4" s="46">
        <v>4</v>
      </c>
      <c r="J4" s="46">
        <v>5</v>
      </c>
      <c r="K4" s="46">
        <v>6</v>
      </c>
      <c r="L4" s="46">
        <v>7</v>
      </c>
      <c r="M4" s="46">
        <v>8</v>
      </c>
      <c r="N4" s="46">
        <v>9</v>
      </c>
      <c r="O4" s="46">
        <v>10</v>
      </c>
      <c r="P4" s="46">
        <v>11</v>
      </c>
      <c r="Q4" s="46">
        <v>12</v>
      </c>
      <c r="R4" s="46">
        <v>13</v>
      </c>
      <c r="S4" s="46">
        <v>14</v>
      </c>
      <c r="T4" s="46">
        <v>15</v>
      </c>
      <c r="U4" s="46">
        <v>16</v>
      </c>
      <c r="V4" s="46">
        <v>17</v>
      </c>
      <c r="W4" s="46">
        <v>18</v>
      </c>
      <c r="X4" s="46">
        <v>19</v>
      </c>
      <c r="Y4" s="46">
        <v>20</v>
      </c>
      <c r="Z4" s="46">
        <v>21</v>
      </c>
      <c r="AA4" s="46">
        <v>22</v>
      </c>
      <c r="AB4" s="46">
        <v>23</v>
      </c>
      <c r="AC4" s="46">
        <v>24</v>
      </c>
      <c r="AD4" s="46">
        <v>25</v>
      </c>
      <c r="AE4" s="46">
        <v>26</v>
      </c>
      <c r="AF4" s="46">
        <v>27</v>
      </c>
      <c r="AG4" s="46">
        <v>28</v>
      </c>
      <c r="AH4" s="46">
        <v>29</v>
      </c>
      <c r="AI4" s="47">
        <v>30</v>
      </c>
      <c r="AJ4" s="114">
        <v>31</v>
      </c>
      <c r="AL4" s="144"/>
      <c r="AM4" s="144"/>
      <c r="AN4" s="144"/>
      <c r="AO4" s="144"/>
      <c r="AP4" s="144"/>
    </row>
    <row r="5" spans="2:42" ht="18.75" x14ac:dyDescent="0.25">
      <c r="B5" s="37">
        <v>1</v>
      </c>
      <c r="C5" s="145" t="s">
        <v>146</v>
      </c>
      <c r="D5" s="145"/>
      <c r="F5" s="44" t="s">
        <v>257</v>
      </c>
      <c r="G5" s="44" t="s">
        <v>257</v>
      </c>
      <c r="H5" s="44" t="s">
        <v>229</v>
      </c>
      <c r="I5" s="44" t="s">
        <v>229</v>
      </c>
      <c r="J5" s="44" t="s">
        <v>230</v>
      </c>
      <c r="K5" s="44" t="s">
        <v>230</v>
      </c>
      <c r="L5" s="44" t="s">
        <v>254</v>
      </c>
      <c r="M5" s="44" t="s">
        <v>257</v>
      </c>
      <c r="N5" s="44" t="s">
        <v>257</v>
      </c>
      <c r="O5" s="44" t="s">
        <v>257</v>
      </c>
      <c r="P5" s="44" t="s">
        <v>229</v>
      </c>
      <c r="Q5" s="44" t="s">
        <v>229</v>
      </c>
      <c r="R5" s="44" t="s">
        <v>230</v>
      </c>
      <c r="S5" s="44" t="s">
        <v>254</v>
      </c>
      <c r="T5" s="44" t="s">
        <v>254</v>
      </c>
      <c r="U5" s="44" t="s">
        <v>257</v>
      </c>
      <c r="V5" s="44" t="s">
        <v>257</v>
      </c>
      <c r="W5" s="44" t="s">
        <v>257</v>
      </c>
      <c r="X5" s="44" t="s">
        <v>229</v>
      </c>
      <c r="Y5" s="44" t="s">
        <v>230</v>
      </c>
      <c r="Z5" s="44" t="s">
        <v>230</v>
      </c>
      <c r="AA5" s="44" t="s">
        <v>254</v>
      </c>
      <c r="AB5" s="44" t="s">
        <v>254</v>
      </c>
      <c r="AC5" s="44" t="s">
        <v>257</v>
      </c>
      <c r="AD5" s="44" t="s">
        <v>257</v>
      </c>
      <c r="AE5" s="44" t="s">
        <v>257</v>
      </c>
      <c r="AF5" s="44" t="s">
        <v>258</v>
      </c>
      <c r="AG5" s="44" t="s">
        <v>258</v>
      </c>
      <c r="AH5" s="44" t="s">
        <v>258</v>
      </c>
      <c r="AI5" s="44" t="s">
        <v>258</v>
      </c>
      <c r="AJ5" s="44" t="s">
        <v>258</v>
      </c>
      <c r="AL5" s="50">
        <f t="shared" ref="AL5:AL40" si="0">COUNTIF($F5:$AJ5,"ST*")</f>
        <v>0</v>
      </c>
      <c r="AM5" s="50">
        <f t="shared" ref="AM5:AM40" si="1">COUNTIF($F5:$AJ5,"M*")</f>
        <v>5</v>
      </c>
      <c r="AN5" s="50">
        <f t="shared" ref="AN5:AN40" si="2">COUNTIF($F5:$AJ5,"A*")</f>
        <v>5</v>
      </c>
      <c r="AO5" s="50">
        <f t="shared" ref="AO5:AO40" si="3">COUNTIF($F5:$AJ5,"N*")</f>
        <v>5</v>
      </c>
      <c r="AP5" s="50">
        <f t="shared" ref="AP5:AP40" si="4">COUNTIF($F5:$AJ5,"O*")</f>
        <v>11</v>
      </c>
    </row>
    <row r="6" spans="2:42" ht="18.75" x14ac:dyDescent="0.25">
      <c r="B6" s="37">
        <v>2</v>
      </c>
      <c r="C6" s="145" t="s">
        <v>149</v>
      </c>
      <c r="D6" s="145"/>
      <c r="F6" s="51" t="s">
        <v>229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51" t="s">
        <v>229</v>
      </c>
      <c r="N6" s="51" t="s">
        <v>229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51" t="s">
        <v>229</v>
      </c>
      <c r="V6" s="51" t="s">
        <v>229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51" t="s">
        <v>229</v>
      </c>
      <c r="AD6" s="51" t="s">
        <v>229</v>
      </c>
      <c r="AE6" s="51" t="s">
        <v>229</v>
      </c>
      <c r="AF6" s="51" t="s">
        <v>230</v>
      </c>
      <c r="AG6" s="51" t="s">
        <v>254</v>
      </c>
      <c r="AH6" s="51" t="s">
        <v>257</v>
      </c>
      <c r="AI6" s="51" t="s">
        <v>257</v>
      </c>
      <c r="AJ6" s="51" t="s">
        <v>257</v>
      </c>
      <c r="AL6" s="50">
        <f t="shared" si="0"/>
        <v>0</v>
      </c>
      <c r="AM6" s="50">
        <f t="shared" si="1"/>
        <v>8</v>
      </c>
      <c r="AN6" s="50">
        <f t="shared" si="2"/>
        <v>4</v>
      </c>
      <c r="AO6" s="50">
        <f t="shared" si="3"/>
        <v>7</v>
      </c>
      <c r="AP6" s="50">
        <f t="shared" si="4"/>
        <v>12</v>
      </c>
    </row>
    <row r="7" spans="2:42" ht="18.75" x14ac:dyDescent="0.25">
      <c r="B7" s="37">
        <v>3</v>
      </c>
      <c r="C7" s="145" t="s">
        <v>150</v>
      </c>
      <c r="D7" s="145"/>
      <c r="F7" s="51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51" t="s">
        <v>229</v>
      </c>
      <c r="M7" s="51" t="s">
        <v>230</v>
      </c>
      <c r="N7" s="51" t="s">
        <v>254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51" t="s">
        <v>229</v>
      </c>
      <c r="U7" s="51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51" t="s">
        <v>229</v>
      </c>
      <c r="AC7" s="51" t="s">
        <v>229</v>
      </c>
      <c r="AD7" s="51" t="s">
        <v>230</v>
      </c>
      <c r="AE7" s="51" t="s">
        <v>230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51" t="s">
        <v>229</v>
      </c>
      <c r="AL7" s="50">
        <f t="shared" si="0"/>
        <v>0</v>
      </c>
      <c r="AM7" s="50">
        <f t="shared" si="1"/>
        <v>6</v>
      </c>
      <c r="AN7" s="50">
        <f t="shared" si="2"/>
        <v>5</v>
      </c>
      <c r="AO7" s="50">
        <f t="shared" si="3"/>
        <v>8</v>
      </c>
      <c r="AP7" s="50">
        <f t="shared" si="4"/>
        <v>12</v>
      </c>
    </row>
    <row r="8" spans="2:42" ht="18.75" x14ac:dyDescent="0.25">
      <c r="B8" s="37">
        <v>4</v>
      </c>
      <c r="C8" s="145" t="s">
        <v>151</v>
      </c>
      <c r="D8" s="145"/>
      <c r="F8" s="51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56" t="s">
        <v>258</v>
      </c>
      <c r="L8" s="56" t="s">
        <v>258</v>
      </c>
      <c r="M8" s="56" t="s">
        <v>258</v>
      </c>
      <c r="N8" s="56" t="s">
        <v>258</v>
      </c>
      <c r="O8" s="56" t="s">
        <v>258</v>
      </c>
      <c r="P8" s="56" t="s">
        <v>258</v>
      </c>
      <c r="Q8" s="56" t="s">
        <v>257</v>
      </c>
      <c r="R8" s="56" t="s">
        <v>257</v>
      </c>
      <c r="S8" s="51" t="s">
        <v>229</v>
      </c>
      <c r="T8" s="51" t="s">
        <v>229</v>
      </c>
      <c r="U8" s="51" t="s">
        <v>230</v>
      </c>
      <c r="V8" s="51" t="s">
        <v>230</v>
      </c>
      <c r="W8" s="51" t="s">
        <v>254</v>
      </c>
      <c r="X8" s="51" t="s">
        <v>257</v>
      </c>
      <c r="Y8" s="51" t="s">
        <v>257</v>
      </c>
      <c r="Z8" s="51" t="s">
        <v>257</v>
      </c>
      <c r="AA8" s="51" t="s">
        <v>229</v>
      </c>
      <c r="AB8" s="51" t="s">
        <v>229</v>
      </c>
      <c r="AC8" s="51" t="s">
        <v>230</v>
      </c>
      <c r="AD8" s="51" t="s">
        <v>254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56" t="s">
        <v>229</v>
      </c>
      <c r="AJ8" s="56" t="s">
        <v>230</v>
      </c>
      <c r="AL8" s="50">
        <f t="shared" si="0"/>
        <v>0</v>
      </c>
      <c r="AM8" s="50">
        <f t="shared" si="1"/>
        <v>5</v>
      </c>
      <c r="AN8" s="50">
        <f t="shared" si="2"/>
        <v>4</v>
      </c>
      <c r="AO8" s="50">
        <f t="shared" si="3"/>
        <v>5</v>
      </c>
      <c r="AP8" s="50">
        <f t="shared" si="4"/>
        <v>11</v>
      </c>
    </row>
    <row r="9" spans="2:42" ht="18.75" x14ac:dyDescent="0.25">
      <c r="B9" s="37">
        <v>5</v>
      </c>
      <c r="C9" s="145" t="s">
        <v>152</v>
      </c>
      <c r="D9" s="145"/>
      <c r="F9" s="51" t="s">
        <v>254</v>
      </c>
      <c r="G9" s="51" t="s">
        <v>257</v>
      </c>
      <c r="H9" s="51" t="s">
        <v>257</v>
      </c>
      <c r="I9" s="51" t="s">
        <v>257</v>
      </c>
      <c r="J9" s="51" t="s">
        <v>229</v>
      </c>
      <c r="K9" s="51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51" t="s">
        <v>229</v>
      </c>
      <c r="S9" s="51" t="s">
        <v>230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51" t="s">
        <v>229</v>
      </c>
      <c r="AA9" s="51" t="s">
        <v>229</v>
      </c>
      <c r="AB9" s="51" t="s">
        <v>230</v>
      </c>
      <c r="AC9" s="51" t="s">
        <v>254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51" t="s">
        <v>229</v>
      </c>
      <c r="AI9" s="51" t="s">
        <v>230</v>
      </c>
      <c r="AJ9" s="51" t="s">
        <v>230</v>
      </c>
      <c r="AL9" s="50">
        <f t="shared" si="0"/>
        <v>0</v>
      </c>
      <c r="AM9" s="50">
        <f t="shared" si="1"/>
        <v>6</v>
      </c>
      <c r="AN9" s="50">
        <f t="shared" si="2"/>
        <v>6</v>
      </c>
      <c r="AO9" s="50">
        <f t="shared" si="3"/>
        <v>7</v>
      </c>
      <c r="AP9" s="50">
        <f t="shared" si="4"/>
        <v>12</v>
      </c>
    </row>
    <row r="10" spans="2:42" ht="18.75" x14ac:dyDescent="0.25">
      <c r="B10" s="37">
        <v>6</v>
      </c>
      <c r="C10" s="145" t="s">
        <v>153</v>
      </c>
      <c r="D10" s="145"/>
      <c r="F10" s="51" t="s">
        <v>257</v>
      </c>
      <c r="G10" s="51" t="s">
        <v>257</v>
      </c>
      <c r="H10" s="51" t="s">
        <v>257</v>
      </c>
      <c r="I10" s="51" t="s">
        <v>229</v>
      </c>
      <c r="J10" s="51" t="s">
        <v>144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51" t="s">
        <v>229</v>
      </c>
      <c r="R10" s="51" t="s">
        <v>230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51" t="s">
        <v>229</v>
      </c>
      <c r="Z10" s="51" t="s">
        <v>230</v>
      </c>
      <c r="AA10" s="51" t="s">
        <v>230</v>
      </c>
      <c r="AB10" s="51" t="s">
        <v>254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51" t="s">
        <v>229</v>
      </c>
      <c r="AH10" s="51" t="s">
        <v>230</v>
      </c>
      <c r="AI10" s="51" t="s">
        <v>230</v>
      </c>
      <c r="AJ10" s="51" t="s">
        <v>254</v>
      </c>
      <c r="AL10" s="50">
        <f t="shared" si="0"/>
        <v>0</v>
      </c>
      <c r="AM10" s="50">
        <f t="shared" si="1"/>
        <v>4</v>
      </c>
      <c r="AN10" s="50">
        <f t="shared" si="2"/>
        <v>7</v>
      </c>
      <c r="AO10" s="50">
        <f t="shared" si="3"/>
        <v>7</v>
      </c>
      <c r="AP10" s="50">
        <f t="shared" si="4"/>
        <v>12</v>
      </c>
    </row>
    <row r="11" spans="2:42" ht="18.75" x14ac:dyDescent="0.25">
      <c r="B11" s="37">
        <v>7</v>
      </c>
      <c r="C11" s="145" t="s">
        <v>154</v>
      </c>
      <c r="D11" s="145"/>
      <c r="F11" s="51" t="s">
        <v>257</v>
      </c>
      <c r="G11" s="51" t="s">
        <v>257</v>
      </c>
      <c r="H11" s="51" t="s">
        <v>229</v>
      </c>
      <c r="I11" s="51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103" t="s">
        <v>229</v>
      </c>
      <c r="Q11" s="104" t="s">
        <v>144</v>
      </c>
      <c r="R11" s="104" t="s">
        <v>230</v>
      </c>
      <c r="S11" s="104" t="s">
        <v>254</v>
      </c>
      <c r="T11" s="104" t="s">
        <v>254</v>
      </c>
      <c r="U11" s="56" t="s">
        <v>257</v>
      </c>
      <c r="V11" s="57" t="s">
        <v>257</v>
      </c>
      <c r="W11" s="51" t="s">
        <v>257</v>
      </c>
      <c r="X11" s="51" t="s">
        <v>229</v>
      </c>
      <c r="Y11" s="51" t="s">
        <v>230</v>
      </c>
      <c r="Z11" s="51" t="s">
        <v>230</v>
      </c>
      <c r="AA11" s="51" t="s">
        <v>230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51" t="s">
        <v>229</v>
      </c>
      <c r="AG11" s="51" t="s">
        <v>230</v>
      </c>
      <c r="AH11" s="51" t="s">
        <v>230</v>
      </c>
      <c r="AI11" s="51" t="s">
        <v>254</v>
      </c>
      <c r="AJ11" s="51" t="s">
        <v>254</v>
      </c>
      <c r="AL11" s="50">
        <f t="shared" si="0"/>
        <v>0</v>
      </c>
      <c r="AM11" s="50">
        <f t="shared" si="1"/>
        <v>5</v>
      </c>
      <c r="AN11" s="50">
        <f t="shared" si="2"/>
        <v>7</v>
      </c>
      <c r="AO11" s="50">
        <f t="shared" si="3"/>
        <v>7</v>
      </c>
      <c r="AP11" s="50">
        <f t="shared" si="4"/>
        <v>11</v>
      </c>
    </row>
    <row r="12" spans="2:42" ht="18.75" x14ac:dyDescent="0.25">
      <c r="B12" s="37">
        <v>8</v>
      </c>
      <c r="C12" s="145" t="s">
        <v>155</v>
      </c>
      <c r="D12" s="145"/>
      <c r="F12" s="51" t="s">
        <v>257</v>
      </c>
      <c r="G12" s="51" t="s">
        <v>258</v>
      </c>
      <c r="H12" s="51" t="s">
        <v>258</v>
      </c>
      <c r="I12" s="51" t="s">
        <v>258</v>
      </c>
      <c r="J12" s="51" t="s">
        <v>258</v>
      </c>
      <c r="K12" s="51" t="s">
        <v>258</v>
      </c>
      <c r="L12" s="51" t="s">
        <v>258</v>
      </c>
      <c r="M12" s="51" t="s">
        <v>257</v>
      </c>
      <c r="N12" s="51" t="s">
        <v>257</v>
      </c>
      <c r="O12" s="103" t="s">
        <v>229</v>
      </c>
      <c r="P12" s="104" t="s">
        <v>230</v>
      </c>
      <c r="Q12" s="104" t="s">
        <v>230</v>
      </c>
      <c r="R12" s="104" t="s">
        <v>254</v>
      </c>
      <c r="S12" s="104" t="s">
        <v>254</v>
      </c>
      <c r="T12" s="56" t="s">
        <v>257</v>
      </c>
      <c r="U12" s="56" t="s">
        <v>257</v>
      </c>
      <c r="V12" s="57" t="s">
        <v>257</v>
      </c>
      <c r="W12" s="51" t="s">
        <v>229</v>
      </c>
      <c r="X12" s="51" t="s">
        <v>230</v>
      </c>
      <c r="Y12" s="51" t="s">
        <v>254</v>
      </c>
      <c r="Z12" s="51" t="s">
        <v>254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229</v>
      </c>
      <c r="AF12" s="51" t="s">
        <v>230</v>
      </c>
      <c r="AG12" s="51" t="s">
        <v>230</v>
      </c>
      <c r="AH12" s="51" t="s">
        <v>254</v>
      </c>
      <c r="AI12" s="51" t="s">
        <v>254</v>
      </c>
      <c r="AJ12" s="51" t="s">
        <v>257</v>
      </c>
      <c r="AL12" s="50">
        <f t="shared" si="0"/>
        <v>0</v>
      </c>
      <c r="AM12" s="50">
        <f t="shared" si="1"/>
        <v>3</v>
      </c>
      <c r="AN12" s="50">
        <f t="shared" si="2"/>
        <v>5</v>
      </c>
      <c r="AO12" s="50">
        <f t="shared" si="3"/>
        <v>7</v>
      </c>
      <c r="AP12" s="50">
        <f t="shared" si="4"/>
        <v>10</v>
      </c>
    </row>
    <row r="13" spans="2:42" ht="18.75" x14ac:dyDescent="0.25">
      <c r="B13" s="37">
        <v>9</v>
      </c>
      <c r="C13" s="145" t="s">
        <v>156</v>
      </c>
      <c r="D13" s="145"/>
      <c r="F13" s="51" t="s">
        <v>229</v>
      </c>
      <c r="G13" s="51" t="s">
        <v>230</v>
      </c>
      <c r="H13" s="51" t="s">
        <v>230</v>
      </c>
      <c r="I13" s="51" t="s">
        <v>230</v>
      </c>
      <c r="J13" s="51" t="s">
        <v>254</v>
      </c>
      <c r="K13" s="51" t="s">
        <v>257</v>
      </c>
      <c r="L13" s="51" t="s">
        <v>257</v>
      </c>
      <c r="M13" s="51" t="s">
        <v>257</v>
      </c>
      <c r="N13" s="103" t="s">
        <v>229</v>
      </c>
      <c r="O13" s="104" t="s">
        <v>230</v>
      </c>
      <c r="P13" s="104" t="s">
        <v>230</v>
      </c>
      <c r="Q13" s="104" t="s">
        <v>254</v>
      </c>
      <c r="R13" s="104" t="s">
        <v>254</v>
      </c>
      <c r="S13" s="56" t="s">
        <v>257</v>
      </c>
      <c r="T13" s="56" t="s">
        <v>257</v>
      </c>
      <c r="U13" s="56" t="s">
        <v>257</v>
      </c>
      <c r="V13" s="51" t="s">
        <v>258</v>
      </c>
      <c r="W13" s="51" t="s">
        <v>258</v>
      </c>
      <c r="X13" s="51" t="s">
        <v>258</v>
      </c>
      <c r="Y13" s="51" t="s">
        <v>258</v>
      </c>
      <c r="Z13" s="51" t="s">
        <v>258</v>
      </c>
      <c r="AA13" s="51" t="s">
        <v>258</v>
      </c>
      <c r="AB13" s="51" t="s">
        <v>257</v>
      </c>
      <c r="AC13" s="51" t="s">
        <v>257</v>
      </c>
      <c r="AD13" s="51" t="s">
        <v>229</v>
      </c>
      <c r="AE13" s="51" t="s">
        <v>230</v>
      </c>
      <c r="AF13" s="51" t="s">
        <v>230</v>
      </c>
      <c r="AG13" s="51" t="s">
        <v>254</v>
      </c>
      <c r="AH13" s="51" t="s">
        <v>254</v>
      </c>
      <c r="AI13" s="51" t="s">
        <v>257</v>
      </c>
      <c r="AJ13" s="51" t="s">
        <v>257</v>
      </c>
      <c r="AL13" s="50">
        <f t="shared" si="0"/>
        <v>0</v>
      </c>
      <c r="AM13" s="50">
        <f t="shared" si="1"/>
        <v>3</v>
      </c>
      <c r="AN13" s="50">
        <f t="shared" si="2"/>
        <v>7</v>
      </c>
      <c r="AO13" s="50">
        <f t="shared" si="3"/>
        <v>5</v>
      </c>
      <c r="AP13" s="50">
        <f t="shared" si="4"/>
        <v>10</v>
      </c>
    </row>
    <row r="14" spans="2:42" ht="18.75" x14ac:dyDescent="0.25">
      <c r="B14" s="37">
        <v>10</v>
      </c>
      <c r="C14" s="145" t="s">
        <v>157</v>
      </c>
      <c r="D14" s="145"/>
      <c r="F14" s="51" t="s">
        <v>230</v>
      </c>
      <c r="G14" s="51" t="s">
        <v>230</v>
      </c>
      <c r="H14" s="51" t="s">
        <v>254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103" t="s">
        <v>229</v>
      </c>
      <c r="N14" s="104" t="s">
        <v>230</v>
      </c>
      <c r="O14" s="104" t="s">
        <v>230</v>
      </c>
      <c r="P14" s="104" t="s">
        <v>254</v>
      </c>
      <c r="Q14" s="104" t="s">
        <v>254</v>
      </c>
      <c r="R14" s="51" t="s">
        <v>257</v>
      </c>
      <c r="S14" s="51" t="s">
        <v>257</v>
      </c>
      <c r="T14" s="51" t="s">
        <v>257</v>
      </c>
      <c r="U14" s="51" t="s">
        <v>229</v>
      </c>
      <c r="V14" s="51" t="s">
        <v>229</v>
      </c>
      <c r="W14" s="51" t="s">
        <v>230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51" t="s">
        <v>229</v>
      </c>
      <c r="AD14" s="51" t="s">
        <v>229</v>
      </c>
      <c r="AE14" s="51" t="s">
        <v>230</v>
      </c>
      <c r="AF14" s="51" t="s">
        <v>254</v>
      </c>
      <c r="AG14" s="51" t="s">
        <v>254</v>
      </c>
      <c r="AH14" s="51" t="s">
        <v>257</v>
      </c>
      <c r="AI14" s="51" t="s">
        <v>257</v>
      </c>
      <c r="AJ14" s="51" t="s">
        <v>257</v>
      </c>
      <c r="AL14" s="50">
        <f t="shared" si="0"/>
        <v>0</v>
      </c>
      <c r="AM14" s="50">
        <f t="shared" si="1"/>
        <v>5</v>
      </c>
      <c r="AN14" s="50">
        <f t="shared" si="2"/>
        <v>7</v>
      </c>
      <c r="AO14" s="50">
        <f t="shared" si="3"/>
        <v>7</v>
      </c>
      <c r="AP14" s="50">
        <f t="shared" si="4"/>
        <v>12</v>
      </c>
    </row>
    <row r="15" spans="2:42" ht="18.75" x14ac:dyDescent="0.25">
      <c r="B15" s="37">
        <v>11</v>
      </c>
      <c r="C15" s="145" t="s">
        <v>158</v>
      </c>
      <c r="D15" s="145"/>
      <c r="F15" s="51" t="s">
        <v>258</v>
      </c>
      <c r="G15" s="51" t="s">
        <v>258</v>
      </c>
      <c r="H15" s="51" t="s">
        <v>258</v>
      </c>
      <c r="I15" s="51" t="s">
        <v>258</v>
      </c>
      <c r="J15" s="51" t="s">
        <v>258</v>
      </c>
      <c r="K15" s="51" t="s">
        <v>258</v>
      </c>
      <c r="L15" s="51" t="s">
        <v>258</v>
      </c>
      <c r="M15" s="51" t="s">
        <v>258</v>
      </c>
      <c r="N15" s="51" t="s">
        <v>258</v>
      </c>
      <c r="O15" s="51" t="s">
        <v>258</v>
      </c>
      <c r="P15" s="51" t="s">
        <v>258</v>
      </c>
      <c r="Q15" s="51" t="s">
        <v>258</v>
      </c>
      <c r="R15" s="51" t="s">
        <v>257</v>
      </c>
      <c r="S15" s="51" t="s">
        <v>257</v>
      </c>
      <c r="T15" s="51" t="s">
        <v>229</v>
      </c>
      <c r="U15" s="51" t="s">
        <v>230</v>
      </c>
      <c r="V15" s="113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51" t="s">
        <v>229</v>
      </c>
      <c r="AC15" s="51" t="s">
        <v>230</v>
      </c>
      <c r="AD15" s="51" t="s">
        <v>230</v>
      </c>
      <c r="AE15" s="51" t="s">
        <v>144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51" t="s">
        <v>229</v>
      </c>
      <c r="AL15" s="50">
        <f t="shared" si="0"/>
        <v>0</v>
      </c>
      <c r="AM15" s="50">
        <f t="shared" si="1"/>
        <v>3</v>
      </c>
      <c r="AN15" s="50">
        <f t="shared" si="2"/>
        <v>5</v>
      </c>
      <c r="AO15" s="50">
        <f t="shared" si="3"/>
        <v>2</v>
      </c>
      <c r="AP15" s="50">
        <f t="shared" si="4"/>
        <v>8</v>
      </c>
    </row>
    <row r="16" spans="2:42" ht="18.75" x14ac:dyDescent="0.25">
      <c r="B16" s="37">
        <v>12</v>
      </c>
      <c r="C16" s="145" t="s">
        <v>166</v>
      </c>
      <c r="D16" s="145"/>
      <c r="F16" s="51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51" t="s">
        <v>229</v>
      </c>
      <c r="L16" s="51" t="s">
        <v>229</v>
      </c>
      <c r="M16" s="51" t="s">
        <v>230</v>
      </c>
      <c r="N16" s="51" t="s">
        <v>254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51" t="s">
        <v>229</v>
      </c>
      <c r="T16" s="51" t="s">
        <v>230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51" t="s">
        <v>229</v>
      </c>
      <c r="AB16" s="51" t="s">
        <v>230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51" t="s">
        <v>229</v>
      </c>
      <c r="AJ16" s="51" t="s">
        <v>230</v>
      </c>
      <c r="AL16" s="50">
        <f t="shared" si="0"/>
        <v>0</v>
      </c>
      <c r="AM16" s="50">
        <f t="shared" si="1"/>
        <v>5</v>
      </c>
      <c r="AN16" s="50">
        <f t="shared" si="2"/>
        <v>6</v>
      </c>
      <c r="AO16" s="50">
        <f t="shared" si="3"/>
        <v>8</v>
      </c>
      <c r="AP16" s="50">
        <f t="shared" si="4"/>
        <v>12</v>
      </c>
    </row>
    <row r="17" spans="2:42" ht="18.75" x14ac:dyDescent="0.25">
      <c r="B17" s="37">
        <v>13</v>
      </c>
      <c r="C17" s="145" t="s">
        <v>159</v>
      </c>
      <c r="D17" s="145"/>
      <c r="F17" s="51" t="s">
        <v>254</v>
      </c>
      <c r="G17" s="51" t="s">
        <v>257</v>
      </c>
      <c r="H17" s="51" t="s">
        <v>257</v>
      </c>
      <c r="I17" s="51" t="s">
        <v>257</v>
      </c>
      <c r="J17" s="51" t="s">
        <v>144</v>
      </c>
      <c r="K17" s="51" t="s">
        <v>229</v>
      </c>
      <c r="L17" s="51" t="s">
        <v>230</v>
      </c>
      <c r="M17" s="51" t="s">
        <v>230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51" t="s">
        <v>229</v>
      </c>
      <c r="S17" s="51" t="s">
        <v>229</v>
      </c>
      <c r="T17" s="51" t="s">
        <v>230</v>
      </c>
      <c r="U17" s="51" t="s">
        <v>254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51" t="s">
        <v>229</v>
      </c>
      <c r="AA17" s="51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51" t="s">
        <v>229</v>
      </c>
      <c r="AI17" s="51" t="s">
        <v>229</v>
      </c>
      <c r="AJ17" s="51" t="s">
        <v>230</v>
      </c>
      <c r="AL17" s="50">
        <f t="shared" si="0"/>
        <v>0</v>
      </c>
      <c r="AM17" s="50">
        <f t="shared" si="1"/>
        <v>7</v>
      </c>
      <c r="AN17" s="50">
        <f t="shared" si="2"/>
        <v>5</v>
      </c>
      <c r="AO17" s="50">
        <f t="shared" si="3"/>
        <v>6</v>
      </c>
      <c r="AP17" s="50">
        <f t="shared" si="4"/>
        <v>12</v>
      </c>
    </row>
    <row r="18" spans="2:42" ht="18.75" x14ac:dyDescent="0.25">
      <c r="B18" s="37">
        <v>14</v>
      </c>
      <c r="C18" s="145" t="s">
        <v>160</v>
      </c>
      <c r="D18" s="145"/>
      <c r="F18" s="51" t="s">
        <v>257</v>
      </c>
      <c r="G18" s="51" t="s">
        <v>257</v>
      </c>
      <c r="H18" s="51" t="s">
        <v>257</v>
      </c>
      <c r="I18" s="51" t="s">
        <v>258</v>
      </c>
      <c r="J18" s="51" t="s">
        <v>229</v>
      </c>
      <c r="K18" s="51" t="s">
        <v>258</v>
      </c>
      <c r="L18" s="51" t="s">
        <v>230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51" t="s">
        <v>229</v>
      </c>
      <c r="R18" s="51" t="s">
        <v>144</v>
      </c>
      <c r="S18" s="51" t="s">
        <v>230</v>
      </c>
      <c r="T18" s="51" t="s">
        <v>254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51" t="s">
        <v>229</v>
      </c>
      <c r="Z18" s="51" t="s">
        <v>229</v>
      </c>
      <c r="AA18" s="51" t="s">
        <v>230</v>
      </c>
      <c r="AB18" s="51" t="s">
        <v>230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51" t="s">
        <v>229</v>
      </c>
      <c r="AH18" s="51" t="s">
        <v>229</v>
      </c>
      <c r="AI18" s="51" t="s">
        <v>230</v>
      </c>
      <c r="AJ18" s="51" t="s">
        <v>254</v>
      </c>
      <c r="AL18" s="50">
        <f t="shared" si="0"/>
        <v>0</v>
      </c>
      <c r="AM18" s="50">
        <f t="shared" si="1"/>
        <v>6</v>
      </c>
      <c r="AN18" s="50">
        <f t="shared" si="2"/>
        <v>5</v>
      </c>
      <c r="AO18" s="50">
        <f t="shared" si="3"/>
        <v>5</v>
      </c>
      <c r="AP18" s="50">
        <f t="shared" si="4"/>
        <v>12</v>
      </c>
    </row>
    <row r="19" spans="2:42" ht="18.75" x14ac:dyDescent="0.25">
      <c r="B19" s="37">
        <v>15</v>
      </c>
      <c r="C19" s="145" t="s">
        <v>161</v>
      </c>
      <c r="D19" s="145"/>
      <c r="F19" s="51" t="s">
        <v>257</v>
      </c>
      <c r="G19" s="51" t="s">
        <v>257</v>
      </c>
      <c r="H19" s="51" t="s">
        <v>229</v>
      </c>
      <c r="I19" s="51" t="s">
        <v>229</v>
      </c>
      <c r="J19" s="51" t="s">
        <v>229</v>
      </c>
      <c r="K19" s="51" t="s">
        <v>144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51" t="s">
        <v>229</v>
      </c>
      <c r="Q19" s="51" t="s">
        <v>230</v>
      </c>
      <c r="R19" s="51" t="s">
        <v>230</v>
      </c>
      <c r="S19" s="51" t="s">
        <v>254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51" t="s">
        <v>258</v>
      </c>
      <c r="Y19" s="51" t="s">
        <v>258</v>
      </c>
      <c r="Z19" s="51" t="s">
        <v>258</v>
      </c>
      <c r="AA19" s="51" t="s">
        <v>258</v>
      </c>
      <c r="AB19" s="51" t="s">
        <v>258</v>
      </c>
      <c r="AC19" s="51" t="s">
        <v>258</v>
      </c>
      <c r="AD19" s="51" t="s">
        <v>257</v>
      </c>
      <c r="AE19" s="51" t="s">
        <v>257</v>
      </c>
      <c r="AF19" s="51" t="s">
        <v>229</v>
      </c>
      <c r="AG19" s="51" t="s">
        <v>230</v>
      </c>
      <c r="AH19" s="51" t="s">
        <v>230</v>
      </c>
      <c r="AI19" s="51" t="s">
        <v>254</v>
      </c>
      <c r="AJ19" s="51" t="s">
        <v>254</v>
      </c>
      <c r="AL19" s="50">
        <f t="shared" si="0"/>
        <v>0</v>
      </c>
      <c r="AM19" s="50">
        <f t="shared" si="1"/>
        <v>5</v>
      </c>
      <c r="AN19" s="50">
        <f t="shared" si="2"/>
        <v>4</v>
      </c>
      <c r="AO19" s="50">
        <f t="shared" si="3"/>
        <v>5</v>
      </c>
      <c r="AP19" s="50">
        <f t="shared" si="4"/>
        <v>10</v>
      </c>
    </row>
    <row r="20" spans="2:42" ht="18.75" x14ac:dyDescent="0.25">
      <c r="B20" s="37">
        <v>16</v>
      </c>
      <c r="C20" s="145" t="s">
        <v>162</v>
      </c>
      <c r="D20" s="145"/>
      <c r="F20" s="104" t="s">
        <v>257</v>
      </c>
      <c r="G20" s="51" t="s">
        <v>229</v>
      </c>
      <c r="H20" s="51" t="s">
        <v>229</v>
      </c>
      <c r="I20" s="51" t="s">
        <v>230</v>
      </c>
      <c r="J20" s="51" t="s">
        <v>230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51" t="s">
        <v>258</v>
      </c>
      <c r="P20" s="51" t="s">
        <v>258</v>
      </c>
      <c r="Q20" s="51" t="s">
        <v>258</v>
      </c>
      <c r="R20" s="51" t="s">
        <v>258</v>
      </c>
      <c r="S20" s="51" t="s">
        <v>258</v>
      </c>
      <c r="T20" s="51" t="s">
        <v>258</v>
      </c>
      <c r="U20" s="51" t="s">
        <v>257</v>
      </c>
      <c r="V20" s="51" t="s">
        <v>257</v>
      </c>
      <c r="W20" s="103" t="s">
        <v>229</v>
      </c>
      <c r="X20" s="104" t="s">
        <v>230</v>
      </c>
      <c r="Y20" s="104" t="s">
        <v>230</v>
      </c>
      <c r="Z20" s="104" t="s">
        <v>254</v>
      </c>
      <c r="AA20" s="104" t="s">
        <v>254</v>
      </c>
      <c r="AB20" s="103" t="s">
        <v>257</v>
      </c>
      <c r="AC20" s="104" t="s">
        <v>257</v>
      </c>
      <c r="AD20" s="104" t="s">
        <v>257</v>
      </c>
      <c r="AE20" s="51" t="s">
        <v>229</v>
      </c>
      <c r="AF20" s="51" t="s">
        <v>229</v>
      </c>
      <c r="AG20" s="51" t="s">
        <v>230</v>
      </c>
      <c r="AH20" s="51" t="s">
        <v>254</v>
      </c>
      <c r="AI20" s="51" t="s">
        <v>254</v>
      </c>
      <c r="AJ20" s="51" t="s">
        <v>257</v>
      </c>
      <c r="AL20" s="50">
        <f t="shared" si="0"/>
        <v>0</v>
      </c>
      <c r="AM20" s="50">
        <f t="shared" si="1"/>
        <v>5</v>
      </c>
      <c r="AN20" s="50">
        <f t="shared" si="2"/>
        <v>5</v>
      </c>
      <c r="AO20" s="50">
        <f t="shared" si="3"/>
        <v>5</v>
      </c>
      <c r="AP20" s="50">
        <f t="shared" si="4"/>
        <v>10</v>
      </c>
    </row>
    <row r="21" spans="2:42" ht="18.75" x14ac:dyDescent="0.25">
      <c r="B21" s="37">
        <v>17</v>
      </c>
      <c r="C21" s="145" t="s">
        <v>163</v>
      </c>
      <c r="D21" s="145"/>
      <c r="F21" s="51" t="s">
        <v>229</v>
      </c>
      <c r="G21" s="51" t="s">
        <v>229</v>
      </c>
      <c r="H21" s="51" t="s">
        <v>230</v>
      </c>
      <c r="I21" s="51" t="s">
        <v>254</v>
      </c>
      <c r="J21" s="51" t="s">
        <v>254</v>
      </c>
      <c r="K21" s="51" t="s">
        <v>257</v>
      </c>
      <c r="L21" s="51" t="s">
        <v>257</v>
      </c>
      <c r="M21" s="51" t="s">
        <v>257</v>
      </c>
      <c r="N21" s="51" t="s">
        <v>229</v>
      </c>
      <c r="O21" s="51" t="s">
        <v>230</v>
      </c>
      <c r="P21" s="51" t="s">
        <v>230</v>
      </c>
      <c r="Q21" s="51" t="s">
        <v>254</v>
      </c>
      <c r="R21" s="51" t="s">
        <v>254</v>
      </c>
      <c r="S21" s="51" t="s">
        <v>257</v>
      </c>
      <c r="T21" s="51" t="s">
        <v>257</v>
      </c>
      <c r="U21" s="51" t="s">
        <v>257</v>
      </c>
      <c r="V21" s="57" t="s">
        <v>258</v>
      </c>
      <c r="W21" s="51" t="s">
        <v>258</v>
      </c>
      <c r="X21" s="51" t="s">
        <v>258</v>
      </c>
      <c r="Y21" s="51" t="s">
        <v>258</v>
      </c>
      <c r="Z21" s="51" t="s">
        <v>258</v>
      </c>
      <c r="AA21" s="51" t="s">
        <v>258</v>
      </c>
      <c r="AB21" s="51" t="s">
        <v>258</v>
      </c>
      <c r="AC21" s="51" t="s">
        <v>258</v>
      </c>
      <c r="AD21" s="51" t="s">
        <v>258</v>
      </c>
      <c r="AE21" s="51" t="s">
        <v>258</v>
      </c>
      <c r="AF21" s="51" t="s">
        <v>258</v>
      </c>
      <c r="AG21" s="51" t="s">
        <v>258</v>
      </c>
      <c r="AH21" s="51" t="s">
        <v>258</v>
      </c>
      <c r="AI21" s="51" t="s">
        <v>258</v>
      </c>
      <c r="AJ21" s="51" t="s">
        <v>257</v>
      </c>
      <c r="AL21" s="50">
        <f t="shared" si="0"/>
        <v>0</v>
      </c>
      <c r="AM21" s="50">
        <f t="shared" si="1"/>
        <v>3</v>
      </c>
      <c r="AN21" s="50">
        <f t="shared" si="2"/>
        <v>3</v>
      </c>
      <c r="AO21" s="50">
        <f t="shared" si="3"/>
        <v>4</v>
      </c>
      <c r="AP21" s="50">
        <f t="shared" si="4"/>
        <v>7</v>
      </c>
    </row>
    <row r="22" spans="2:42" ht="18.75" x14ac:dyDescent="0.25">
      <c r="B22" s="37">
        <v>18</v>
      </c>
      <c r="C22" s="145" t="s">
        <v>164</v>
      </c>
      <c r="D22" s="145"/>
      <c r="F22" s="51" t="s">
        <v>258</v>
      </c>
      <c r="G22" s="51" t="s">
        <v>258</v>
      </c>
      <c r="H22" s="51" t="s">
        <v>258</v>
      </c>
      <c r="I22" s="51" t="s">
        <v>258</v>
      </c>
      <c r="J22" s="51" t="s">
        <v>258</v>
      </c>
      <c r="K22" s="51" t="s">
        <v>258</v>
      </c>
      <c r="L22" s="51" t="s">
        <v>258</v>
      </c>
      <c r="M22" s="51" t="s">
        <v>258</v>
      </c>
      <c r="N22" s="51" t="s">
        <v>258</v>
      </c>
      <c r="O22" s="51" t="s">
        <v>258</v>
      </c>
      <c r="P22" s="51" t="s">
        <v>258</v>
      </c>
      <c r="Q22" s="51" t="s">
        <v>258</v>
      </c>
      <c r="R22" s="51" t="s">
        <v>258</v>
      </c>
      <c r="S22" s="51" t="s">
        <v>258</v>
      </c>
      <c r="T22" s="51" t="s">
        <v>258</v>
      </c>
      <c r="U22" s="51" t="s">
        <v>258</v>
      </c>
      <c r="V22" s="51" t="s">
        <v>258</v>
      </c>
      <c r="W22" s="51" t="s">
        <v>258</v>
      </c>
      <c r="X22" s="51" t="s">
        <v>258</v>
      </c>
      <c r="Y22" s="51" t="s">
        <v>257</v>
      </c>
      <c r="Z22" s="51" t="s">
        <v>257</v>
      </c>
      <c r="AA22" s="51" t="s">
        <v>257</v>
      </c>
      <c r="AB22" s="51" t="s">
        <v>229</v>
      </c>
      <c r="AC22" s="51" t="s">
        <v>229</v>
      </c>
      <c r="AD22" s="51" t="s">
        <v>230</v>
      </c>
      <c r="AE22" s="51" t="s">
        <v>254</v>
      </c>
      <c r="AF22" s="51" t="s">
        <v>254</v>
      </c>
      <c r="AG22" s="51" t="s">
        <v>257</v>
      </c>
      <c r="AH22" s="51" t="s">
        <v>257</v>
      </c>
      <c r="AI22" s="51" t="s">
        <v>257</v>
      </c>
      <c r="AJ22" s="51" t="s">
        <v>229</v>
      </c>
      <c r="AL22" s="50">
        <f t="shared" si="0"/>
        <v>0</v>
      </c>
      <c r="AM22" s="50">
        <f t="shared" si="1"/>
        <v>3</v>
      </c>
      <c r="AN22" s="50">
        <f t="shared" si="2"/>
        <v>1</v>
      </c>
      <c r="AO22" s="50">
        <f t="shared" si="3"/>
        <v>2</v>
      </c>
      <c r="AP22" s="50">
        <f t="shared" si="4"/>
        <v>6</v>
      </c>
    </row>
    <row r="23" spans="2:42" ht="18.75" x14ac:dyDescent="0.25">
      <c r="B23" s="37">
        <v>19</v>
      </c>
      <c r="C23" s="145" t="s">
        <v>165</v>
      </c>
      <c r="D23" s="145"/>
      <c r="F23" s="51" t="s">
        <v>258</v>
      </c>
      <c r="G23" s="51" t="s">
        <v>258</v>
      </c>
      <c r="H23" s="51" t="s">
        <v>258</v>
      </c>
      <c r="I23" s="51" t="s">
        <v>257</v>
      </c>
      <c r="J23" s="51" t="s">
        <v>257</v>
      </c>
      <c r="K23" s="51" t="s">
        <v>229</v>
      </c>
      <c r="L23" s="51" t="s">
        <v>144</v>
      </c>
      <c r="M23" s="51" t="s">
        <v>230</v>
      </c>
      <c r="N23" s="51" t="s">
        <v>254</v>
      </c>
      <c r="O23" s="51" t="s">
        <v>254</v>
      </c>
      <c r="P23" s="51" t="s">
        <v>257</v>
      </c>
      <c r="Q23" s="51" t="s">
        <v>257</v>
      </c>
      <c r="R23" s="51" t="s">
        <v>257</v>
      </c>
      <c r="S23" s="51" t="s">
        <v>229</v>
      </c>
      <c r="T23" s="51" t="s">
        <v>230</v>
      </c>
      <c r="U23" s="51" t="s">
        <v>230</v>
      </c>
      <c r="V23" s="51" t="s">
        <v>254</v>
      </c>
      <c r="W23" s="51" t="s">
        <v>254</v>
      </c>
      <c r="X23" s="51" t="s">
        <v>257</v>
      </c>
      <c r="Y23" s="51" t="s">
        <v>257</v>
      </c>
      <c r="Z23" s="51" t="s">
        <v>257</v>
      </c>
      <c r="AA23" s="51" t="s">
        <v>144</v>
      </c>
      <c r="AB23" s="51" t="s">
        <v>230</v>
      </c>
      <c r="AC23" s="51" t="s">
        <v>230</v>
      </c>
      <c r="AD23" s="51" t="s">
        <v>254</v>
      </c>
      <c r="AE23" s="51" t="s">
        <v>254</v>
      </c>
      <c r="AF23" s="51" t="s">
        <v>257</v>
      </c>
      <c r="AG23" s="51" t="s">
        <v>257</v>
      </c>
      <c r="AH23" s="51" t="s">
        <v>257</v>
      </c>
      <c r="AI23" s="51" t="s">
        <v>229</v>
      </c>
      <c r="AJ23" s="51" t="s">
        <v>230</v>
      </c>
      <c r="AL23" s="50">
        <f t="shared" si="0"/>
        <v>0</v>
      </c>
      <c r="AM23" s="50">
        <f t="shared" si="1"/>
        <v>3</v>
      </c>
      <c r="AN23" s="50">
        <f t="shared" si="2"/>
        <v>6</v>
      </c>
      <c r="AO23" s="50">
        <f t="shared" si="3"/>
        <v>6</v>
      </c>
      <c r="AP23" s="50">
        <f t="shared" si="4"/>
        <v>11</v>
      </c>
    </row>
    <row r="24" spans="2:42" ht="18.75" x14ac:dyDescent="0.25">
      <c r="B24" s="37">
        <v>20</v>
      </c>
      <c r="C24" s="145" t="s">
        <v>167</v>
      </c>
      <c r="D24" s="145"/>
      <c r="F24" s="104" t="s">
        <v>257</v>
      </c>
      <c r="G24" s="104" t="s">
        <v>257</v>
      </c>
      <c r="H24" s="103" t="s">
        <v>257</v>
      </c>
      <c r="I24" s="104" t="s">
        <v>229</v>
      </c>
      <c r="J24" s="104" t="s">
        <v>144</v>
      </c>
      <c r="K24" s="104" t="s">
        <v>230</v>
      </c>
      <c r="L24" s="104" t="s">
        <v>230</v>
      </c>
      <c r="M24" s="103" t="s">
        <v>254</v>
      </c>
      <c r="N24" s="104" t="s">
        <v>257</v>
      </c>
      <c r="O24" s="104" t="s">
        <v>257</v>
      </c>
      <c r="P24" s="104" t="s">
        <v>257</v>
      </c>
      <c r="Q24" s="104" t="s">
        <v>144</v>
      </c>
      <c r="R24" s="103" t="s">
        <v>229</v>
      </c>
      <c r="S24" s="104" t="s">
        <v>144</v>
      </c>
      <c r="T24" s="104" t="s">
        <v>254</v>
      </c>
      <c r="U24" s="104" t="s">
        <v>254</v>
      </c>
      <c r="V24" s="104" t="s">
        <v>257</v>
      </c>
      <c r="W24" s="104" t="s">
        <v>257</v>
      </c>
      <c r="X24" s="104" t="s">
        <v>257</v>
      </c>
      <c r="Y24" s="104" t="s">
        <v>229</v>
      </c>
      <c r="Z24" s="104" t="s">
        <v>229</v>
      </c>
      <c r="AA24" s="103" t="s">
        <v>230</v>
      </c>
      <c r="AB24" s="104" t="s">
        <v>254</v>
      </c>
      <c r="AC24" s="104" t="s">
        <v>254</v>
      </c>
      <c r="AD24" s="104" t="s">
        <v>257</v>
      </c>
      <c r="AE24" s="104" t="s">
        <v>257</v>
      </c>
      <c r="AF24" s="103" t="s">
        <v>257</v>
      </c>
      <c r="AG24" s="104" t="s">
        <v>229</v>
      </c>
      <c r="AH24" s="104" t="s">
        <v>230</v>
      </c>
      <c r="AI24" s="104" t="s">
        <v>230</v>
      </c>
      <c r="AJ24" s="104" t="s">
        <v>254</v>
      </c>
      <c r="AL24" s="50">
        <f t="shared" si="0"/>
        <v>0</v>
      </c>
      <c r="AM24" s="50">
        <f t="shared" si="1"/>
        <v>5</v>
      </c>
      <c r="AN24" s="50">
        <f t="shared" si="2"/>
        <v>5</v>
      </c>
      <c r="AO24" s="50">
        <f t="shared" si="3"/>
        <v>6</v>
      </c>
      <c r="AP24" s="50">
        <f t="shared" si="4"/>
        <v>12</v>
      </c>
    </row>
    <row r="25" spans="2:42" ht="18.75" x14ac:dyDescent="0.25">
      <c r="B25" s="37">
        <v>21</v>
      </c>
      <c r="C25" s="145" t="s">
        <v>168</v>
      </c>
      <c r="D25" s="145"/>
      <c r="F25" s="104" t="s">
        <v>257</v>
      </c>
      <c r="G25" s="104" t="s">
        <v>257</v>
      </c>
      <c r="H25" s="104" t="s">
        <v>258</v>
      </c>
      <c r="I25" s="104" t="s">
        <v>258</v>
      </c>
      <c r="J25" s="56" t="s">
        <v>258</v>
      </c>
      <c r="K25" s="56" t="s">
        <v>258</v>
      </c>
      <c r="L25" s="56" t="s">
        <v>258</v>
      </c>
      <c r="M25" s="56" t="s">
        <v>258</v>
      </c>
      <c r="N25" s="51" t="s">
        <v>258</v>
      </c>
      <c r="O25" s="51" t="s">
        <v>258</v>
      </c>
      <c r="P25" s="51" t="s">
        <v>258</v>
      </c>
      <c r="Q25" s="51" t="s">
        <v>258</v>
      </c>
      <c r="R25" s="51" t="s">
        <v>258</v>
      </c>
      <c r="S25" s="51" t="s">
        <v>258</v>
      </c>
      <c r="T25" s="51" t="s">
        <v>258</v>
      </c>
      <c r="U25" s="51" t="s">
        <v>258</v>
      </c>
      <c r="V25" s="51" t="s">
        <v>257</v>
      </c>
      <c r="W25" s="51" t="s">
        <v>257</v>
      </c>
      <c r="X25" s="103" t="s">
        <v>229</v>
      </c>
      <c r="Y25" s="104" t="s">
        <v>230</v>
      </c>
      <c r="Z25" s="104" t="s">
        <v>230</v>
      </c>
      <c r="AA25" s="104" t="s">
        <v>254</v>
      </c>
      <c r="AB25" s="104" t="s">
        <v>254</v>
      </c>
      <c r="AC25" s="103" t="s">
        <v>257</v>
      </c>
      <c r="AD25" s="104" t="s">
        <v>257</v>
      </c>
      <c r="AE25" s="104" t="s">
        <v>257</v>
      </c>
      <c r="AF25" s="104" t="s">
        <v>229</v>
      </c>
      <c r="AG25" s="104" t="s">
        <v>230</v>
      </c>
      <c r="AH25" s="56" t="s">
        <v>230</v>
      </c>
      <c r="AI25" s="56" t="s">
        <v>254</v>
      </c>
      <c r="AJ25" s="56" t="s">
        <v>254</v>
      </c>
      <c r="AL25" s="50">
        <f t="shared" si="0"/>
        <v>0</v>
      </c>
      <c r="AM25" s="50">
        <f t="shared" si="1"/>
        <v>2</v>
      </c>
      <c r="AN25" s="50">
        <f t="shared" si="2"/>
        <v>4</v>
      </c>
      <c r="AO25" s="50">
        <f t="shared" si="3"/>
        <v>4</v>
      </c>
      <c r="AP25" s="50">
        <f t="shared" si="4"/>
        <v>7</v>
      </c>
    </row>
    <row r="26" spans="2:42" ht="18.75" x14ac:dyDescent="0.25">
      <c r="B26" s="37">
        <v>22</v>
      </c>
      <c r="C26" s="145" t="s">
        <v>169</v>
      </c>
      <c r="D26" s="145"/>
      <c r="F26" s="51" t="s">
        <v>257</v>
      </c>
      <c r="G26" s="51" t="s">
        <v>229</v>
      </c>
      <c r="H26" s="51" t="s">
        <v>230</v>
      </c>
      <c r="I26" s="51" t="s">
        <v>230</v>
      </c>
      <c r="J26" s="51" t="s">
        <v>230</v>
      </c>
      <c r="K26" s="51" t="s">
        <v>254</v>
      </c>
      <c r="L26" s="51" t="s">
        <v>257</v>
      </c>
      <c r="M26" s="51" t="s">
        <v>257</v>
      </c>
      <c r="N26" s="51" t="s">
        <v>257</v>
      </c>
      <c r="O26" s="51" t="s">
        <v>229</v>
      </c>
      <c r="P26" s="51" t="s">
        <v>229</v>
      </c>
      <c r="Q26" s="51" t="s">
        <v>230</v>
      </c>
      <c r="R26" s="51" t="s">
        <v>230</v>
      </c>
      <c r="S26" s="51" t="s">
        <v>254</v>
      </c>
      <c r="T26" s="51" t="s">
        <v>257</v>
      </c>
      <c r="U26" s="51" t="s">
        <v>257</v>
      </c>
      <c r="V26" s="51" t="s">
        <v>257</v>
      </c>
      <c r="W26" s="51" t="s">
        <v>258</v>
      </c>
      <c r="X26" s="51" t="s">
        <v>258</v>
      </c>
      <c r="Y26" s="51" t="s">
        <v>258</v>
      </c>
      <c r="Z26" s="51" t="s">
        <v>258</v>
      </c>
      <c r="AA26" s="51" t="s">
        <v>258</v>
      </c>
      <c r="AB26" s="51" t="s">
        <v>258</v>
      </c>
      <c r="AC26" s="51" t="s">
        <v>258</v>
      </c>
      <c r="AD26" s="51" t="s">
        <v>258</v>
      </c>
      <c r="AE26" s="51" t="s">
        <v>258</v>
      </c>
      <c r="AF26" s="51" t="s">
        <v>258</v>
      </c>
      <c r="AG26" s="51" t="s">
        <v>258</v>
      </c>
      <c r="AH26" s="51" t="s">
        <v>258</v>
      </c>
      <c r="AI26" s="51" t="s">
        <v>258</v>
      </c>
      <c r="AJ26" s="51" t="s">
        <v>258</v>
      </c>
      <c r="AL26" s="50">
        <f t="shared" si="0"/>
        <v>0</v>
      </c>
      <c r="AM26" s="50">
        <f t="shared" si="1"/>
        <v>3</v>
      </c>
      <c r="AN26" s="50">
        <f t="shared" si="2"/>
        <v>5</v>
      </c>
      <c r="AO26" s="50">
        <f t="shared" si="3"/>
        <v>2</v>
      </c>
      <c r="AP26" s="50">
        <f t="shared" si="4"/>
        <v>7</v>
      </c>
    </row>
    <row r="27" spans="2:42" ht="18.75" x14ac:dyDescent="0.25">
      <c r="B27" s="37">
        <v>23</v>
      </c>
      <c r="C27" s="145" t="s">
        <v>148</v>
      </c>
      <c r="D27" s="145"/>
      <c r="F27" s="51" t="s">
        <v>229</v>
      </c>
      <c r="G27" s="51" t="s">
        <v>230</v>
      </c>
      <c r="H27" s="51" t="s">
        <v>230</v>
      </c>
      <c r="I27" s="51" t="s">
        <v>254</v>
      </c>
      <c r="J27" s="51" t="s">
        <v>254</v>
      </c>
      <c r="K27" s="51" t="s">
        <v>257</v>
      </c>
      <c r="L27" s="51" t="s">
        <v>257</v>
      </c>
      <c r="M27" s="51" t="s">
        <v>257</v>
      </c>
      <c r="N27" s="51" t="s">
        <v>229</v>
      </c>
      <c r="O27" s="51" t="s">
        <v>229</v>
      </c>
      <c r="P27" s="51" t="s">
        <v>230</v>
      </c>
      <c r="Q27" s="51" t="s">
        <v>230</v>
      </c>
      <c r="R27" s="51" t="s">
        <v>254</v>
      </c>
      <c r="S27" s="51" t="s">
        <v>257</v>
      </c>
      <c r="T27" s="51" t="s">
        <v>257</v>
      </c>
      <c r="U27" s="51" t="s">
        <v>257</v>
      </c>
      <c r="V27" s="51" t="s">
        <v>229</v>
      </c>
      <c r="W27" s="104" t="s">
        <v>229</v>
      </c>
      <c r="X27" s="104" t="s">
        <v>230</v>
      </c>
      <c r="Y27" s="104" t="s">
        <v>254</v>
      </c>
      <c r="Z27" s="104" t="s">
        <v>254</v>
      </c>
      <c r="AA27" s="51" t="s">
        <v>257</v>
      </c>
      <c r="AB27" s="51" t="s">
        <v>257</v>
      </c>
      <c r="AC27" s="51" t="s">
        <v>257</v>
      </c>
      <c r="AD27" s="51" t="s">
        <v>229</v>
      </c>
      <c r="AE27" s="51" t="s">
        <v>230</v>
      </c>
      <c r="AF27" s="51" t="s">
        <v>230</v>
      </c>
      <c r="AG27" s="51" t="s">
        <v>254</v>
      </c>
      <c r="AH27" s="51" t="s">
        <v>254</v>
      </c>
      <c r="AI27" s="51" t="s">
        <v>257</v>
      </c>
      <c r="AJ27" s="51" t="s">
        <v>257</v>
      </c>
      <c r="AL27" s="50">
        <f t="shared" si="0"/>
        <v>0</v>
      </c>
      <c r="AM27" s="50">
        <f t="shared" si="1"/>
        <v>6</v>
      </c>
      <c r="AN27" s="50">
        <f t="shared" si="2"/>
        <v>7</v>
      </c>
      <c r="AO27" s="50">
        <f t="shared" si="3"/>
        <v>7</v>
      </c>
      <c r="AP27" s="50">
        <f t="shared" si="4"/>
        <v>11</v>
      </c>
    </row>
    <row r="28" spans="2:42" ht="18.75" x14ac:dyDescent="0.25">
      <c r="B28" s="37">
        <v>24</v>
      </c>
      <c r="C28" s="145" t="s">
        <v>171</v>
      </c>
      <c r="D28" s="145"/>
      <c r="F28" s="51" t="s">
        <v>230</v>
      </c>
      <c r="G28" s="51" t="s">
        <v>230</v>
      </c>
      <c r="H28" s="51" t="s">
        <v>254</v>
      </c>
      <c r="I28" s="51" t="s">
        <v>254</v>
      </c>
      <c r="J28" s="51" t="s">
        <v>257</v>
      </c>
      <c r="K28" s="51" t="s">
        <v>257</v>
      </c>
      <c r="L28" s="51" t="s">
        <v>257</v>
      </c>
      <c r="M28" s="51" t="s">
        <v>229</v>
      </c>
      <c r="N28" s="51" t="s">
        <v>230</v>
      </c>
      <c r="O28" s="51" t="s">
        <v>230</v>
      </c>
      <c r="P28" s="51" t="s">
        <v>254</v>
      </c>
      <c r="Q28" s="51" t="s">
        <v>254</v>
      </c>
      <c r="R28" s="51" t="s">
        <v>257</v>
      </c>
      <c r="S28" s="51" t="s">
        <v>257</v>
      </c>
      <c r="T28" s="51" t="s">
        <v>257</v>
      </c>
      <c r="U28" s="51" t="s">
        <v>258</v>
      </c>
      <c r="V28" s="51" t="s">
        <v>258</v>
      </c>
      <c r="W28" s="51" t="s">
        <v>258</v>
      </c>
      <c r="X28" s="51" t="s">
        <v>258</v>
      </c>
      <c r="Y28" s="51" t="s">
        <v>258</v>
      </c>
      <c r="Z28" s="51" t="s">
        <v>258</v>
      </c>
      <c r="AA28" s="51" t="s">
        <v>258</v>
      </c>
      <c r="AB28" s="51" t="s">
        <v>258</v>
      </c>
      <c r="AC28" s="51" t="s">
        <v>258</v>
      </c>
      <c r="AD28" s="51" t="s">
        <v>258</v>
      </c>
      <c r="AE28" s="51" t="s">
        <v>258</v>
      </c>
      <c r="AF28" s="51" t="s">
        <v>258</v>
      </c>
      <c r="AG28" s="51" t="s">
        <v>258</v>
      </c>
      <c r="AH28" s="51" t="s">
        <v>258</v>
      </c>
      <c r="AI28" s="51" t="s">
        <v>257</v>
      </c>
      <c r="AJ28" s="51" t="s">
        <v>257</v>
      </c>
      <c r="AL28" s="50">
        <f t="shared" si="0"/>
        <v>0</v>
      </c>
      <c r="AM28" s="50">
        <f t="shared" si="1"/>
        <v>1</v>
      </c>
      <c r="AN28" s="50">
        <f t="shared" si="2"/>
        <v>4</v>
      </c>
      <c r="AO28" s="50">
        <f t="shared" si="3"/>
        <v>4</v>
      </c>
      <c r="AP28" s="50">
        <f t="shared" si="4"/>
        <v>8</v>
      </c>
    </row>
    <row r="29" spans="2:42" ht="18.75" x14ac:dyDescent="0.25">
      <c r="B29" s="37">
        <v>25</v>
      </c>
      <c r="C29" s="145" t="s">
        <v>172</v>
      </c>
      <c r="D29" s="145"/>
      <c r="F29" s="51" t="s">
        <v>230</v>
      </c>
      <c r="G29" s="51" t="s">
        <v>254</v>
      </c>
      <c r="H29" s="51" t="s">
        <v>254</v>
      </c>
      <c r="I29" s="51" t="s">
        <v>257</v>
      </c>
      <c r="J29" s="51" t="s">
        <v>257</v>
      </c>
      <c r="K29" s="51" t="s">
        <v>257</v>
      </c>
      <c r="L29" s="51" t="s">
        <v>144</v>
      </c>
      <c r="M29" s="51" t="s">
        <v>144</v>
      </c>
      <c r="N29" s="51" t="s">
        <v>230</v>
      </c>
      <c r="O29" s="51" t="s">
        <v>254</v>
      </c>
      <c r="P29" s="51" t="s">
        <v>254</v>
      </c>
      <c r="Q29" s="51" t="s">
        <v>257</v>
      </c>
      <c r="R29" s="51" t="s">
        <v>257</v>
      </c>
      <c r="S29" s="51" t="s">
        <v>257</v>
      </c>
      <c r="T29" s="51" t="s">
        <v>229</v>
      </c>
      <c r="U29" s="51" t="s">
        <v>229</v>
      </c>
      <c r="V29" s="51" t="s">
        <v>230</v>
      </c>
      <c r="W29" s="51" t="s">
        <v>230</v>
      </c>
      <c r="X29" s="51" t="s">
        <v>254</v>
      </c>
      <c r="Y29" s="51" t="s">
        <v>257</v>
      </c>
      <c r="Z29" s="51" t="s">
        <v>257</v>
      </c>
      <c r="AA29" s="51" t="s">
        <v>257</v>
      </c>
      <c r="AB29" s="51" t="s">
        <v>229</v>
      </c>
      <c r="AC29" s="51" t="s">
        <v>230</v>
      </c>
      <c r="AD29" s="51" t="s">
        <v>230</v>
      </c>
      <c r="AE29" s="51" t="s">
        <v>254</v>
      </c>
      <c r="AF29" s="51" t="s">
        <v>254</v>
      </c>
      <c r="AG29" s="51" t="s">
        <v>257</v>
      </c>
      <c r="AH29" s="51" t="s">
        <v>257</v>
      </c>
      <c r="AI29" s="51" t="s">
        <v>257</v>
      </c>
      <c r="AJ29" s="51" t="s">
        <v>229</v>
      </c>
      <c r="AL29" s="50">
        <f t="shared" si="0"/>
        <v>0</v>
      </c>
      <c r="AM29" s="50">
        <f t="shared" si="1"/>
        <v>4</v>
      </c>
      <c r="AN29" s="50">
        <f t="shared" si="2"/>
        <v>6</v>
      </c>
      <c r="AO29" s="50">
        <f t="shared" si="3"/>
        <v>7</v>
      </c>
      <c r="AP29" s="50">
        <f t="shared" si="4"/>
        <v>12</v>
      </c>
    </row>
    <row r="30" spans="2:42" ht="18.75" x14ac:dyDescent="0.25">
      <c r="B30" s="37">
        <v>26</v>
      </c>
      <c r="C30" s="146" t="s">
        <v>173</v>
      </c>
      <c r="D30" s="151"/>
      <c r="F30" s="51" t="s">
        <v>254</v>
      </c>
      <c r="G30" s="51" t="s">
        <v>254</v>
      </c>
      <c r="H30" s="51" t="s">
        <v>257</v>
      </c>
      <c r="I30" s="51" t="s">
        <v>257</v>
      </c>
      <c r="J30" s="51" t="s">
        <v>257</v>
      </c>
      <c r="K30" s="51" t="s">
        <v>229</v>
      </c>
      <c r="L30" s="51" t="s">
        <v>229</v>
      </c>
      <c r="M30" s="51" t="s">
        <v>230</v>
      </c>
      <c r="N30" s="51" t="s">
        <v>230</v>
      </c>
      <c r="O30" s="51" t="s">
        <v>254</v>
      </c>
      <c r="P30" s="51" t="s">
        <v>257</v>
      </c>
      <c r="Q30" s="51" t="s">
        <v>257</v>
      </c>
      <c r="R30" s="51" t="s">
        <v>257</v>
      </c>
      <c r="S30" s="51" t="s">
        <v>229</v>
      </c>
      <c r="T30" s="51" t="s">
        <v>230</v>
      </c>
      <c r="U30" s="51" t="s">
        <v>230</v>
      </c>
      <c r="V30" s="51" t="s">
        <v>254</v>
      </c>
      <c r="W30" s="51" t="s">
        <v>254</v>
      </c>
      <c r="X30" s="51" t="s">
        <v>257</v>
      </c>
      <c r="Y30" s="51" t="s">
        <v>257</v>
      </c>
      <c r="Z30" s="51" t="s">
        <v>257</v>
      </c>
      <c r="AA30" s="51" t="s">
        <v>229</v>
      </c>
      <c r="AB30" s="51" t="s">
        <v>230</v>
      </c>
      <c r="AC30" s="51" t="s">
        <v>230</v>
      </c>
      <c r="AD30" s="51" t="s">
        <v>254</v>
      </c>
      <c r="AE30" s="51" t="s">
        <v>254</v>
      </c>
      <c r="AF30" s="51" t="s">
        <v>257</v>
      </c>
      <c r="AG30" s="51" t="s">
        <v>257</v>
      </c>
      <c r="AH30" s="51" t="s">
        <v>257</v>
      </c>
      <c r="AI30" s="51" t="s">
        <v>229</v>
      </c>
      <c r="AJ30" s="51" t="s">
        <v>229</v>
      </c>
      <c r="AL30" s="50">
        <f t="shared" si="0"/>
        <v>0</v>
      </c>
      <c r="AM30" s="50">
        <f t="shared" si="1"/>
        <v>6</v>
      </c>
      <c r="AN30" s="50">
        <f t="shared" si="2"/>
        <v>6</v>
      </c>
      <c r="AO30" s="50">
        <f t="shared" si="3"/>
        <v>7</v>
      </c>
      <c r="AP30" s="50">
        <f t="shared" si="4"/>
        <v>12</v>
      </c>
    </row>
    <row r="31" spans="2:42" ht="18.75" x14ac:dyDescent="0.25">
      <c r="B31" s="37">
        <v>27</v>
      </c>
      <c r="C31" s="146" t="s">
        <v>211</v>
      </c>
      <c r="D31" s="151"/>
      <c r="F31" s="51" t="s">
        <v>254</v>
      </c>
      <c r="G31" s="51" t="s">
        <v>257</v>
      </c>
      <c r="H31" s="51" t="s">
        <v>257</v>
      </c>
      <c r="I31" s="51" t="s">
        <v>257</v>
      </c>
      <c r="J31" s="51" t="s">
        <v>229</v>
      </c>
      <c r="K31" s="51" t="s">
        <v>230</v>
      </c>
      <c r="L31" s="51" t="s">
        <v>144</v>
      </c>
      <c r="M31" s="51" t="s">
        <v>144</v>
      </c>
      <c r="N31" s="51" t="s">
        <v>254</v>
      </c>
      <c r="O31" s="51" t="s">
        <v>257</v>
      </c>
      <c r="P31" s="51" t="s">
        <v>257</v>
      </c>
      <c r="Q31" s="51" t="s">
        <v>257</v>
      </c>
      <c r="R31" s="51" t="s">
        <v>229</v>
      </c>
      <c r="S31" s="51" t="s">
        <v>230</v>
      </c>
      <c r="T31" s="51" t="s">
        <v>230</v>
      </c>
      <c r="U31" s="51" t="s">
        <v>254</v>
      </c>
      <c r="V31" s="51" t="s">
        <v>254</v>
      </c>
      <c r="W31" s="51" t="s">
        <v>257</v>
      </c>
      <c r="X31" s="51" t="s">
        <v>257</v>
      </c>
      <c r="Y31" s="51" t="s">
        <v>257</v>
      </c>
      <c r="Z31" s="51" t="s">
        <v>144</v>
      </c>
      <c r="AA31" s="51" t="s">
        <v>144</v>
      </c>
      <c r="AB31" s="51" t="s">
        <v>230</v>
      </c>
      <c r="AC31" s="51" t="s">
        <v>254</v>
      </c>
      <c r="AD31" s="51" t="s">
        <v>254</v>
      </c>
      <c r="AE31" s="51" t="s">
        <v>257</v>
      </c>
      <c r="AF31" s="51" t="s">
        <v>257</v>
      </c>
      <c r="AG31" s="51" t="s">
        <v>257</v>
      </c>
      <c r="AH31" s="51" t="s">
        <v>229</v>
      </c>
      <c r="AI31" s="51" t="s">
        <v>230</v>
      </c>
      <c r="AJ31" s="51" t="s">
        <v>230</v>
      </c>
      <c r="AL31" s="50">
        <f t="shared" si="0"/>
        <v>0</v>
      </c>
      <c r="AM31" s="50">
        <f t="shared" si="1"/>
        <v>3</v>
      </c>
      <c r="AN31" s="50">
        <f t="shared" si="2"/>
        <v>6</v>
      </c>
      <c r="AO31" s="50">
        <f t="shared" si="3"/>
        <v>6</v>
      </c>
      <c r="AP31" s="50">
        <f t="shared" si="4"/>
        <v>12</v>
      </c>
    </row>
    <row r="32" spans="2:42" ht="18.75" x14ac:dyDescent="0.25">
      <c r="B32" s="37">
        <v>28</v>
      </c>
      <c r="C32" s="146" t="s">
        <v>213</v>
      </c>
      <c r="D32" s="151"/>
      <c r="F32" s="51" t="s">
        <v>257</v>
      </c>
      <c r="G32" s="51" t="s">
        <v>257</v>
      </c>
      <c r="H32" s="51" t="s">
        <v>257</v>
      </c>
      <c r="I32" s="51" t="s">
        <v>229</v>
      </c>
      <c r="J32" s="51" t="s">
        <v>144</v>
      </c>
      <c r="K32" s="51" t="s">
        <v>230</v>
      </c>
      <c r="L32" s="51" t="s">
        <v>230</v>
      </c>
      <c r="M32" s="51" t="s">
        <v>254</v>
      </c>
      <c r="N32" s="51" t="s">
        <v>257</v>
      </c>
      <c r="O32" s="51" t="s">
        <v>257</v>
      </c>
      <c r="P32" s="51" t="s">
        <v>257</v>
      </c>
      <c r="Q32" s="51" t="s">
        <v>229</v>
      </c>
      <c r="R32" s="51" t="s">
        <v>144</v>
      </c>
      <c r="S32" s="51" t="s">
        <v>230</v>
      </c>
      <c r="T32" s="51" t="s">
        <v>254</v>
      </c>
      <c r="U32" s="51" t="s">
        <v>254</v>
      </c>
      <c r="V32" s="51" t="s">
        <v>257</v>
      </c>
      <c r="W32" s="51" t="s">
        <v>257</v>
      </c>
      <c r="X32" s="51" t="s">
        <v>257</v>
      </c>
      <c r="Y32" s="51" t="s">
        <v>229</v>
      </c>
      <c r="Z32" s="51" t="s">
        <v>229</v>
      </c>
      <c r="AA32" s="51" t="s">
        <v>230</v>
      </c>
      <c r="AB32" s="51" t="s">
        <v>254</v>
      </c>
      <c r="AC32" s="51" t="s">
        <v>254</v>
      </c>
      <c r="AD32" s="51" t="s">
        <v>257</v>
      </c>
      <c r="AE32" s="51" t="s">
        <v>257</v>
      </c>
      <c r="AF32" s="51" t="s">
        <v>257</v>
      </c>
      <c r="AG32" s="51" t="s">
        <v>229</v>
      </c>
      <c r="AH32" s="51" t="s">
        <v>229</v>
      </c>
      <c r="AI32" s="51" t="s">
        <v>230</v>
      </c>
      <c r="AJ32" s="51" t="s">
        <v>230</v>
      </c>
      <c r="AL32" s="50">
        <f t="shared" si="0"/>
        <v>0</v>
      </c>
      <c r="AM32" s="50">
        <f t="shared" si="1"/>
        <v>6</v>
      </c>
      <c r="AN32" s="50">
        <f t="shared" si="2"/>
        <v>6</v>
      </c>
      <c r="AO32" s="50">
        <f t="shared" si="3"/>
        <v>5</v>
      </c>
      <c r="AP32" s="50">
        <f t="shared" si="4"/>
        <v>12</v>
      </c>
    </row>
    <row r="33" spans="2:42" ht="18.75" x14ac:dyDescent="0.25">
      <c r="B33" s="37">
        <v>29</v>
      </c>
      <c r="C33" s="146" t="s">
        <v>212</v>
      </c>
      <c r="D33" s="151"/>
      <c r="F33" s="51" t="s">
        <v>257</v>
      </c>
      <c r="G33" s="51" t="s">
        <v>257</v>
      </c>
      <c r="H33" s="51" t="s">
        <v>229</v>
      </c>
      <c r="I33" s="51" t="s">
        <v>230</v>
      </c>
      <c r="J33" s="51" t="s">
        <v>230</v>
      </c>
      <c r="K33" s="51" t="s">
        <v>254</v>
      </c>
      <c r="L33" s="51" t="s">
        <v>254</v>
      </c>
      <c r="M33" s="51" t="s">
        <v>257</v>
      </c>
      <c r="N33" s="51" t="s">
        <v>257</v>
      </c>
      <c r="O33" s="51" t="s">
        <v>257</v>
      </c>
      <c r="P33" s="51" t="s">
        <v>258</v>
      </c>
      <c r="Q33" s="51" t="s">
        <v>258</v>
      </c>
      <c r="R33" s="51" t="s">
        <v>258</v>
      </c>
      <c r="S33" s="51" t="s">
        <v>258</v>
      </c>
      <c r="T33" s="51" t="s">
        <v>258</v>
      </c>
      <c r="U33" s="51" t="s">
        <v>258</v>
      </c>
      <c r="V33" s="51" t="s">
        <v>257</v>
      </c>
      <c r="W33" s="51" t="s">
        <v>257</v>
      </c>
      <c r="X33" s="51" t="s">
        <v>229</v>
      </c>
      <c r="Y33" s="51" t="s">
        <v>229</v>
      </c>
      <c r="Z33" s="51" t="s">
        <v>230</v>
      </c>
      <c r="AA33" s="51" t="s">
        <v>254</v>
      </c>
      <c r="AB33" s="51" t="s">
        <v>254</v>
      </c>
      <c r="AC33" s="51" t="s">
        <v>257</v>
      </c>
      <c r="AD33" s="51" t="s">
        <v>257</v>
      </c>
      <c r="AE33" s="51" t="s">
        <v>257</v>
      </c>
      <c r="AF33" s="51" t="s">
        <v>229</v>
      </c>
      <c r="AG33" s="51" t="s">
        <v>229</v>
      </c>
      <c r="AH33" s="51" t="s">
        <v>230</v>
      </c>
      <c r="AI33" s="51" t="s">
        <v>254</v>
      </c>
      <c r="AJ33" s="51" t="s">
        <v>254</v>
      </c>
      <c r="AL33" s="50">
        <f t="shared" si="0"/>
        <v>0</v>
      </c>
      <c r="AM33" s="50">
        <f t="shared" si="1"/>
        <v>5</v>
      </c>
      <c r="AN33" s="50">
        <f t="shared" si="2"/>
        <v>4</v>
      </c>
      <c r="AO33" s="50">
        <f t="shared" si="3"/>
        <v>6</v>
      </c>
      <c r="AP33" s="50">
        <f t="shared" si="4"/>
        <v>10</v>
      </c>
    </row>
    <row r="34" spans="2:42" ht="18.75" x14ac:dyDescent="0.25">
      <c r="B34" s="37">
        <v>30</v>
      </c>
      <c r="C34" s="145" t="s">
        <v>174</v>
      </c>
      <c r="D34" s="145"/>
      <c r="F34" s="51" t="s">
        <v>257</v>
      </c>
      <c r="G34" s="51" t="s">
        <v>229</v>
      </c>
      <c r="H34" s="51" t="s">
        <v>230</v>
      </c>
      <c r="I34" s="51" t="s">
        <v>230</v>
      </c>
      <c r="J34" s="51" t="s">
        <v>254</v>
      </c>
      <c r="K34" s="51" t="s">
        <v>254</v>
      </c>
      <c r="L34" s="51" t="s">
        <v>257</v>
      </c>
      <c r="M34" s="51" t="s">
        <v>257</v>
      </c>
      <c r="N34" s="51" t="s">
        <v>257</v>
      </c>
      <c r="O34" s="103" t="s">
        <v>229</v>
      </c>
      <c r="P34" s="104" t="s">
        <v>229</v>
      </c>
      <c r="Q34" s="104" t="s">
        <v>230</v>
      </c>
      <c r="R34" s="104" t="s">
        <v>254</v>
      </c>
      <c r="S34" s="104" t="s">
        <v>254</v>
      </c>
      <c r="T34" s="51" t="s">
        <v>257</v>
      </c>
      <c r="U34" s="51" t="s">
        <v>257</v>
      </c>
      <c r="V34" s="51" t="s">
        <v>257</v>
      </c>
      <c r="W34" s="51" t="s">
        <v>229</v>
      </c>
      <c r="X34" s="51" t="s">
        <v>229</v>
      </c>
      <c r="Y34" s="51" t="s">
        <v>230</v>
      </c>
      <c r="Z34" s="51" t="s">
        <v>254</v>
      </c>
      <c r="AA34" s="51" t="s">
        <v>254</v>
      </c>
      <c r="AB34" s="51" t="s">
        <v>257</v>
      </c>
      <c r="AC34" s="51" t="s">
        <v>257</v>
      </c>
      <c r="AD34" s="51" t="s">
        <v>257</v>
      </c>
      <c r="AE34" s="51" t="s">
        <v>229</v>
      </c>
      <c r="AF34" s="51" t="s">
        <v>230</v>
      </c>
      <c r="AG34" s="51" t="s">
        <v>230</v>
      </c>
      <c r="AH34" s="51" t="s">
        <v>254</v>
      </c>
      <c r="AI34" s="51" t="s">
        <v>254</v>
      </c>
      <c r="AJ34" s="51" t="s">
        <v>257</v>
      </c>
      <c r="AL34" s="50">
        <f t="shared" si="0"/>
        <v>0</v>
      </c>
      <c r="AM34" s="50">
        <f t="shared" si="1"/>
        <v>6</v>
      </c>
      <c r="AN34" s="50">
        <f t="shared" si="2"/>
        <v>6</v>
      </c>
      <c r="AO34" s="50">
        <f t="shared" si="3"/>
        <v>8</v>
      </c>
      <c r="AP34" s="50">
        <f t="shared" si="4"/>
        <v>11</v>
      </c>
    </row>
    <row r="35" spans="2:42" ht="18.75" x14ac:dyDescent="0.25">
      <c r="B35" s="37">
        <v>31</v>
      </c>
      <c r="C35" s="145" t="s">
        <v>175</v>
      </c>
      <c r="D35" s="145"/>
      <c r="F35" s="51" t="s">
        <v>229</v>
      </c>
      <c r="G35" s="51" t="s">
        <v>229</v>
      </c>
      <c r="H35" s="51" t="s">
        <v>230</v>
      </c>
      <c r="I35" s="51" t="s">
        <v>254</v>
      </c>
      <c r="J35" s="51" t="s">
        <v>254</v>
      </c>
      <c r="K35" s="51" t="s">
        <v>257</v>
      </c>
      <c r="L35" s="51" t="s">
        <v>257</v>
      </c>
      <c r="M35" s="51" t="s">
        <v>257</v>
      </c>
      <c r="N35" s="51" t="s">
        <v>229</v>
      </c>
      <c r="O35" s="51" t="s">
        <v>229</v>
      </c>
      <c r="P35" s="51" t="s">
        <v>230</v>
      </c>
      <c r="Q35" s="51" t="s">
        <v>254</v>
      </c>
      <c r="R35" s="51" t="s">
        <v>254</v>
      </c>
      <c r="S35" s="51" t="s">
        <v>257</v>
      </c>
      <c r="T35" s="51" t="s">
        <v>257</v>
      </c>
      <c r="U35" s="51" t="s">
        <v>257</v>
      </c>
      <c r="V35" s="51" t="s">
        <v>229</v>
      </c>
      <c r="W35" s="51" t="s">
        <v>229</v>
      </c>
      <c r="X35" s="51" t="s">
        <v>230</v>
      </c>
      <c r="Y35" s="51" t="s">
        <v>254</v>
      </c>
      <c r="Z35" s="51" t="s">
        <v>254</v>
      </c>
      <c r="AA35" s="51" t="s">
        <v>257</v>
      </c>
      <c r="AB35" s="51" t="s">
        <v>257</v>
      </c>
      <c r="AC35" s="51" t="s">
        <v>257</v>
      </c>
      <c r="AD35" s="51" t="s">
        <v>229</v>
      </c>
      <c r="AE35" s="51" t="s">
        <v>229</v>
      </c>
      <c r="AF35" s="51" t="s">
        <v>230</v>
      </c>
      <c r="AG35" s="51" t="s">
        <v>254</v>
      </c>
      <c r="AH35" s="51" t="s">
        <v>254</v>
      </c>
      <c r="AI35" s="51" t="s">
        <v>257</v>
      </c>
      <c r="AJ35" s="51" t="s">
        <v>257</v>
      </c>
      <c r="AL35" s="50">
        <f t="shared" si="0"/>
        <v>0</v>
      </c>
      <c r="AM35" s="50">
        <f t="shared" si="1"/>
        <v>8</v>
      </c>
      <c r="AN35" s="50">
        <f t="shared" si="2"/>
        <v>4</v>
      </c>
      <c r="AO35" s="50">
        <f t="shared" si="3"/>
        <v>8</v>
      </c>
      <c r="AP35" s="50">
        <f t="shared" si="4"/>
        <v>11</v>
      </c>
    </row>
    <row r="36" spans="2:42" ht="18.75" x14ac:dyDescent="0.25">
      <c r="B36" s="37">
        <v>32</v>
      </c>
      <c r="C36" s="146" t="s">
        <v>176</v>
      </c>
      <c r="D36" s="151"/>
      <c r="F36" s="51" t="s">
        <v>258</v>
      </c>
      <c r="G36" s="51" t="s">
        <v>258</v>
      </c>
      <c r="H36" s="51" t="s">
        <v>258</v>
      </c>
      <c r="I36" s="51" t="s">
        <v>258</v>
      </c>
      <c r="J36" s="51" t="s">
        <v>258</v>
      </c>
      <c r="K36" s="51" t="s">
        <v>258</v>
      </c>
      <c r="L36" s="51" t="s">
        <v>258</v>
      </c>
      <c r="M36" s="51" t="s">
        <v>258</v>
      </c>
      <c r="N36" s="51" t="s">
        <v>258</v>
      </c>
      <c r="O36" s="51" t="s">
        <v>258</v>
      </c>
      <c r="P36" s="51" t="s">
        <v>258</v>
      </c>
      <c r="Q36" s="51" t="s">
        <v>258</v>
      </c>
      <c r="R36" s="51" t="s">
        <v>258</v>
      </c>
      <c r="S36" s="51" t="s">
        <v>257</v>
      </c>
      <c r="T36" s="51" t="s">
        <v>257</v>
      </c>
      <c r="U36" s="51" t="s">
        <v>229</v>
      </c>
      <c r="V36" s="51" t="s">
        <v>229</v>
      </c>
      <c r="W36" s="51" t="s">
        <v>230</v>
      </c>
      <c r="X36" s="51" t="s">
        <v>254</v>
      </c>
      <c r="Y36" s="51" t="s">
        <v>254</v>
      </c>
      <c r="Z36" s="51" t="s">
        <v>257</v>
      </c>
      <c r="AA36" s="51" t="s">
        <v>257</v>
      </c>
      <c r="AB36" s="51" t="s">
        <v>257</v>
      </c>
      <c r="AC36" s="51" t="s">
        <v>229</v>
      </c>
      <c r="AD36" s="51" t="s">
        <v>230</v>
      </c>
      <c r="AE36" s="51" t="s">
        <v>230</v>
      </c>
      <c r="AF36" s="51" t="s">
        <v>254</v>
      </c>
      <c r="AG36" s="51" t="s">
        <v>254</v>
      </c>
      <c r="AH36" s="51" t="s">
        <v>257</v>
      </c>
      <c r="AI36" s="51" t="s">
        <v>257</v>
      </c>
      <c r="AJ36" s="51" t="s">
        <v>257</v>
      </c>
      <c r="AL36" s="50">
        <f t="shared" si="0"/>
        <v>0</v>
      </c>
      <c r="AM36" s="50">
        <f t="shared" si="1"/>
        <v>3</v>
      </c>
      <c r="AN36" s="50">
        <f t="shared" si="2"/>
        <v>3</v>
      </c>
      <c r="AO36" s="50">
        <f t="shared" si="3"/>
        <v>4</v>
      </c>
      <c r="AP36" s="50">
        <f t="shared" si="4"/>
        <v>8</v>
      </c>
    </row>
    <row r="37" spans="2:42" ht="18.75" x14ac:dyDescent="0.25">
      <c r="B37" s="37">
        <v>33</v>
      </c>
      <c r="C37" s="145" t="s">
        <v>177</v>
      </c>
      <c r="D37" s="145"/>
      <c r="F37" s="51" t="s">
        <v>230</v>
      </c>
      <c r="G37" s="51" t="s">
        <v>254</v>
      </c>
      <c r="H37" s="51" t="s">
        <v>254</v>
      </c>
      <c r="I37" s="51" t="s">
        <v>257</v>
      </c>
      <c r="J37" s="51" t="s">
        <v>257</v>
      </c>
      <c r="K37" s="51" t="s">
        <v>257</v>
      </c>
      <c r="L37" s="51" t="s">
        <v>229</v>
      </c>
      <c r="M37" s="51" t="s">
        <v>229</v>
      </c>
      <c r="N37" s="51" t="s">
        <v>230</v>
      </c>
      <c r="O37" s="51" t="s">
        <v>254</v>
      </c>
      <c r="P37" s="51" t="s">
        <v>254</v>
      </c>
      <c r="Q37" s="51" t="s">
        <v>257</v>
      </c>
      <c r="R37" s="51" t="s">
        <v>257</v>
      </c>
      <c r="S37" s="51" t="s">
        <v>257</v>
      </c>
      <c r="T37" s="51" t="s">
        <v>229</v>
      </c>
      <c r="U37" s="51" t="s">
        <v>230</v>
      </c>
      <c r="V37" s="113" t="s">
        <v>230</v>
      </c>
      <c r="W37" s="51" t="s">
        <v>254</v>
      </c>
      <c r="X37" s="51" t="s">
        <v>254</v>
      </c>
      <c r="Y37" s="51" t="s">
        <v>257</v>
      </c>
      <c r="Z37" s="51" t="s">
        <v>257</v>
      </c>
      <c r="AA37" s="51" t="s">
        <v>257</v>
      </c>
      <c r="AB37" s="51" t="s">
        <v>229</v>
      </c>
      <c r="AC37" s="51" t="s">
        <v>229</v>
      </c>
      <c r="AD37" s="51" t="s">
        <v>230</v>
      </c>
      <c r="AE37" s="51" t="s">
        <v>254</v>
      </c>
      <c r="AF37" s="51" t="s">
        <v>254</v>
      </c>
      <c r="AG37" s="51" t="s">
        <v>257</v>
      </c>
      <c r="AH37" s="51" t="s">
        <v>257</v>
      </c>
      <c r="AI37" s="51" t="s">
        <v>257</v>
      </c>
      <c r="AJ37" s="51" t="s">
        <v>229</v>
      </c>
      <c r="AL37" s="50">
        <f t="shared" si="0"/>
        <v>0</v>
      </c>
      <c r="AM37" s="50">
        <f t="shared" si="1"/>
        <v>6</v>
      </c>
      <c r="AN37" s="50">
        <f t="shared" si="2"/>
        <v>5</v>
      </c>
      <c r="AO37" s="50">
        <f t="shared" si="3"/>
        <v>8</v>
      </c>
      <c r="AP37" s="50">
        <f t="shared" si="4"/>
        <v>12</v>
      </c>
    </row>
    <row r="38" spans="2:42" ht="18.75" x14ac:dyDescent="0.25">
      <c r="B38" s="37">
        <v>34</v>
      </c>
      <c r="C38" s="245" t="s">
        <v>184</v>
      </c>
      <c r="D38" s="246"/>
      <c r="F38" s="51" t="s">
        <v>230</v>
      </c>
      <c r="G38" s="51" t="s">
        <v>257</v>
      </c>
      <c r="H38" s="51" t="s">
        <v>257</v>
      </c>
      <c r="I38" s="51" t="s">
        <v>229</v>
      </c>
      <c r="J38" s="51" t="s">
        <v>229</v>
      </c>
      <c r="K38" s="51" t="s">
        <v>229</v>
      </c>
      <c r="L38" s="51" t="s">
        <v>230</v>
      </c>
      <c r="M38" s="51" t="s">
        <v>230</v>
      </c>
      <c r="N38" s="51" t="s">
        <v>257</v>
      </c>
      <c r="O38" s="51" t="s">
        <v>257</v>
      </c>
      <c r="P38" s="51" t="s">
        <v>229</v>
      </c>
      <c r="Q38" s="51" t="s">
        <v>229</v>
      </c>
      <c r="R38" s="51" t="s">
        <v>229</v>
      </c>
      <c r="S38" s="51" t="s">
        <v>230</v>
      </c>
      <c r="T38" s="51" t="s">
        <v>230</v>
      </c>
      <c r="U38" s="51" t="s">
        <v>257</v>
      </c>
      <c r="V38" s="51" t="s">
        <v>257</v>
      </c>
      <c r="W38" s="51" t="s">
        <v>229</v>
      </c>
      <c r="X38" s="51" t="s">
        <v>229</v>
      </c>
      <c r="Y38" s="51" t="s">
        <v>229</v>
      </c>
      <c r="Z38" s="51" t="s">
        <v>230</v>
      </c>
      <c r="AA38" s="51" t="s">
        <v>230</v>
      </c>
      <c r="AB38" s="51" t="s">
        <v>257</v>
      </c>
      <c r="AC38" s="51" t="s">
        <v>257</v>
      </c>
      <c r="AD38" s="51" t="s">
        <v>229</v>
      </c>
      <c r="AE38" s="51" t="s">
        <v>229</v>
      </c>
      <c r="AF38" s="51" t="s">
        <v>229</v>
      </c>
      <c r="AG38" s="51" t="s">
        <v>230</v>
      </c>
      <c r="AH38" s="51" t="s">
        <v>230</v>
      </c>
      <c r="AI38" s="51" t="s">
        <v>257</v>
      </c>
      <c r="AJ38" s="51" t="s">
        <v>257</v>
      </c>
      <c r="AL38" s="50">
        <f t="shared" si="0"/>
        <v>0</v>
      </c>
      <c r="AM38" s="50">
        <f t="shared" si="1"/>
        <v>12</v>
      </c>
      <c r="AN38" s="50">
        <f t="shared" si="2"/>
        <v>9</v>
      </c>
      <c r="AO38" s="50">
        <f t="shared" si="3"/>
        <v>0</v>
      </c>
      <c r="AP38" s="50">
        <f t="shared" si="4"/>
        <v>10</v>
      </c>
    </row>
    <row r="39" spans="2:42" ht="18.75" x14ac:dyDescent="0.25">
      <c r="B39" s="37">
        <v>35</v>
      </c>
      <c r="C39" s="245" t="s">
        <v>185</v>
      </c>
      <c r="D39" s="246"/>
      <c r="F39" s="51" t="s">
        <v>229</v>
      </c>
      <c r="G39" s="51" t="s">
        <v>257</v>
      </c>
      <c r="H39" s="51" t="s">
        <v>257</v>
      </c>
      <c r="I39" s="51" t="s">
        <v>230</v>
      </c>
      <c r="J39" s="51" t="s">
        <v>230</v>
      </c>
      <c r="K39" s="51" t="s">
        <v>230</v>
      </c>
      <c r="L39" s="51" t="s">
        <v>229</v>
      </c>
      <c r="M39" s="51" t="s">
        <v>229</v>
      </c>
      <c r="N39" s="51" t="s">
        <v>257</v>
      </c>
      <c r="O39" s="51" t="s">
        <v>257</v>
      </c>
      <c r="P39" s="51" t="s">
        <v>230</v>
      </c>
      <c r="Q39" s="51" t="s">
        <v>230</v>
      </c>
      <c r="R39" s="51" t="s">
        <v>230</v>
      </c>
      <c r="S39" s="51" t="s">
        <v>229</v>
      </c>
      <c r="T39" s="51" t="s">
        <v>229</v>
      </c>
      <c r="U39" s="51" t="s">
        <v>257</v>
      </c>
      <c r="V39" s="51" t="s">
        <v>257</v>
      </c>
      <c r="W39" s="51" t="s">
        <v>230</v>
      </c>
      <c r="X39" s="51" t="s">
        <v>230</v>
      </c>
      <c r="Y39" s="51" t="s">
        <v>230</v>
      </c>
      <c r="Z39" s="51" t="s">
        <v>229</v>
      </c>
      <c r="AA39" s="51" t="s">
        <v>229</v>
      </c>
      <c r="AB39" s="51" t="s">
        <v>257</v>
      </c>
      <c r="AC39" s="51" t="s">
        <v>257</v>
      </c>
      <c r="AD39" s="51" t="s">
        <v>230</v>
      </c>
      <c r="AE39" s="51" t="s">
        <v>230</v>
      </c>
      <c r="AF39" s="51" t="s">
        <v>230</v>
      </c>
      <c r="AG39" s="51" t="s">
        <v>229</v>
      </c>
      <c r="AH39" s="51" t="s">
        <v>229</v>
      </c>
      <c r="AI39" s="51" t="s">
        <v>257</v>
      </c>
      <c r="AJ39" s="51" t="s">
        <v>257</v>
      </c>
      <c r="AL39" s="50">
        <f t="shared" si="0"/>
        <v>0</v>
      </c>
      <c r="AM39" s="50">
        <f t="shared" si="1"/>
        <v>9</v>
      </c>
      <c r="AN39" s="50">
        <f t="shared" si="2"/>
        <v>12</v>
      </c>
      <c r="AO39" s="50">
        <f t="shared" si="3"/>
        <v>0</v>
      </c>
      <c r="AP39" s="50">
        <f t="shared" si="4"/>
        <v>10</v>
      </c>
    </row>
    <row r="40" spans="2:42" ht="19.5" thickBot="1" x14ac:dyDescent="0.3">
      <c r="B40" s="37">
        <v>36</v>
      </c>
      <c r="C40" s="247" t="s">
        <v>268</v>
      </c>
      <c r="D40" s="247"/>
      <c r="F40" s="64" t="s">
        <v>257</v>
      </c>
      <c r="G40" s="64" t="s">
        <v>257</v>
      </c>
      <c r="H40" s="64" t="s">
        <v>229</v>
      </c>
      <c r="I40" s="64" t="s">
        <v>257</v>
      </c>
      <c r="J40" s="64" t="s">
        <v>239</v>
      </c>
      <c r="K40" s="64" t="s">
        <v>239</v>
      </c>
      <c r="L40" s="64" t="s">
        <v>239</v>
      </c>
      <c r="M40" s="64" t="s">
        <v>229</v>
      </c>
      <c r="N40" s="64" t="s">
        <v>229</v>
      </c>
      <c r="O40" s="64" t="s">
        <v>257</v>
      </c>
      <c r="P40" s="64" t="s">
        <v>257</v>
      </c>
      <c r="Q40" s="64" t="s">
        <v>239</v>
      </c>
      <c r="R40" s="64" t="s">
        <v>239</v>
      </c>
      <c r="S40" s="64" t="s">
        <v>239</v>
      </c>
      <c r="T40" s="64" t="s">
        <v>229</v>
      </c>
      <c r="U40" s="64" t="s">
        <v>229</v>
      </c>
      <c r="V40" s="64" t="s">
        <v>257</v>
      </c>
      <c r="W40" s="64" t="s">
        <v>257</v>
      </c>
      <c r="X40" s="64" t="s">
        <v>239</v>
      </c>
      <c r="Y40" s="64" t="s">
        <v>239</v>
      </c>
      <c r="Z40" s="64" t="s">
        <v>239</v>
      </c>
      <c r="AA40" s="64" t="s">
        <v>229</v>
      </c>
      <c r="AB40" s="64" t="s">
        <v>229</v>
      </c>
      <c r="AC40" s="64" t="s">
        <v>257</v>
      </c>
      <c r="AD40" s="64" t="s">
        <v>257</v>
      </c>
      <c r="AE40" s="64" t="s">
        <v>239</v>
      </c>
      <c r="AF40" s="64" t="s">
        <v>239</v>
      </c>
      <c r="AG40" s="64" t="s">
        <v>239</v>
      </c>
      <c r="AH40" s="64" t="s">
        <v>229</v>
      </c>
      <c r="AI40" s="64" t="s">
        <v>229</v>
      </c>
      <c r="AJ40" s="64" t="s">
        <v>257</v>
      </c>
      <c r="AL40" s="50">
        <f t="shared" si="0"/>
        <v>0</v>
      </c>
      <c r="AM40" s="50">
        <f t="shared" si="1"/>
        <v>21</v>
      </c>
      <c r="AN40" s="50">
        <f t="shared" si="2"/>
        <v>0</v>
      </c>
      <c r="AO40" s="50">
        <f t="shared" si="3"/>
        <v>0</v>
      </c>
      <c r="AP40" s="50">
        <f t="shared" si="4"/>
        <v>10</v>
      </c>
    </row>
    <row r="41" spans="2:42" x14ac:dyDescent="0.25">
      <c r="F41" s="20" t="s">
        <v>94</v>
      </c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</row>
    <row r="42" spans="2:42" ht="18.75" x14ac:dyDescent="0.3">
      <c r="C42" s="181" t="s">
        <v>91</v>
      </c>
      <c r="D42" s="181"/>
      <c r="E42" s="36"/>
      <c r="F42" s="37">
        <f>COUNTIF(F$5:F$37,"M*")</f>
        <v>5</v>
      </c>
      <c r="G42" s="37">
        <f t="shared" ref="G42:AJ42" si="5">COUNTIF(G$5:G$37,"M*")</f>
        <v>5</v>
      </c>
      <c r="H42" s="37">
        <f t="shared" si="5"/>
        <v>5</v>
      </c>
      <c r="I42" s="37">
        <f t="shared" si="5"/>
        <v>6</v>
      </c>
      <c r="J42" s="37">
        <f t="shared" si="5"/>
        <v>4</v>
      </c>
      <c r="K42" s="37">
        <f t="shared" si="5"/>
        <v>5</v>
      </c>
      <c r="L42" s="37">
        <f t="shared" si="5"/>
        <v>4</v>
      </c>
      <c r="M42" s="37">
        <f t="shared" si="5"/>
        <v>4</v>
      </c>
      <c r="N42" s="37">
        <f t="shared" si="5"/>
        <v>5</v>
      </c>
      <c r="O42" s="37">
        <f t="shared" si="5"/>
        <v>5</v>
      </c>
      <c r="P42" s="37">
        <f t="shared" si="5"/>
        <v>5</v>
      </c>
      <c r="Q42" s="37">
        <f t="shared" si="5"/>
        <v>4</v>
      </c>
      <c r="R42" s="37">
        <f t="shared" si="5"/>
        <v>4</v>
      </c>
      <c r="S42" s="37">
        <f t="shared" si="5"/>
        <v>5</v>
      </c>
      <c r="T42" s="37">
        <f t="shared" si="5"/>
        <v>5</v>
      </c>
      <c r="U42" s="37">
        <f t="shared" si="5"/>
        <v>5</v>
      </c>
      <c r="V42" s="37">
        <f t="shared" si="5"/>
        <v>5</v>
      </c>
      <c r="W42" s="37">
        <f>COUNTIF(W$5:W$37,"M*")</f>
        <v>5</v>
      </c>
      <c r="X42" s="37">
        <f t="shared" si="5"/>
        <v>5</v>
      </c>
      <c r="Y42" s="37">
        <f t="shared" si="5"/>
        <v>5</v>
      </c>
      <c r="Z42" s="37">
        <f t="shared" si="5"/>
        <v>5</v>
      </c>
      <c r="AA42" s="37">
        <f t="shared" si="5"/>
        <v>5</v>
      </c>
      <c r="AB42" s="37">
        <f t="shared" si="5"/>
        <v>6</v>
      </c>
      <c r="AC42" s="37">
        <f t="shared" si="5"/>
        <v>6</v>
      </c>
      <c r="AD42" s="37">
        <f t="shared" si="5"/>
        <v>5</v>
      </c>
      <c r="AE42" s="37">
        <f t="shared" si="5"/>
        <v>5</v>
      </c>
      <c r="AF42" s="37">
        <f t="shared" si="5"/>
        <v>5</v>
      </c>
      <c r="AG42" s="37">
        <f t="shared" si="5"/>
        <v>5</v>
      </c>
      <c r="AH42" s="37">
        <f t="shared" si="5"/>
        <v>5</v>
      </c>
      <c r="AI42" s="37">
        <f t="shared" si="5"/>
        <v>5</v>
      </c>
      <c r="AJ42" s="37">
        <f t="shared" si="5"/>
        <v>6</v>
      </c>
    </row>
    <row r="43" spans="2:42" ht="18.75" x14ac:dyDescent="0.3">
      <c r="C43" s="181" t="s">
        <v>92</v>
      </c>
      <c r="D43" s="181"/>
      <c r="E43" s="36"/>
      <c r="F43" s="37">
        <f>COUNTIF(F$5:F$37,"A*")</f>
        <v>5</v>
      </c>
      <c r="G43" s="37">
        <f t="shared" ref="G43:AJ43" si="6">COUNTIF(G$5:G$37,"A*")</f>
        <v>5</v>
      </c>
      <c r="H43" s="37">
        <f t="shared" si="6"/>
        <v>6</v>
      </c>
      <c r="I43" s="37">
        <f t="shared" si="6"/>
        <v>5</v>
      </c>
      <c r="J43" s="37">
        <f t="shared" si="6"/>
        <v>5</v>
      </c>
      <c r="K43" s="37">
        <f t="shared" si="6"/>
        <v>5</v>
      </c>
      <c r="L43" s="37">
        <f t="shared" si="6"/>
        <v>5</v>
      </c>
      <c r="M43" s="37">
        <f t="shared" si="6"/>
        <v>5</v>
      </c>
      <c r="N43" s="37">
        <f t="shared" si="6"/>
        <v>5</v>
      </c>
      <c r="O43" s="37">
        <f t="shared" si="6"/>
        <v>5</v>
      </c>
      <c r="P43" s="37">
        <f t="shared" si="6"/>
        <v>5</v>
      </c>
      <c r="Q43" s="37">
        <f t="shared" si="6"/>
        <v>5</v>
      </c>
      <c r="R43" s="37">
        <f t="shared" si="6"/>
        <v>5</v>
      </c>
      <c r="S43" s="37">
        <f t="shared" si="6"/>
        <v>5</v>
      </c>
      <c r="T43" s="37">
        <f t="shared" si="6"/>
        <v>6</v>
      </c>
      <c r="U43" s="37">
        <f t="shared" si="6"/>
        <v>6</v>
      </c>
      <c r="V43" s="37">
        <f t="shared" si="6"/>
        <v>5</v>
      </c>
      <c r="W43" s="37">
        <f t="shared" si="6"/>
        <v>5</v>
      </c>
      <c r="X43" s="37">
        <f t="shared" si="6"/>
        <v>5</v>
      </c>
      <c r="Y43" s="37">
        <f t="shared" si="6"/>
        <v>5</v>
      </c>
      <c r="Z43" s="37">
        <f t="shared" si="6"/>
        <v>5</v>
      </c>
      <c r="AA43" s="37">
        <f t="shared" si="6"/>
        <v>5</v>
      </c>
      <c r="AB43" s="37">
        <f t="shared" si="6"/>
        <v>7</v>
      </c>
      <c r="AC43" s="37">
        <f t="shared" si="6"/>
        <v>6</v>
      </c>
      <c r="AD43" s="37">
        <f t="shared" si="6"/>
        <v>6</v>
      </c>
      <c r="AE43" s="37">
        <f t="shared" si="6"/>
        <v>5</v>
      </c>
      <c r="AF43" s="37">
        <f t="shared" si="6"/>
        <v>6</v>
      </c>
      <c r="AG43" s="37">
        <f t="shared" si="6"/>
        <v>6</v>
      </c>
      <c r="AH43" s="37">
        <f t="shared" si="6"/>
        <v>6</v>
      </c>
      <c r="AI43" s="37">
        <f t="shared" si="6"/>
        <v>6</v>
      </c>
      <c r="AJ43" s="37">
        <f t="shared" si="6"/>
        <v>7</v>
      </c>
    </row>
    <row r="44" spans="2:42" ht="18.75" x14ac:dyDescent="0.3">
      <c r="C44" s="181" t="s">
        <v>72</v>
      </c>
      <c r="D44" s="181"/>
      <c r="E44" s="36"/>
      <c r="F44" s="37">
        <f>COUNTIF(F$5:F$37,"N*")</f>
        <v>6</v>
      </c>
      <c r="G44" s="37">
        <f t="shared" ref="G44:AJ44" si="7">COUNTIF(G$5:G$37,"N*")</f>
        <v>6</v>
      </c>
      <c r="H44" s="37">
        <f t="shared" si="7"/>
        <v>6</v>
      </c>
      <c r="I44" s="37">
        <f t="shared" si="7"/>
        <v>6</v>
      </c>
      <c r="J44" s="37">
        <f t="shared" si="7"/>
        <v>5</v>
      </c>
      <c r="K44" s="37">
        <f t="shared" si="7"/>
        <v>5</v>
      </c>
      <c r="L44" s="37">
        <f t="shared" si="7"/>
        <v>5</v>
      </c>
      <c r="M44" s="37">
        <f t="shared" si="7"/>
        <v>5</v>
      </c>
      <c r="N44" s="37">
        <f t="shared" si="7"/>
        <v>6</v>
      </c>
      <c r="O44" s="37">
        <f t="shared" si="7"/>
        <v>6</v>
      </c>
      <c r="P44" s="37">
        <f t="shared" si="7"/>
        <v>6</v>
      </c>
      <c r="Q44" s="37">
        <f t="shared" si="7"/>
        <v>6</v>
      </c>
      <c r="R44" s="37">
        <f t="shared" si="7"/>
        <v>6</v>
      </c>
      <c r="S44" s="37">
        <f t="shared" si="7"/>
        <v>6</v>
      </c>
      <c r="T44" s="37">
        <f t="shared" si="7"/>
        <v>7</v>
      </c>
      <c r="U44" s="37">
        <f t="shared" si="7"/>
        <v>7</v>
      </c>
      <c r="V44" s="37">
        <f t="shared" si="7"/>
        <v>6</v>
      </c>
      <c r="W44" s="37">
        <f t="shared" si="7"/>
        <v>6</v>
      </c>
      <c r="X44" s="37">
        <f t="shared" si="7"/>
        <v>6</v>
      </c>
      <c r="Y44" s="37">
        <f t="shared" si="7"/>
        <v>6</v>
      </c>
      <c r="Z44" s="37">
        <f t="shared" si="7"/>
        <v>5</v>
      </c>
      <c r="AA44" s="37">
        <f t="shared" si="7"/>
        <v>6</v>
      </c>
      <c r="AB44" s="37">
        <f t="shared" si="7"/>
        <v>7</v>
      </c>
      <c r="AC44" s="37">
        <f t="shared" si="7"/>
        <v>7</v>
      </c>
      <c r="AD44" s="37">
        <f t="shared" si="7"/>
        <v>7</v>
      </c>
      <c r="AE44" s="37">
        <f t="shared" si="7"/>
        <v>7</v>
      </c>
      <c r="AF44" s="37">
        <f t="shared" si="7"/>
        <v>7</v>
      </c>
      <c r="AG44" s="37">
        <f t="shared" si="7"/>
        <v>6</v>
      </c>
      <c r="AH44" s="37">
        <f t="shared" si="7"/>
        <v>6</v>
      </c>
      <c r="AI44" s="37">
        <f t="shared" si="7"/>
        <v>7</v>
      </c>
      <c r="AJ44" s="37">
        <f t="shared" si="7"/>
        <v>7</v>
      </c>
    </row>
    <row r="45" spans="2:42" ht="18.75" x14ac:dyDescent="0.3">
      <c r="C45" s="181" t="s">
        <v>73</v>
      </c>
      <c r="D45" s="181"/>
      <c r="E45" s="36"/>
      <c r="F45" s="37">
        <f t="shared" ref="F45:AJ45" si="8">COUNTIF(F$5:F$40,"O*")</f>
        <v>14</v>
      </c>
      <c r="G45" s="37">
        <f t="shared" si="8"/>
        <v>15</v>
      </c>
      <c r="H45" s="37">
        <f t="shared" si="8"/>
        <v>12</v>
      </c>
      <c r="I45" s="37">
        <f t="shared" si="8"/>
        <v>11</v>
      </c>
      <c r="J45" s="37">
        <f t="shared" si="8"/>
        <v>10</v>
      </c>
      <c r="K45" s="37">
        <f t="shared" si="8"/>
        <v>10</v>
      </c>
      <c r="L45" s="37">
        <f t="shared" si="8"/>
        <v>10</v>
      </c>
      <c r="M45" s="37">
        <f t="shared" si="8"/>
        <v>12</v>
      </c>
      <c r="N45" s="37">
        <f t="shared" si="8"/>
        <v>14</v>
      </c>
      <c r="O45" s="37">
        <f t="shared" si="8"/>
        <v>14</v>
      </c>
      <c r="P45" s="37">
        <f t="shared" si="8"/>
        <v>11</v>
      </c>
      <c r="Q45" s="37">
        <f t="shared" si="8"/>
        <v>10</v>
      </c>
      <c r="R45" s="37">
        <f t="shared" si="8"/>
        <v>11</v>
      </c>
      <c r="S45" s="37">
        <f t="shared" si="8"/>
        <v>12</v>
      </c>
      <c r="T45" s="37">
        <f t="shared" si="8"/>
        <v>11</v>
      </c>
      <c r="U45" s="37">
        <f t="shared" si="8"/>
        <v>13</v>
      </c>
      <c r="V45" s="37">
        <f t="shared" si="8"/>
        <v>16</v>
      </c>
      <c r="W45" s="37">
        <f t="shared" si="8"/>
        <v>13</v>
      </c>
      <c r="X45" s="37">
        <f t="shared" si="8"/>
        <v>11</v>
      </c>
      <c r="Y45" s="37">
        <f t="shared" si="8"/>
        <v>12</v>
      </c>
      <c r="Z45" s="37">
        <f t="shared" si="8"/>
        <v>12</v>
      </c>
      <c r="AA45" s="37">
        <f t="shared" si="8"/>
        <v>10</v>
      </c>
      <c r="AB45" s="37">
        <f t="shared" si="8"/>
        <v>11</v>
      </c>
      <c r="AC45" s="37">
        <f t="shared" si="8"/>
        <v>13</v>
      </c>
      <c r="AD45" s="37">
        <f t="shared" si="8"/>
        <v>13</v>
      </c>
      <c r="AE45" s="37">
        <f t="shared" si="8"/>
        <v>12</v>
      </c>
      <c r="AF45" s="37">
        <f t="shared" si="8"/>
        <v>11</v>
      </c>
      <c r="AG45" s="37">
        <f t="shared" si="8"/>
        <v>12</v>
      </c>
      <c r="AH45" s="37">
        <f t="shared" si="8"/>
        <v>12</v>
      </c>
      <c r="AI45" s="37">
        <f t="shared" si="8"/>
        <v>14</v>
      </c>
      <c r="AJ45" s="37">
        <f t="shared" si="8"/>
        <v>14</v>
      </c>
    </row>
    <row r="46" spans="2:42" ht="18.75" x14ac:dyDescent="0.3">
      <c r="C46" s="177" t="s">
        <v>143</v>
      </c>
      <c r="D46" s="178"/>
      <c r="E46" s="36"/>
      <c r="F46" s="37">
        <f t="shared" ref="F46:AJ46" si="9">COUNTIF(F$5:F$40,"TR*")</f>
        <v>0</v>
      </c>
      <c r="G46" s="37">
        <f t="shared" si="9"/>
        <v>0</v>
      </c>
      <c r="H46" s="37">
        <f t="shared" si="9"/>
        <v>0</v>
      </c>
      <c r="I46" s="37">
        <f t="shared" si="9"/>
        <v>0</v>
      </c>
      <c r="J46" s="37">
        <f t="shared" si="9"/>
        <v>4</v>
      </c>
      <c r="K46" s="37">
        <f t="shared" si="9"/>
        <v>1</v>
      </c>
      <c r="L46" s="37">
        <f t="shared" si="9"/>
        <v>3</v>
      </c>
      <c r="M46" s="37">
        <f t="shared" si="9"/>
        <v>2</v>
      </c>
      <c r="N46" s="37">
        <f t="shared" si="9"/>
        <v>0</v>
      </c>
      <c r="O46" s="37">
        <f t="shared" si="9"/>
        <v>0</v>
      </c>
      <c r="P46" s="37">
        <f t="shared" si="9"/>
        <v>0</v>
      </c>
      <c r="Q46" s="37">
        <f t="shared" si="9"/>
        <v>2</v>
      </c>
      <c r="R46" s="37">
        <f t="shared" si="9"/>
        <v>2</v>
      </c>
      <c r="S46" s="37">
        <f t="shared" si="9"/>
        <v>1</v>
      </c>
      <c r="T46" s="37">
        <f t="shared" si="9"/>
        <v>0</v>
      </c>
      <c r="U46" s="37">
        <f t="shared" si="9"/>
        <v>0</v>
      </c>
      <c r="V46" s="37">
        <f t="shared" si="9"/>
        <v>0</v>
      </c>
      <c r="W46" s="37">
        <f t="shared" si="9"/>
        <v>0</v>
      </c>
      <c r="X46" s="37">
        <f t="shared" si="9"/>
        <v>0</v>
      </c>
      <c r="Y46" s="37">
        <f t="shared" si="9"/>
        <v>0</v>
      </c>
      <c r="Z46" s="37">
        <f t="shared" si="9"/>
        <v>1</v>
      </c>
      <c r="AA46" s="37">
        <f t="shared" si="9"/>
        <v>2</v>
      </c>
      <c r="AB46" s="37">
        <f t="shared" si="9"/>
        <v>0</v>
      </c>
      <c r="AC46" s="37">
        <f t="shared" si="9"/>
        <v>0</v>
      </c>
      <c r="AD46" s="37">
        <f t="shared" si="9"/>
        <v>0</v>
      </c>
      <c r="AE46" s="37">
        <f t="shared" si="9"/>
        <v>1</v>
      </c>
      <c r="AF46" s="37">
        <f t="shared" si="9"/>
        <v>0</v>
      </c>
      <c r="AG46" s="37">
        <f t="shared" si="9"/>
        <v>0</v>
      </c>
      <c r="AH46" s="37">
        <f t="shared" si="9"/>
        <v>0</v>
      </c>
      <c r="AI46" s="37">
        <f t="shared" si="9"/>
        <v>0</v>
      </c>
      <c r="AJ46" s="37">
        <f t="shared" si="9"/>
        <v>0</v>
      </c>
    </row>
    <row r="47" spans="2:42" ht="18.75" x14ac:dyDescent="0.3">
      <c r="C47" s="177" t="s">
        <v>106</v>
      </c>
      <c r="D47" s="178"/>
      <c r="E47" s="36"/>
      <c r="F47" s="37">
        <f t="shared" ref="F47:AJ47" si="10">COUNTIF(F$5:F$39,"ST*")</f>
        <v>0</v>
      </c>
      <c r="G47" s="37">
        <f t="shared" si="10"/>
        <v>0</v>
      </c>
      <c r="H47" s="37">
        <f t="shared" si="10"/>
        <v>0</v>
      </c>
      <c r="I47" s="37">
        <f t="shared" si="10"/>
        <v>0</v>
      </c>
      <c r="J47" s="37">
        <f t="shared" si="10"/>
        <v>0</v>
      </c>
      <c r="K47" s="37">
        <f t="shared" si="10"/>
        <v>0</v>
      </c>
      <c r="L47" s="37">
        <f t="shared" si="10"/>
        <v>0</v>
      </c>
      <c r="M47" s="37">
        <f t="shared" si="10"/>
        <v>0</v>
      </c>
      <c r="N47" s="37">
        <f t="shared" si="10"/>
        <v>0</v>
      </c>
      <c r="O47" s="37">
        <f t="shared" si="10"/>
        <v>0</v>
      </c>
      <c r="P47" s="37">
        <f t="shared" si="10"/>
        <v>0</v>
      </c>
      <c r="Q47" s="37">
        <f t="shared" si="10"/>
        <v>0</v>
      </c>
      <c r="R47" s="37">
        <f t="shared" si="10"/>
        <v>0</v>
      </c>
      <c r="S47" s="37">
        <f t="shared" si="10"/>
        <v>0</v>
      </c>
      <c r="T47" s="37">
        <f t="shared" si="10"/>
        <v>0</v>
      </c>
      <c r="U47" s="37">
        <f t="shared" si="10"/>
        <v>0</v>
      </c>
      <c r="V47" s="37">
        <f t="shared" si="10"/>
        <v>0</v>
      </c>
      <c r="W47" s="37">
        <f t="shared" si="10"/>
        <v>0</v>
      </c>
      <c r="X47" s="37">
        <f t="shared" si="10"/>
        <v>0</v>
      </c>
      <c r="Y47" s="37">
        <f t="shared" si="10"/>
        <v>0</v>
      </c>
      <c r="Z47" s="37">
        <f t="shared" si="10"/>
        <v>0</v>
      </c>
      <c r="AA47" s="37">
        <f t="shared" si="10"/>
        <v>0</v>
      </c>
      <c r="AB47" s="37">
        <f t="shared" si="10"/>
        <v>0</v>
      </c>
      <c r="AC47" s="37">
        <f t="shared" si="10"/>
        <v>0</v>
      </c>
      <c r="AD47" s="37">
        <f t="shared" si="10"/>
        <v>0</v>
      </c>
      <c r="AE47" s="37">
        <f t="shared" si="10"/>
        <v>0</v>
      </c>
      <c r="AF47" s="37">
        <f t="shared" si="10"/>
        <v>0</v>
      </c>
      <c r="AG47" s="37">
        <f t="shared" si="10"/>
        <v>0</v>
      </c>
      <c r="AH47" s="37">
        <f t="shared" si="10"/>
        <v>0</v>
      </c>
      <c r="AI47" s="37">
        <f t="shared" si="10"/>
        <v>0</v>
      </c>
      <c r="AJ47" s="37">
        <f t="shared" si="10"/>
        <v>0</v>
      </c>
    </row>
    <row r="48" spans="2:42" ht="18.75" x14ac:dyDescent="0.3">
      <c r="C48" s="179" t="s">
        <v>104</v>
      </c>
      <c r="D48" s="179"/>
      <c r="E48" s="38"/>
      <c r="F48" s="53">
        <f>F50-F51</f>
        <v>-2</v>
      </c>
      <c r="G48" s="53">
        <f t="shared" ref="G48:AJ48" si="11">G50-G51</f>
        <v>-2</v>
      </c>
      <c r="H48" s="53">
        <f t="shared" si="11"/>
        <v>-1</v>
      </c>
      <c r="I48" s="53">
        <f t="shared" si="11"/>
        <v>-1</v>
      </c>
      <c r="J48" s="53">
        <f t="shared" si="11"/>
        <v>-4</v>
      </c>
      <c r="K48" s="53">
        <f t="shared" si="11"/>
        <v>-3</v>
      </c>
      <c r="L48" s="53">
        <f t="shared" si="11"/>
        <v>-4</v>
      </c>
      <c r="M48" s="53">
        <f t="shared" si="11"/>
        <v>-4</v>
      </c>
      <c r="N48" s="53">
        <f t="shared" si="11"/>
        <v>-2</v>
      </c>
      <c r="O48" s="53">
        <f t="shared" si="11"/>
        <v>-2</v>
      </c>
      <c r="P48" s="53">
        <f t="shared" si="11"/>
        <v>-2</v>
      </c>
      <c r="Q48" s="53">
        <f t="shared" si="11"/>
        <v>-3</v>
      </c>
      <c r="R48" s="53">
        <f t="shared" si="11"/>
        <v>-3</v>
      </c>
      <c r="S48" s="53">
        <f t="shared" si="11"/>
        <v>-2</v>
      </c>
      <c r="T48" s="53">
        <f t="shared" si="11"/>
        <v>0</v>
      </c>
      <c r="U48" s="53">
        <f t="shared" si="11"/>
        <v>0</v>
      </c>
      <c r="V48" s="53">
        <f t="shared" si="11"/>
        <v>-2</v>
      </c>
      <c r="W48" s="53">
        <f t="shared" si="11"/>
        <v>-2</v>
      </c>
      <c r="X48" s="53">
        <f t="shared" si="11"/>
        <v>-2</v>
      </c>
      <c r="Y48" s="53">
        <f t="shared" si="11"/>
        <v>-2</v>
      </c>
      <c r="Z48" s="53">
        <f t="shared" si="11"/>
        <v>-3</v>
      </c>
      <c r="AA48" s="53">
        <f t="shared" si="11"/>
        <v>-2</v>
      </c>
      <c r="AB48" s="53">
        <f t="shared" si="11"/>
        <v>2</v>
      </c>
      <c r="AC48" s="53">
        <f t="shared" si="11"/>
        <v>1</v>
      </c>
      <c r="AD48" s="53">
        <f t="shared" si="11"/>
        <v>0</v>
      </c>
      <c r="AE48" s="53">
        <f t="shared" si="11"/>
        <v>-1</v>
      </c>
      <c r="AF48" s="53">
        <f t="shared" si="11"/>
        <v>0</v>
      </c>
      <c r="AG48" s="53">
        <f t="shared" si="11"/>
        <v>-1</v>
      </c>
      <c r="AH48" s="53">
        <f t="shared" si="11"/>
        <v>-1</v>
      </c>
      <c r="AI48" s="53">
        <f t="shared" si="11"/>
        <v>0</v>
      </c>
      <c r="AJ48" s="53">
        <f t="shared" si="11"/>
        <v>0</v>
      </c>
    </row>
    <row r="49" spans="3:36" ht="9.75" customHeight="1" x14ac:dyDescent="0.3">
      <c r="C49" s="40"/>
      <c r="D49" s="40"/>
      <c r="E49" s="36"/>
      <c r="F49" s="180"/>
      <c r="G49" s="180"/>
      <c r="H49" s="180"/>
      <c r="I49" s="180"/>
      <c r="J49" s="180"/>
      <c r="K49" s="180"/>
      <c r="L49" s="180"/>
      <c r="M49" s="180"/>
      <c r="N49" s="180"/>
      <c r="O49" s="180"/>
      <c r="P49" s="180"/>
      <c r="Q49" s="180"/>
      <c r="R49" s="180"/>
      <c r="S49" s="180"/>
      <c r="T49" s="180"/>
      <c r="U49" s="180"/>
      <c r="V49" s="180"/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</row>
    <row r="50" spans="3:36" ht="18.75" x14ac:dyDescent="0.3">
      <c r="C50" s="181" t="s">
        <v>102</v>
      </c>
      <c r="D50" s="181"/>
      <c r="E50" s="36"/>
      <c r="F50" s="41">
        <f>SUM(F42:F44)</f>
        <v>16</v>
      </c>
      <c r="G50" s="41">
        <f t="shared" ref="G50:AI50" si="12">SUM(G42:G44)</f>
        <v>16</v>
      </c>
      <c r="H50" s="41">
        <f t="shared" si="12"/>
        <v>17</v>
      </c>
      <c r="I50" s="41">
        <f t="shared" si="12"/>
        <v>17</v>
      </c>
      <c r="J50" s="41">
        <f t="shared" si="12"/>
        <v>14</v>
      </c>
      <c r="K50" s="41">
        <f t="shared" si="12"/>
        <v>15</v>
      </c>
      <c r="L50" s="41">
        <f t="shared" si="12"/>
        <v>14</v>
      </c>
      <c r="M50" s="41">
        <f t="shared" si="12"/>
        <v>14</v>
      </c>
      <c r="N50" s="41">
        <f t="shared" si="12"/>
        <v>16</v>
      </c>
      <c r="O50" s="41">
        <f t="shared" si="12"/>
        <v>16</v>
      </c>
      <c r="P50" s="41">
        <f t="shared" si="12"/>
        <v>16</v>
      </c>
      <c r="Q50" s="41">
        <f t="shared" si="12"/>
        <v>15</v>
      </c>
      <c r="R50" s="41">
        <f t="shared" si="12"/>
        <v>15</v>
      </c>
      <c r="S50" s="41">
        <f t="shared" si="12"/>
        <v>16</v>
      </c>
      <c r="T50" s="41">
        <f t="shared" si="12"/>
        <v>18</v>
      </c>
      <c r="U50" s="41">
        <f t="shared" si="12"/>
        <v>18</v>
      </c>
      <c r="V50" s="41">
        <f t="shared" si="12"/>
        <v>16</v>
      </c>
      <c r="W50" s="41">
        <f t="shared" si="12"/>
        <v>16</v>
      </c>
      <c r="X50" s="41">
        <f t="shared" si="12"/>
        <v>16</v>
      </c>
      <c r="Y50" s="41">
        <f t="shared" si="12"/>
        <v>16</v>
      </c>
      <c r="Z50" s="41">
        <f t="shared" si="12"/>
        <v>15</v>
      </c>
      <c r="AA50" s="41">
        <f t="shared" si="12"/>
        <v>16</v>
      </c>
      <c r="AB50" s="41">
        <f t="shared" si="12"/>
        <v>20</v>
      </c>
      <c r="AC50" s="41">
        <f t="shared" si="12"/>
        <v>19</v>
      </c>
      <c r="AD50" s="41">
        <f t="shared" si="12"/>
        <v>18</v>
      </c>
      <c r="AE50" s="41">
        <f t="shared" si="12"/>
        <v>17</v>
      </c>
      <c r="AF50" s="41">
        <f t="shared" si="12"/>
        <v>18</v>
      </c>
      <c r="AG50" s="41">
        <f t="shared" si="12"/>
        <v>17</v>
      </c>
      <c r="AH50" s="41">
        <f t="shared" si="12"/>
        <v>17</v>
      </c>
      <c r="AI50" s="41">
        <f t="shared" si="12"/>
        <v>18</v>
      </c>
      <c r="AJ50" s="41">
        <v>18</v>
      </c>
    </row>
    <row r="51" spans="3:36" ht="18.75" x14ac:dyDescent="0.3">
      <c r="C51" s="181" t="s">
        <v>90</v>
      </c>
      <c r="D51" s="181"/>
      <c r="E51" s="36"/>
      <c r="F51" s="37">
        <v>18</v>
      </c>
      <c r="G51" s="37">
        <v>18</v>
      </c>
      <c r="H51" s="37">
        <v>18</v>
      </c>
      <c r="I51" s="37">
        <v>18</v>
      </c>
      <c r="J51" s="37">
        <v>18</v>
      </c>
      <c r="K51" s="37">
        <v>18</v>
      </c>
      <c r="L51" s="37">
        <v>18</v>
      </c>
      <c r="M51" s="37">
        <v>18</v>
      </c>
      <c r="N51" s="37">
        <v>18</v>
      </c>
      <c r="O51" s="37">
        <v>18</v>
      </c>
      <c r="P51" s="37">
        <v>18</v>
      </c>
      <c r="Q51" s="37">
        <v>18</v>
      </c>
      <c r="R51" s="37">
        <v>18</v>
      </c>
      <c r="S51" s="37">
        <v>18</v>
      </c>
      <c r="T51" s="37">
        <v>18</v>
      </c>
      <c r="U51" s="37">
        <v>18</v>
      </c>
      <c r="V51" s="37">
        <v>18</v>
      </c>
      <c r="W51" s="37">
        <v>18</v>
      </c>
      <c r="X51" s="37">
        <v>18</v>
      </c>
      <c r="Y51" s="37">
        <v>18</v>
      </c>
      <c r="Z51" s="37">
        <v>18</v>
      </c>
      <c r="AA51" s="37">
        <v>18</v>
      </c>
      <c r="AB51" s="37">
        <v>18</v>
      </c>
      <c r="AC51" s="37">
        <v>18</v>
      </c>
      <c r="AD51" s="37">
        <v>18</v>
      </c>
      <c r="AE51" s="37">
        <v>18</v>
      </c>
      <c r="AF51" s="37">
        <v>18</v>
      </c>
      <c r="AG51" s="37">
        <v>18</v>
      </c>
      <c r="AH51" s="37">
        <v>18</v>
      </c>
      <c r="AI51" s="37">
        <v>18</v>
      </c>
      <c r="AJ51" s="37">
        <v>18</v>
      </c>
    </row>
    <row r="52" spans="3:36" ht="18.75" x14ac:dyDescent="0.3">
      <c r="C52" s="181" t="s">
        <v>103</v>
      </c>
      <c r="D52" s="181"/>
      <c r="E52" s="36"/>
      <c r="F52" s="37">
        <f>SUM(F42,F43,F44,F45,F47)</f>
        <v>30</v>
      </c>
      <c r="G52" s="37">
        <f t="shared" ref="G52:AI52" si="13">SUM(G42,G43,G44,G45,G47)</f>
        <v>31</v>
      </c>
      <c r="H52" s="37">
        <f t="shared" si="13"/>
        <v>29</v>
      </c>
      <c r="I52" s="37">
        <f t="shared" si="13"/>
        <v>28</v>
      </c>
      <c r="J52" s="37">
        <f t="shared" si="13"/>
        <v>24</v>
      </c>
      <c r="K52" s="37">
        <f t="shared" si="13"/>
        <v>25</v>
      </c>
      <c r="L52" s="37">
        <f t="shared" si="13"/>
        <v>24</v>
      </c>
      <c r="M52" s="37">
        <f t="shared" si="13"/>
        <v>26</v>
      </c>
      <c r="N52" s="37">
        <f t="shared" si="13"/>
        <v>30</v>
      </c>
      <c r="O52" s="37">
        <f t="shared" si="13"/>
        <v>30</v>
      </c>
      <c r="P52" s="37">
        <f t="shared" si="13"/>
        <v>27</v>
      </c>
      <c r="Q52" s="37">
        <f t="shared" si="13"/>
        <v>25</v>
      </c>
      <c r="R52" s="37">
        <f t="shared" si="13"/>
        <v>26</v>
      </c>
      <c r="S52" s="37">
        <f t="shared" si="13"/>
        <v>28</v>
      </c>
      <c r="T52" s="37">
        <f t="shared" si="13"/>
        <v>29</v>
      </c>
      <c r="U52" s="37">
        <f t="shared" si="13"/>
        <v>31</v>
      </c>
      <c r="V52" s="37">
        <f t="shared" si="13"/>
        <v>32</v>
      </c>
      <c r="W52" s="37">
        <f t="shared" si="13"/>
        <v>29</v>
      </c>
      <c r="X52" s="37">
        <f t="shared" si="13"/>
        <v>27</v>
      </c>
      <c r="Y52" s="37">
        <f t="shared" si="13"/>
        <v>28</v>
      </c>
      <c r="Z52" s="37">
        <f t="shared" si="13"/>
        <v>27</v>
      </c>
      <c r="AA52" s="37">
        <f t="shared" si="13"/>
        <v>26</v>
      </c>
      <c r="AB52" s="37">
        <f t="shared" si="13"/>
        <v>31</v>
      </c>
      <c r="AC52" s="37">
        <f t="shared" si="13"/>
        <v>32</v>
      </c>
      <c r="AD52" s="37">
        <f t="shared" si="13"/>
        <v>31</v>
      </c>
      <c r="AE52" s="37">
        <f t="shared" si="13"/>
        <v>29</v>
      </c>
      <c r="AF52" s="37">
        <f t="shared" si="13"/>
        <v>29</v>
      </c>
      <c r="AG52" s="37">
        <f t="shared" si="13"/>
        <v>29</v>
      </c>
      <c r="AH52" s="37">
        <f t="shared" si="13"/>
        <v>29</v>
      </c>
      <c r="AI52" s="37">
        <f t="shared" si="13"/>
        <v>32</v>
      </c>
      <c r="AJ52" s="37">
        <v>35</v>
      </c>
    </row>
    <row r="53" spans="3:36" ht="16.5" thickBot="1" x14ac:dyDescent="0.3"/>
    <row r="54" spans="3:36" ht="16.5" thickBot="1" x14ac:dyDescent="0.3">
      <c r="F54" s="222" t="s">
        <v>232</v>
      </c>
      <c r="G54" s="223"/>
      <c r="H54" s="223"/>
      <c r="I54" s="223"/>
      <c r="J54" s="223"/>
      <c r="K54" s="224"/>
    </row>
    <row r="55" spans="3:36" x14ac:dyDescent="0.25">
      <c r="F55" s="70" t="s">
        <v>142</v>
      </c>
      <c r="G55" s="216" t="s">
        <v>228</v>
      </c>
      <c r="H55" s="217"/>
      <c r="I55" s="83" t="s">
        <v>229</v>
      </c>
      <c r="J55" s="84" t="s">
        <v>240</v>
      </c>
      <c r="K55" s="85"/>
    </row>
    <row r="56" spans="3:36" x14ac:dyDescent="0.25">
      <c r="F56" s="71" t="s">
        <v>119</v>
      </c>
      <c r="G56" s="218" t="s">
        <v>229</v>
      </c>
      <c r="H56" s="219"/>
      <c r="I56" s="83" t="s">
        <v>239</v>
      </c>
      <c r="J56" s="195" t="s">
        <v>241</v>
      </c>
      <c r="K56" s="202"/>
    </row>
    <row r="57" spans="3:36" x14ac:dyDescent="0.25">
      <c r="F57" s="72" t="s">
        <v>226</v>
      </c>
      <c r="G57" s="203" t="s">
        <v>230</v>
      </c>
      <c r="H57" s="220"/>
      <c r="I57" s="86" t="s">
        <v>235</v>
      </c>
      <c r="J57" s="225" t="s">
        <v>242</v>
      </c>
      <c r="K57" s="226"/>
    </row>
    <row r="58" spans="3:36" x14ac:dyDescent="0.25">
      <c r="F58" s="73" t="s">
        <v>227</v>
      </c>
      <c r="G58" s="205" t="s">
        <v>254</v>
      </c>
      <c r="H58" s="221"/>
      <c r="I58" s="26"/>
      <c r="J58" s="227"/>
      <c r="K58" s="228"/>
    </row>
    <row r="59" spans="3:36" x14ac:dyDescent="0.25">
      <c r="F59" s="74" t="s">
        <v>144</v>
      </c>
      <c r="G59" s="189" t="s">
        <v>234</v>
      </c>
      <c r="H59" s="212"/>
      <c r="I59" s="19"/>
      <c r="J59" s="207"/>
      <c r="K59" s="208"/>
    </row>
    <row r="60" spans="3:36" ht="16.5" thickBot="1" x14ac:dyDescent="0.3">
      <c r="F60" s="81" t="s">
        <v>258</v>
      </c>
      <c r="G60" s="213" t="s">
        <v>233</v>
      </c>
      <c r="H60" s="214"/>
      <c r="I60" s="82"/>
      <c r="J60" s="209"/>
      <c r="K60" s="210"/>
    </row>
  </sheetData>
  <dataConsolidate/>
  <mergeCells count="66">
    <mergeCell ref="AM2:AM4"/>
    <mergeCell ref="AN2:AN4"/>
    <mergeCell ref="AO2:AO4"/>
    <mergeCell ref="AP2:AP4"/>
    <mergeCell ref="B3:D4"/>
    <mergeCell ref="C5:D5"/>
    <mergeCell ref="C6:D6"/>
    <mergeCell ref="F2:AJ2"/>
    <mergeCell ref="AL2:AL4"/>
    <mergeCell ref="C18:D18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9:D19"/>
    <mergeCell ref="C20:D20"/>
    <mergeCell ref="C21:D21"/>
    <mergeCell ref="C22:D22"/>
    <mergeCell ref="C23:D23"/>
    <mergeCell ref="C34:D34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47:D47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  <mergeCell ref="C48:D48"/>
    <mergeCell ref="F49:AJ49"/>
    <mergeCell ref="C50:D50"/>
    <mergeCell ref="C51:D51"/>
    <mergeCell ref="C52:D52"/>
    <mergeCell ref="G59:H59"/>
    <mergeCell ref="G60:H60"/>
    <mergeCell ref="F54:K54"/>
    <mergeCell ref="J56:K56"/>
    <mergeCell ref="J57:K57"/>
    <mergeCell ref="J58:K58"/>
    <mergeCell ref="J59:K59"/>
    <mergeCell ref="J60:K60"/>
    <mergeCell ref="G55:H55"/>
    <mergeCell ref="G56:H56"/>
    <mergeCell ref="G57:H57"/>
    <mergeCell ref="G58:H58"/>
  </mergeCells>
  <phoneticPr fontId="14" type="noConversion"/>
  <conditionalFormatting sqref="F5:AJ40">
    <cfRule type="containsText" dxfId="127" priority="1" operator="containsText" text="MN12">
      <formula>NOT(ISERROR(SEARCH("MN12",F5)))</formula>
    </cfRule>
    <cfRule type="containsText" dxfId="126" priority="2" operator="containsText" text="STNN21">
      <formula>NOT(ISERROR(SEARCH("STNN21",F5)))</formula>
    </cfRule>
    <cfRule type="containsText" dxfId="125" priority="3" operator="containsText" text="STAN13">
      <formula>NOT(ISERROR(SEARCH("STAN13",F5)))</formula>
    </cfRule>
    <cfRule type="containsText" dxfId="124" priority="4" operator="containsText" text="STMN06">
      <formula>NOT(ISERROR(SEARCH("STMN06",F5)))</formula>
    </cfRule>
    <cfRule type="containsText" dxfId="123" priority="5" operator="containsText" text="LV">
      <formula>NOT(ISERROR(SEARCH("LV",F5)))</formula>
    </cfRule>
    <cfRule type="containsText" dxfId="122" priority="6" operator="containsText" text="TR">
      <formula>NOT(ISERROR(SEARCH("TR",F5)))</formula>
    </cfRule>
    <cfRule type="containsText" dxfId="121" priority="7" operator="containsText" text="NN21">
      <formula>NOT(ISERROR(SEARCH("NN21",F5)))</formula>
    </cfRule>
    <cfRule type="containsText" dxfId="120" priority="8" operator="containsText" text="AN13">
      <formula>NOT(ISERROR(SEARCH("AN13",F5)))</formula>
    </cfRule>
    <cfRule type="containsText" dxfId="119" priority="9" operator="containsText" text="MN06">
      <formula>NOT(ISERROR(SEARCH("MN06",F5)))</formula>
    </cfRule>
    <cfRule type="containsText" dxfId="118" priority="10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CCAE-0092-48A0-8070-395F6BE4E51A}">
  <dimension ref="B2:AL33"/>
  <sheetViews>
    <sheetView zoomScale="80" zoomScaleNormal="80" workbookViewId="0">
      <selection activeCell="B9" sqref="B9"/>
    </sheetView>
  </sheetViews>
  <sheetFormatPr defaultColWidth="10.7109375" defaultRowHeight="15" x14ac:dyDescent="0.25"/>
  <cols>
    <col min="2" max="2" width="13" customWidth="1"/>
  </cols>
  <sheetData>
    <row r="2" spans="2:38" ht="18.75" x14ac:dyDescent="0.25">
      <c r="C2" s="115">
        <v>82658</v>
      </c>
      <c r="D2" s="115">
        <v>82673</v>
      </c>
      <c r="E2" s="115">
        <v>82464</v>
      </c>
      <c r="F2" s="115">
        <v>82649</v>
      </c>
      <c r="G2" s="115">
        <v>990465</v>
      </c>
      <c r="H2" s="115">
        <v>82659</v>
      </c>
      <c r="I2" s="115">
        <v>82545</v>
      </c>
      <c r="J2" s="115">
        <v>82671</v>
      </c>
      <c r="K2" s="115">
        <v>82615</v>
      </c>
      <c r="L2" s="115">
        <v>82672</v>
      </c>
      <c r="M2" s="115">
        <v>8930</v>
      </c>
      <c r="N2" s="115">
        <v>82283</v>
      </c>
      <c r="O2" s="115">
        <v>82587</v>
      </c>
      <c r="P2" s="115">
        <v>80270</v>
      </c>
      <c r="Q2" s="115">
        <v>990752</v>
      </c>
      <c r="R2" s="115">
        <v>81393</v>
      </c>
      <c r="S2" s="115">
        <v>80482</v>
      </c>
      <c r="T2" s="115">
        <v>82645</v>
      </c>
      <c r="U2" s="115">
        <v>82574</v>
      </c>
      <c r="V2" s="115">
        <v>82578</v>
      </c>
      <c r="W2" s="115">
        <v>82674</v>
      </c>
      <c r="X2" s="115">
        <v>8611</v>
      </c>
      <c r="Y2" s="115">
        <v>82666</v>
      </c>
      <c r="Z2" s="115">
        <v>82547</v>
      </c>
      <c r="AA2" s="115">
        <v>82577</v>
      </c>
      <c r="AB2" s="115">
        <v>80695</v>
      </c>
      <c r="AC2" s="115">
        <v>8646</v>
      </c>
      <c r="AD2" s="115">
        <v>82555</v>
      </c>
      <c r="AE2" s="115">
        <v>82424</v>
      </c>
      <c r="AF2" s="115">
        <v>82616</v>
      </c>
      <c r="AG2" s="115">
        <v>82439</v>
      </c>
      <c r="AH2" s="115">
        <v>82661</v>
      </c>
      <c r="AI2" s="115">
        <v>8715</v>
      </c>
      <c r="AJ2" s="115">
        <v>8584</v>
      </c>
      <c r="AK2" s="115">
        <v>81832</v>
      </c>
      <c r="AL2" s="115">
        <v>82670</v>
      </c>
    </row>
    <row r="3" spans="2:38" ht="15.75" x14ac:dyDescent="0.25">
      <c r="B3" s="117">
        <v>45992</v>
      </c>
      <c r="C3" s="116" t="s">
        <v>257</v>
      </c>
      <c r="D3" s="116" t="s">
        <v>230</v>
      </c>
      <c r="E3" s="116" t="s">
        <v>254</v>
      </c>
      <c r="F3" s="116" t="s">
        <v>254</v>
      </c>
      <c r="G3" s="116" t="s">
        <v>257</v>
      </c>
      <c r="H3" s="116" t="s">
        <v>257</v>
      </c>
      <c r="I3" s="116" t="s">
        <v>257</v>
      </c>
      <c r="J3" s="116" t="s">
        <v>229</v>
      </c>
      <c r="K3" s="116" t="s">
        <v>229</v>
      </c>
      <c r="L3" s="116" t="s">
        <v>230</v>
      </c>
      <c r="M3" s="116" t="s">
        <v>254</v>
      </c>
      <c r="N3" s="116" t="s">
        <v>254</v>
      </c>
      <c r="O3" s="116" t="s">
        <v>257</v>
      </c>
      <c r="P3" s="116" t="s">
        <v>257</v>
      </c>
      <c r="Q3" s="116" t="s">
        <v>257</v>
      </c>
      <c r="R3" s="116" t="s">
        <v>229</v>
      </c>
      <c r="S3" s="116" t="s">
        <v>230</v>
      </c>
      <c r="T3" s="116" t="s">
        <v>254</v>
      </c>
      <c r="U3" s="116" t="s">
        <v>254</v>
      </c>
      <c r="V3" s="116" t="s">
        <v>257</v>
      </c>
      <c r="W3" s="116" t="s">
        <v>257</v>
      </c>
      <c r="X3" s="116" t="s">
        <v>229</v>
      </c>
      <c r="Y3" s="116" t="s">
        <v>230</v>
      </c>
      <c r="Z3" s="116" t="s">
        <v>230</v>
      </c>
      <c r="AA3" s="116" t="s">
        <v>254</v>
      </c>
      <c r="AB3" s="116" t="s">
        <v>254</v>
      </c>
      <c r="AC3" s="116" t="s">
        <v>257</v>
      </c>
      <c r="AD3" s="116" t="s">
        <v>257</v>
      </c>
      <c r="AE3" s="116" t="s">
        <v>257</v>
      </c>
      <c r="AF3" s="116" t="s">
        <v>229</v>
      </c>
      <c r="AG3" s="116" t="s">
        <v>229</v>
      </c>
      <c r="AH3" s="116" t="s">
        <v>230</v>
      </c>
      <c r="AI3" s="116" t="s">
        <v>254</v>
      </c>
      <c r="AJ3" s="116" t="s">
        <v>229</v>
      </c>
      <c r="AK3" s="116" t="s">
        <v>230</v>
      </c>
      <c r="AL3" s="116" t="s">
        <v>239</v>
      </c>
    </row>
    <row r="4" spans="2:38" ht="15.75" x14ac:dyDescent="0.25">
      <c r="B4" s="117">
        <v>45993</v>
      </c>
      <c r="C4" s="116" t="s">
        <v>229</v>
      </c>
      <c r="D4" s="116" t="s">
        <v>254</v>
      </c>
      <c r="E4" s="116" t="s">
        <v>254</v>
      </c>
      <c r="F4" s="116" t="s">
        <v>257</v>
      </c>
      <c r="G4" s="116" t="s">
        <v>257</v>
      </c>
      <c r="H4" s="116" t="s">
        <v>257</v>
      </c>
      <c r="I4" s="116" t="s">
        <v>229</v>
      </c>
      <c r="J4" s="116" t="s">
        <v>230</v>
      </c>
      <c r="K4" s="116" t="s">
        <v>230</v>
      </c>
      <c r="L4" s="116" t="s">
        <v>254</v>
      </c>
      <c r="M4" s="116" t="s">
        <v>254</v>
      </c>
      <c r="N4" s="116" t="s">
        <v>257</v>
      </c>
      <c r="O4" s="116" t="s">
        <v>257</v>
      </c>
      <c r="P4" s="116" t="s">
        <v>257</v>
      </c>
      <c r="Q4" s="116" t="s">
        <v>229</v>
      </c>
      <c r="R4" s="116" t="s">
        <v>230</v>
      </c>
      <c r="S4" s="116" t="s">
        <v>230</v>
      </c>
      <c r="T4" s="116" t="s">
        <v>254</v>
      </c>
      <c r="U4" s="116" t="s">
        <v>257</v>
      </c>
      <c r="V4" s="116" t="s">
        <v>257</v>
      </c>
      <c r="W4" s="116" t="s">
        <v>229</v>
      </c>
      <c r="X4" s="116" t="s">
        <v>230</v>
      </c>
      <c r="Y4" s="116" t="s">
        <v>230</v>
      </c>
      <c r="Z4" s="116" t="s">
        <v>254</v>
      </c>
      <c r="AA4" s="116" t="s">
        <v>254</v>
      </c>
      <c r="AB4" s="116" t="s">
        <v>257</v>
      </c>
      <c r="AC4" s="116" t="s">
        <v>257</v>
      </c>
      <c r="AD4" s="116" t="s">
        <v>257</v>
      </c>
      <c r="AE4" s="116" t="s">
        <v>229</v>
      </c>
      <c r="AF4" s="116" t="s">
        <v>229</v>
      </c>
      <c r="AG4" s="116" t="s">
        <v>230</v>
      </c>
      <c r="AH4" s="116" t="s">
        <v>254</v>
      </c>
      <c r="AI4" s="116" t="s">
        <v>254</v>
      </c>
      <c r="AJ4" s="116" t="s">
        <v>229</v>
      </c>
      <c r="AK4" s="116" t="s">
        <v>230</v>
      </c>
      <c r="AL4" s="116" t="s">
        <v>229</v>
      </c>
    </row>
    <row r="5" spans="2:38" ht="15.75" x14ac:dyDescent="0.25">
      <c r="B5" s="117">
        <v>45994</v>
      </c>
      <c r="C5" s="116" t="s">
        <v>230</v>
      </c>
      <c r="D5" s="116" t="s">
        <v>254</v>
      </c>
      <c r="E5" s="116" t="s">
        <v>257</v>
      </c>
      <c r="F5" s="116" t="s">
        <v>257</v>
      </c>
      <c r="G5" s="116" t="s">
        <v>257</v>
      </c>
      <c r="H5" s="116" t="s">
        <v>229</v>
      </c>
      <c r="I5" s="116" t="s">
        <v>230</v>
      </c>
      <c r="J5" s="116" t="s">
        <v>230</v>
      </c>
      <c r="K5" s="116" t="s">
        <v>254</v>
      </c>
      <c r="L5" s="116" t="s">
        <v>254</v>
      </c>
      <c r="M5" s="116" t="s">
        <v>257</v>
      </c>
      <c r="N5" s="116" t="s">
        <v>257</v>
      </c>
      <c r="O5" s="116" t="s">
        <v>257</v>
      </c>
      <c r="P5" s="116" t="s">
        <v>229</v>
      </c>
      <c r="Q5" s="116" t="s">
        <v>229</v>
      </c>
      <c r="R5" s="116" t="s">
        <v>230</v>
      </c>
      <c r="S5" s="116" t="s">
        <v>254</v>
      </c>
      <c r="T5" s="116" t="s">
        <v>257</v>
      </c>
      <c r="U5" s="116" t="s">
        <v>257</v>
      </c>
      <c r="V5" s="116" t="s">
        <v>229</v>
      </c>
      <c r="W5" s="116" t="s">
        <v>230</v>
      </c>
      <c r="X5" s="116" t="s">
        <v>230</v>
      </c>
      <c r="Y5" s="116" t="s">
        <v>254</v>
      </c>
      <c r="Z5" s="116" t="s">
        <v>254</v>
      </c>
      <c r="AA5" s="116" t="s">
        <v>257</v>
      </c>
      <c r="AB5" s="116" t="s">
        <v>257</v>
      </c>
      <c r="AC5" s="116" t="s">
        <v>257</v>
      </c>
      <c r="AD5" s="116" t="s">
        <v>229</v>
      </c>
      <c r="AE5" s="116" t="s">
        <v>229</v>
      </c>
      <c r="AF5" s="116" t="s">
        <v>230</v>
      </c>
      <c r="AG5" s="116" t="s">
        <v>254</v>
      </c>
      <c r="AH5" s="116" t="s">
        <v>254</v>
      </c>
      <c r="AI5" s="116" t="s">
        <v>257</v>
      </c>
      <c r="AJ5" s="116" t="s">
        <v>230</v>
      </c>
      <c r="AK5" s="116" t="s">
        <v>229</v>
      </c>
      <c r="AL5" s="116" t="s">
        <v>229</v>
      </c>
    </row>
    <row r="6" spans="2:38" ht="15.75" x14ac:dyDescent="0.25">
      <c r="B6" s="117">
        <v>45995</v>
      </c>
      <c r="C6" s="116" t="s">
        <v>230</v>
      </c>
      <c r="D6" s="116" t="s">
        <v>257</v>
      </c>
      <c r="E6" s="116" t="s">
        <v>257</v>
      </c>
      <c r="F6" s="116" t="s">
        <v>257</v>
      </c>
      <c r="G6" s="116" t="s">
        <v>229</v>
      </c>
      <c r="H6" s="116" t="s">
        <v>230</v>
      </c>
      <c r="I6" s="116" t="s">
        <v>230</v>
      </c>
      <c r="J6" s="116" t="s">
        <v>254</v>
      </c>
      <c r="K6" s="116" t="s">
        <v>254</v>
      </c>
      <c r="L6" s="116" t="s">
        <v>257</v>
      </c>
      <c r="M6" s="116" t="s">
        <v>257</v>
      </c>
      <c r="N6" s="116" t="s">
        <v>257</v>
      </c>
      <c r="O6" s="116" t="s">
        <v>229</v>
      </c>
      <c r="P6" s="116" t="s">
        <v>229</v>
      </c>
      <c r="Q6" s="116" t="s">
        <v>230</v>
      </c>
      <c r="R6" s="116" t="s">
        <v>254</v>
      </c>
      <c r="S6" s="116" t="s">
        <v>254</v>
      </c>
      <c r="T6" s="116" t="s">
        <v>257</v>
      </c>
      <c r="U6" s="116" t="s">
        <v>257</v>
      </c>
      <c r="V6" s="116" t="s">
        <v>230</v>
      </c>
      <c r="W6" s="116" t="s">
        <v>230</v>
      </c>
      <c r="X6" s="116" t="s">
        <v>254</v>
      </c>
      <c r="Y6" s="116" t="s">
        <v>254</v>
      </c>
      <c r="Z6" s="116" t="s">
        <v>257</v>
      </c>
      <c r="AA6" s="116" t="s">
        <v>257</v>
      </c>
      <c r="AB6" s="116" t="s">
        <v>257</v>
      </c>
      <c r="AC6" s="116" t="s">
        <v>229</v>
      </c>
      <c r="AD6" s="116" t="s">
        <v>229</v>
      </c>
      <c r="AE6" s="116" t="s">
        <v>230</v>
      </c>
      <c r="AF6" s="116" t="s">
        <v>254</v>
      </c>
      <c r="AG6" s="116" t="s">
        <v>254</v>
      </c>
      <c r="AH6" s="116" t="s">
        <v>257</v>
      </c>
      <c r="AI6" s="116" t="s">
        <v>257</v>
      </c>
      <c r="AJ6" s="116" t="s">
        <v>230</v>
      </c>
      <c r="AK6" s="116" t="s">
        <v>229</v>
      </c>
      <c r="AL6" s="116" t="s">
        <v>257</v>
      </c>
    </row>
    <row r="7" spans="2:38" ht="15.75" x14ac:dyDescent="0.25">
      <c r="B7" s="117">
        <v>45996</v>
      </c>
      <c r="C7" s="116" t="s">
        <v>254</v>
      </c>
      <c r="D7" s="116" t="s">
        <v>257</v>
      </c>
      <c r="E7" s="116" t="s">
        <v>257</v>
      </c>
      <c r="F7" s="116" t="s">
        <v>229</v>
      </c>
      <c r="G7" s="116" t="s">
        <v>230</v>
      </c>
      <c r="H7" s="116" t="s">
        <v>230</v>
      </c>
      <c r="I7" s="116" t="s">
        <v>254</v>
      </c>
      <c r="J7" s="116" t="s">
        <v>254</v>
      </c>
      <c r="K7" s="116" t="s">
        <v>257</v>
      </c>
      <c r="L7" s="116" t="s">
        <v>257</v>
      </c>
      <c r="M7" s="116" t="s">
        <v>257</v>
      </c>
      <c r="N7" s="116" t="s">
        <v>229</v>
      </c>
      <c r="O7" s="116" t="s">
        <v>229</v>
      </c>
      <c r="P7" s="116" t="s">
        <v>230</v>
      </c>
      <c r="Q7" s="116" t="s">
        <v>254</v>
      </c>
      <c r="R7" s="116" t="s">
        <v>254</v>
      </c>
      <c r="S7" s="116" t="s">
        <v>257</v>
      </c>
      <c r="T7" s="116" t="s">
        <v>257</v>
      </c>
      <c r="U7" s="116" t="s">
        <v>229</v>
      </c>
      <c r="V7" s="116" t="s">
        <v>230</v>
      </c>
      <c r="W7" s="116" t="s">
        <v>254</v>
      </c>
      <c r="X7" s="116" t="s">
        <v>254</v>
      </c>
      <c r="Y7" s="116" t="s">
        <v>257</v>
      </c>
      <c r="Z7" s="116" t="s">
        <v>257</v>
      </c>
      <c r="AA7" s="116" t="s">
        <v>257</v>
      </c>
      <c r="AB7" s="116" t="s">
        <v>229</v>
      </c>
      <c r="AC7" s="116" t="s">
        <v>229</v>
      </c>
      <c r="AD7" s="116" t="s">
        <v>230</v>
      </c>
      <c r="AE7" s="116" t="s">
        <v>254</v>
      </c>
      <c r="AF7" s="116" t="s">
        <v>254</v>
      </c>
      <c r="AG7" s="116" t="s">
        <v>257</v>
      </c>
      <c r="AH7" s="116" t="s">
        <v>257</v>
      </c>
      <c r="AI7" s="116" t="s">
        <v>257</v>
      </c>
      <c r="AJ7" s="116" t="s">
        <v>257</v>
      </c>
      <c r="AK7" s="116" t="s">
        <v>257</v>
      </c>
      <c r="AL7" s="116" t="s">
        <v>257</v>
      </c>
    </row>
    <row r="8" spans="2:38" ht="15.75" x14ac:dyDescent="0.25">
      <c r="B8" s="117">
        <v>45997</v>
      </c>
      <c r="C8" s="116" t="s">
        <v>254</v>
      </c>
      <c r="D8" s="116" t="s">
        <v>257</v>
      </c>
      <c r="E8" s="116" t="s">
        <v>229</v>
      </c>
      <c r="F8" s="116" t="s">
        <v>230</v>
      </c>
      <c r="G8" s="116" t="s">
        <v>254</v>
      </c>
      <c r="H8" s="116" t="s">
        <v>254</v>
      </c>
      <c r="I8" s="116" t="s">
        <v>254</v>
      </c>
      <c r="J8" s="116" t="s">
        <v>257</v>
      </c>
      <c r="K8" s="116" t="s">
        <v>257</v>
      </c>
      <c r="L8" s="116" t="s">
        <v>257</v>
      </c>
      <c r="M8" s="116" t="s">
        <v>229</v>
      </c>
      <c r="N8" s="116" t="s">
        <v>230</v>
      </c>
      <c r="O8" s="116" t="s">
        <v>230</v>
      </c>
      <c r="P8" s="116" t="s">
        <v>254</v>
      </c>
      <c r="Q8" s="116" t="s">
        <v>254</v>
      </c>
      <c r="R8" s="116" t="s">
        <v>257</v>
      </c>
      <c r="S8" s="116" t="s">
        <v>257</v>
      </c>
      <c r="T8" s="116" t="s">
        <v>229</v>
      </c>
      <c r="U8" s="116" t="s">
        <v>230</v>
      </c>
      <c r="V8" s="116" t="s">
        <v>254</v>
      </c>
      <c r="W8" s="116" t="s">
        <v>254</v>
      </c>
      <c r="X8" s="116" t="s">
        <v>257</v>
      </c>
      <c r="Y8" s="116" t="s">
        <v>257</v>
      </c>
      <c r="Z8" s="116" t="s">
        <v>257</v>
      </c>
      <c r="AA8" s="116" t="s">
        <v>229</v>
      </c>
      <c r="AB8" s="116" t="s">
        <v>230</v>
      </c>
      <c r="AC8" s="116" t="s">
        <v>230</v>
      </c>
      <c r="AD8" s="116" t="s">
        <v>254</v>
      </c>
      <c r="AE8" s="116" t="s">
        <v>254</v>
      </c>
      <c r="AF8" s="116" t="s">
        <v>257</v>
      </c>
      <c r="AG8" s="116" t="s">
        <v>257</v>
      </c>
      <c r="AH8" s="116" t="s">
        <v>257</v>
      </c>
      <c r="AI8" s="116" t="s">
        <v>229</v>
      </c>
      <c r="AJ8" s="116" t="s">
        <v>257</v>
      </c>
      <c r="AK8" s="116" t="s">
        <v>257</v>
      </c>
      <c r="AL8" s="116" t="s">
        <v>239</v>
      </c>
    </row>
    <row r="9" spans="2:38" ht="15.75" x14ac:dyDescent="0.25">
      <c r="B9" s="117">
        <v>45998</v>
      </c>
      <c r="C9" s="116" t="s">
        <v>257</v>
      </c>
      <c r="D9" s="116" t="s">
        <v>229</v>
      </c>
      <c r="E9" s="116" t="s">
        <v>230</v>
      </c>
      <c r="F9" s="116" t="s">
        <v>230</v>
      </c>
      <c r="G9" s="116" t="s">
        <v>254</v>
      </c>
      <c r="H9" s="116" t="s">
        <v>254</v>
      </c>
      <c r="I9" s="116" t="s">
        <v>257</v>
      </c>
      <c r="J9" s="116" t="s">
        <v>257</v>
      </c>
      <c r="K9" s="116" t="s">
        <v>257</v>
      </c>
      <c r="L9" s="116" t="s">
        <v>229</v>
      </c>
      <c r="M9" s="116" t="s">
        <v>230</v>
      </c>
      <c r="N9" s="116" t="s">
        <v>230</v>
      </c>
      <c r="O9" s="116" t="s">
        <v>254</v>
      </c>
      <c r="P9" s="116" t="s">
        <v>254</v>
      </c>
      <c r="Q9" s="116" t="s">
        <v>257</v>
      </c>
      <c r="R9" s="116" t="s">
        <v>257</v>
      </c>
      <c r="S9" s="116" t="s">
        <v>257</v>
      </c>
      <c r="T9" s="116" t="s">
        <v>229</v>
      </c>
      <c r="U9" s="116" t="s">
        <v>230</v>
      </c>
      <c r="V9" s="116" t="s">
        <v>254</v>
      </c>
      <c r="W9" s="116" t="s">
        <v>257</v>
      </c>
      <c r="X9" s="116" t="s">
        <v>257</v>
      </c>
      <c r="Y9" s="116" t="s">
        <v>257</v>
      </c>
      <c r="Z9" s="116" t="s">
        <v>229</v>
      </c>
      <c r="AA9" s="116" t="s">
        <v>230</v>
      </c>
      <c r="AB9" s="116" t="s">
        <v>254</v>
      </c>
      <c r="AC9" s="116" t="s">
        <v>254</v>
      </c>
      <c r="AD9" s="116" t="s">
        <v>254</v>
      </c>
      <c r="AE9" s="116" t="s">
        <v>257</v>
      </c>
      <c r="AF9" s="116" t="s">
        <v>257</v>
      </c>
      <c r="AG9" s="116" t="s">
        <v>257</v>
      </c>
      <c r="AH9" s="116" t="s">
        <v>229</v>
      </c>
      <c r="AI9" s="116" t="s">
        <v>229</v>
      </c>
      <c r="AJ9" s="116" t="s">
        <v>229</v>
      </c>
      <c r="AK9" s="116" t="s">
        <v>230</v>
      </c>
      <c r="AL9" s="116" t="s">
        <v>239</v>
      </c>
    </row>
    <row r="10" spans="2:38" ht="15.75" x14ac:dyDescent="0.25">
      <c r="B10" s="117">
        <v>45999</v>
      </c>
      <c r="C10" s="116" t="s">
        <v>257</v>
      </c>
      <c r="D10" s="116" t="s">
        <v>229</v>
      </c>
      <c r="E10" s="116" t="s">
        <v>230</v>
      </c>
      <c r="F10" s="116" t="s">
        <v>254</v>
      </c>
      <c r="G10" s="116" t="s">
        <v>254</v>
      </c>
      <c r="H10" s="116" t="s">
        <v>257</v>
      </c>
      <c r="I10" s="116" t="s">
        <v>257</v>
      </c>
      <c r="J10" s="116" t="s">
        <v>257</v>
      </c>
      <c r="K10" s="116" t="s">
        <v>229</v>
      </c>
      <c r="L10" s="116" t="s">
        <v>230</v>
      </c>
      <c r="M10" s="116" t="s">
        <v>230</v>
      </c>
      <c r="N10" s="116" t="s">
        <v>254</v>
      </c>
      <c r="O10" s="116" t="s">
        <v>254</v>
      </c>
      <c r="P10" s="116" t="s">
        <v>257</v>
      </c>
      <c r="Q10" s="116" t="s">
        <v>257</v>
      </c>
      <c r="R10" s="116" t="s">
        <v>257</v>
      </c>
      <c r="S10" s="116" t="s">
        <v>229</v>
      </c>
      <c r="T10" s="116" t="s">
        <v>230</v>
      </c>
      <c r="U10" s="116" t="s">
        <v>254</v>
      </c>
      <c r="V10" s="116" t="s">
        <v>257</v>
      </c>
      <c r="W10" s="116" t="s">
        <v>257</v>
      </c>
      <c r="X10" s="116" t="s">
        <v>257</v>
      </c>
      <c r="Y10" s="116" t="s">
        <v>229</v>
      </c>
      <c r="Z10" s="116" t="s">
        <v>230</v>
      </c>
      <c r="AA10" s="116" t="s">
        <v>230</v>
      </c>
      <c r="AB10" s="116" t="s">
        <v>254</v>
      </c>
      <c r="AC10" s="116" t="s">
        <v>254</v>
      </c>
      <c r="AD10" s="116" t="s">
        <v>257</v>
      </c>
      <c r="AE10" s="116" t="s">
        <v>257</v>
      </c>
      <c r="AF10" s="116" t="s">
        <v>257</v>
      </c>
      <c r="AG10" s="116" t="s">
        <v>229</v>
      </c>
      <c r="AH10" s="116" t="s">
        <v>230</v>
      </c>
      <c r="AI10" s="116" t="s">
        <v>230</v>
      </c>
      <c r="AJ10" s="116" t="s">
        <v>229</v>
      </c>
      <c r="AK10" s="116" t="s">
        <v>230</v>
      </c>
      <c r="AL10" s="116" t="s">
        <v>239</v>
      </c>
    </row>
    <row r="11" spans="2:38" ht="15.75" x14ac:dyDescent="0.25">
      <c r="B11" s="117">
        <v>46000</v>
      </c>
      <c r="C11" s="116" t="s">
        <v>257</v>
      </c>
      <c r="D11" s="116" t="s">
        <v>230</v>
      </c>
      <c r="E11" s="116" t="s">
        <v>254</v>
      </c>
      <c r="F11" s="116" t="s">
        <v>254</v>
      </c>
      <c r="G11" s="116" t="s">
        <v>257</v>
      </c>
      <c r="H11" s="116" t="s">
        <v>257</v>
      </c>
      <c r="I11" s="116" t="s">
        <v>257</v>
      </c>
      <c r="J11" s="116" t="s">
        <v>229</v>
      </c>
      <c r="K11" s="116" t="s">
        <v>230</v>
      </c>
      <c r="L11" s="116" t="s">
        <v>230</v>
      </c>
      <c r="M11" s="116" t="s">
        <v>254</v>
      </c>
      <c r="N11" s="116" t="s">
        <v>254</v>
      </c>
      <c r="O11" s="116" t="s">
        <v>257</v>
      </c>
      <c r="P11" s="116" t="s">
        <v>257</v>
      </c>
      <c r="Q11" s="116" t="s">
        <v>257</v>
      </c>
      <c r="R11" s="116" t="s">
        <v>229</v>
      </c>
      <c r="S11" s="116" t="s">
        <v>230</v>
      </c>
      <c r="T11" s="116" t="s">
        <v>254</v>
      </c>
      <c r="U11" s="116" t="s">
        <v>254</v>
      </c>
      <c r="V11" s="116" t="s">
        <v>257</v>
      </c>
      <c r="W11" s="116" t="s">
        <v>257</v>
      </c>
      <c r="X11" s="116" t="s">
        <v>229</v>
      </c>
      <c r="Y11" s="116" t="s">
        <v>230</v>
      </c>
      <c r="Z11" s="116" t="s">
        <v>230</v>
      </c>
      <c r="AA11" s="116" t="s">
        <v>254</v>
      </c>
      <c r="AB11" s="116" t="s">
        <v>254</v>
      </c>
      <c r="AC11" s="116" t="s">
        <v>257</v>
      </c>
      <c r="AD11" s="116" t="s">
        <v>257</v>
      </c>
      <c r="AE11" s="116" t="s">
        <v>257</v>
      </c>
      <c r="AF11" s="116" t="s">
        <v>229</v>
      </c>
      <c r="AG11" s="116" t="s">
        <v>229</v>
      </c>
      <c r="AH11" s="116" t="s">
        <v>230</v>
      </c>
      <c r="AI11" s="116" t="s">
        <v>254</v>
      </c>
      <c r="AJ11" s="116" t="s">
        <v>229</v>
      </c>
      <c r="AK11" s="116" t="s">
        <v>230</v>
      </c>
      <c r="AL11" s="116" t="s">
        <v>229</v>
      </c>
    </row>
    <row r="12" spans="2:38" ht="15.75" x14ac:dyDescent="0.25">
      <c r="B12" s="117">
        <v>46001</v>
      </c>
      <c r="C12" s="116" t="s">
        <v>229</v>
      </c>
      <c r="D12" s="116" t="s">
        <v>230</v>
      </c>
      <c r="E12" s="116" t="s">
        <v>254</v>
      </c>
      <c r="F12" s="116" t="s">
        <v>257</v>
      </c>
      <c r="G12" s="116" t="s">
        <v>257</v>
      </c>
      <c r="H12" s="116" t="s">
        <v>257</v>
      </c>
      <c r="I12" s="116" t="s">
        <v>229</v>
      </c>
      <c r="J12" s="116" t="s">
        <v>229</v>
      </c>
      <c r="K12" s="116" t="s">
        <v>230</v>
      </c>
      <c r="L12" s="116" t="s">
        <v>254</v>
      </c>
      <c r="M12" s="116" t="s">
        <v>254</v>
      </c>
      <c r="N12" s="116" t="s">
        <v>257</v>
      </c>
      <c r="O12" s="116" t="s">
        <v>257</v>
      </c>
      <c r="P12" s="116" t="s">
        <v>257</v>
      </c>
      <c r="Q12" s="116" t="s">
        <v>229</v>
      </c>
      <c r="R12" s="116" t="s">
        <v>229</v>
      </c>
      <c r="S12" s="116" t="s">
        <v>230</v>
      </c>
      <c r="T12" s="116" t="s">
        <v>254</v>
      </c>
      <c r="U12" s="116" t="s">
        <v>257</v>
      </c>
      <c r="V12" s="116" t="s">
        <v>257</v>
      </c>
      <c r="W12" s="116" t="s">
        <v>229</v>
      </c>
      <c r="X12" s="116" t="s">
        <v>230</v>
      </c>
      <c r="Y12" s="116" t="s">
        <v>230</v>
      </c>
      <c r="Z12" s="116" t="s">
        <v>254</v>
      </c>
      <c r="AA12" s="116" t="s">
        <v>254</v>
      </c>
      <c r="AB12" s="116" t="s">
        <v>257</v>
      </c>
      <c r="AC12" s="116" t="s">
        <v>257</v>
      </c>
      <c r="AD12" s="116" t="s">
        <v>257</v>
      </c>
      <c r="AE12" s="116" t="s">
        <v>229</v>
      </c>
      <c r="AF12" s="116" t="s">
        <v>230</v>
      </c>
      <c r="AG12" s="116" t="s">
        <v>230</v>
      </c>
      <c r="AH12" s="116" t="s">
        <v>254</v>
      </c>
      <c r="AI12" s="116" t="s">
        <v>254</v>
      </c>
      <c r="AJ12" s="116" t="s">
        <v>230</v>
      </c>
      <c r="AK12" s="116" t="s">
        <v>229</v>
      </c>
      <c r="AL12" s="116" t="s">
        <v>229</v>
      </c>
    </row>
    <row r="13" spans="2:38" ht="15.75" x14ac:dyDescent="0.25">
      <c r="B13" s="117">
        <v>46002</v>
      </c>
      <c r="C13" s="116" t="s">
        <v>229</v>
      </c>
      <c r="D13" s="116" t="s">
        <v>254</v>
      </c>
      <c r="E13" s="116" t="s">
        <v>257</v>
      </c>
      <c r="F13" s="116" t="s">
        <v>257</v>
      </c>
      <c r="G13" s="116" t="s">
        <v>257</v>
      </c>
      <c r="H13" s="116" t="s">
        <v>229</v>
      </c>
      <c r="I13" s="116" t="s">
        <v>229</v>
      </c>
      <c r="J13" s="116" t="s">
        <v>230</v>
      </c>
      <c r="K13" s="116" t="s">
        <v>230</v>
      </c>
      <c r="L13" s="116" t="s">
        <v>254</v>
      </c>
      <c r="M13" s="116" t="s">
        <v>257</v>
      </c>
      <c r="N13" s="116" t="s">
        <v>257</v>
      </c>
      <c r="O13" s="116" t="s">
        <v>257</v>
      </c>
      <c r="P13" s="116" t="s">
        <v>229</v>
      </c>
      <c r="Q13" s="116" t="s">
        <v>229</v>
      </c>
      <c r="R13" s="116" t="s">
        <v>230</v>
      </c>
      <c r="S13" s="116" t="s">
        <v>254</v>
      </c>
      <c r="T13" s="116" t="s">
        <v>257</v>
      </c>
      <c r="U13" s="116" t="s">
        <v>257</v>
      </c>
      <c r="V13" s="116" t="s">
        <v>229</v>
      </c>
      <c r="W13" s="116" t="s">
        <v>230</v>
      </c>
      <c r="X13" s="116" t="s">
        <v>230</v>
      </c>
      <c r="Y13" s="116" t="s">
        <v>254</v>
      </c>
      <c r="Z13" s="116" t="s">
        <v>254</v>
      </c>
      <c r="AA13" s="116" t="s">
        <v>257</v>
      </c>
      <c r="AB13" s="116" t="s">
        <v>257</v>
      </c>
      <c r="AC13" s="116" t="s">
        <v>257</v>
      </c>
      <c r="AD13" s="116" t="s">
        <v>229</v>
      </c>
      <c r="AE13" s="116" t="s">
        <v>230</v>
      </c>
      <c r="AF13" s="116" t="s">
        <v>230</v>
      </c>
      <c r="AG13" s="116" t="s">
        <v>254</v>
      </c>
      <c r="AH13" s="116" t="s">
        <v>254</v>
      </c>
      <c r="AI13" s="116" t="s">
        <v>257</v>
      </c>
      <c r="AJ13" s="116" t="s">
        <v>230</v>
      </c>
      <c r="AK13" s="116" t="s">
        <v>229</v>
      </c>
      <c r="AL13" s="116" t="s">
        <v>257</v>
      </c>
    </row>
    <row r="14" spans="2:38" ht="15.75" x14ac:dyDescent="0.25">
      <c r="B14" s="117">
        <v>46003</v>
      </c>
      <c r="C14" s="116" t="s">
        <v>230</v>
      </c>
      <c r="D14" s="116" t="s">
        <v>257</v>
      </c>
      <c r="E14" s="116" t="s">
        <v>257</v>
      </c>
      <c r="F14" s="116" t="s">
        <v>257</v>
      </c>
      <c r="G14" s="116" t="s">
        <v>229</v>
      </c>
      <c r="H14" s="116" t="s">
        <v>230</v>
      </c>
      <c r="I14" s="116" t="s">
        <v>230</v>
      </c>
      <c r="J14" s="116" t="s">
        <v>254</v>
      </c>
      <c r="K14" s="116" t="s">
        <v>254</v>
      </c>
      <c r="L14" s="116" t="s">
        <v>257</v>
      </c>
      <c r="M14" s="116" t="s">
        <v>257</v>
      </c>
      <c r="N14" s="116" t="s">
        <v>257</v>
      </c>
      <c r="O14" s="116" t="s">
        <v>229</v>
      </c>
      <c r="P14" s="116" t="s">
        <v>229</v>
      </c>
      <c r="Q14" s="116" t="s">
        <v>230</v>
      </c>
      <c r="R14" s="116" t="s">
        <v>254</v>
      </c>
      <c r="S14" s="116" t="s">
        <v>254</v>
      </c>
      <c r="T14" s="116" t="s">
        <v>257</v>
      </c>
      <c r="U14" s="116" t="s">
        <v>257</v>
      </c>
      <c r="V14" s="116" t="s">
        <v>230</v>
      </c>
      <c r="W14" s="116" t="s">
        <v>230</v>
      </c>
      <c r="X14" s="116" t="s">
        <v>254</v>
      </c>
      <c r="Y14" s="116" t="s">
        <v>254</v>
      </c>
      <c r="Z14" s="116" t="s">
        <v>257</v>
      </c>
      <c r="AA14" s="116" t="s">
        <v>257</v>
      </c>
      <c r="AB14" s="116" t="s">
        <v>257</v>
      </c>
      <c r="AC14" s="116" t="s">
        <v>229</v>
      </c>
      <c r="AD14" s="116" t="s">
        <v>230</v>
      </c>
      <c r="AE14" s="116" t="s">
        <v>230</v>
      </c>
      <c r="AF14" s="116" t="s">
        <v>254</v>
      </c>
      <c r="AG14" s="116" t="s">
        <v>254</v>
      </c>
      <c r="AH14" s="116" t="s">
        <v>257</v>
      </c>
      <c r="AI14" s="116" t="s">
        <v>257</v>
      </c>
      <c r="AJ14" s="116" t="s">
        <v>257</v>
      </c>
      <c r="AK14" s="116" t="s">
        <v>257</v>
      </c>
      <c r="AL14" s="116" t="s">
        <v>257</v>
      </c>
    </row>
    <row r="15" spans="2:38" ht="15.75" x14ac:dyDescent="0.25">
      <c r="B15" s="117">
        <v>46004</v>
      </c>
      <c r="C15" s="116" t="s">
        <v>254</v>
      </c>
      <c r="D15" s="116" t="s">
        <v>257</v>
      </c>
      <c r="E15" s="116" t="s">
        <v>257</v>
      </c>
      <c r="F15" s="116" t="s">
        <v>229</v>
      </c>
      <c r="G15" s="116" t="s">
        <v>230</v>
      </c>
      <c r="H15" s="116" t="s">
        <v>230</v>
      </c>
      <c r="I15" s="116" t="s">
        <v>254</v>
      </c>
      <c r="J15" s="116" t="s">
        <v>254</v>
      </c>
      <c r="K15" s="116" t="s">
        <v>257</v>
      </c>
      <c r="L15" s="116" t="s">
        <v>257</v>
      </c>
      <c r="M15" s="116" t="s">
        <v>257</v>
      </c>
      <c r="N15" s="116" t="s">
        <v>229</v>
      </c>
      <c r="O15" s="116" t="s">
        <v>229</v>
      </c>
      <c r="P15" s="116" t="s">
        <v>230</v>
      </c>
      <c r="Q15" s="116" t="s">
        <v>254</v>
      </c>
      <c r="R15" s="116" t="s">
        <v>254</v>
      </c>
      <c r="S15" s="116" t="s">
        <v>257</v>
      </c>
      <c r="T15" s="116" t="s">
        <v>257</v>
      </c>
      <c r="U15" s="116" t="s">
        <v>229</v>
      </c>
      <c r="V15" s="116" t="s">
        <v>230</v>
      </c>
      <c r="W15" s="116" t="s">
        <v>254</v>
      </c>
      <c r="X15" s="116" t="s">
        <v>254</v>
      </c>
      <c r="Y15" s="116" t="s">
        <v>257</v>
      </c>
      <c r="Z15" s="116" t="s">
        <v>257</v>
      </c>
      <c r="AA15" s="116" t="s">
        <v>257</v>
      </c>
      <c r="AB15" s="116" t="s">
        <v>229</v>
      </c>
      <c r="AC15" s="116" t="s">
        <v>230</v>
      </c>
      <c r="AD15" s="116" t="s">
        <v>230</v>
      </c>
      <c r="AE15" s="116" t="s">
        <v>254</v>
      </c>
      <c r="AF15" s="116" t="s">
        <v>254</v>
      </c>
      <c r="AG15" s="116" t="s">
        <v>257</v>
      </c>
      <c r="AH15" s="116" t="s">
        <v>257</v>
      </c>
      <c r="AI15" s="116" t="s">
        <v>257</v>
      </c>
      <c r="AJ15" s="116" t="s">
        <v>257</v>
      </c>
      <c r="AK15" s="116" t="s">
        <v>257</v>
      </c>
      <c r="AL15" s="116" t="s">
        <v>239</v>
      </c>
    </row>
    <row r="16" spans="2:38" ht="15.75" x14ac:dyDescent="0.25">
      <c r="B16" s="117">
        <v>46005</v>
      </c>
      <c r="C16" s="116" t="s">
        <v>254</v>
      </c>
      <c r="D16" s="116" t="s">
        <v>257</v>
      </c>
      <c r="E16" s="116" t="s">
        <v>229</v>
      </c>
      <c r="F16" s="116" t="s">
        <v>230</v>
      </c>
      <c r="G16" s="116" t="s">
        <v>230</v>
      </c>
      <c r="H16" s="116" t="s">
        <v>254</v>
      </c>
      <c r="I16" s="116" t="s">
        <v>254</v>
      </c>
      <c r="J16" s="116" t="s">
        <v>257</v>
      </c>
      <c r="K16" s="116" t="s">
        <v>257</v>
      </c>
      <c r="L16" s="116" t="s">
        <v>257</v>
      </c>
      <c r="M16" s="116" t="s">
        <v>229</v>
      </c>
      <c r="N16" s="116" t="s">
        <v>230</v>
      </c>
      <c r="O16" s="116" t="s">
        <v>230</v>
      </c>
      <c r="P16" s="116" t="s">
        <v>254</v>
      </c>
      <c r="Q16" s="116" t="s">
        <v>254</v>
      </c>
      <c r="R16" s="116" t="s">
        <v>257</v>
      </c>
      <c r="S16" s="116" t="s">
        <v>257</v>
      </c>
      <c r="T16" s="116" t="s">
        <v>229</v>
      </c>
      <c r="U16" s="116" t="s">
        <v>230</v>
      </c>
      <c r="V16" s="116" t="s">
        <v>254</v>
      </c>
      <c r="W16" s="116" t="s">
        <v>254</v>
      </c>
      <c r="X16" s="116" t="s">
        <v>257</v>
      </c>
      <c r="Y16" s="116" t="s">
        <v>257</v>
      </c>
      <c r="Z16" s="116" t="s">
        <v>257</v>
      </c>
      <c r="AA16" s="116" t="s">
        <v>229</v>
      </c>
      <c r="AB16" s="116" t="s">
        <v>230</v>
      </c>
      <c r="AC16" s="116" t="s">
        <v>230</v>
      </c>
      <c r="AD16" s="116" t="s">
        <v>254</v>
      </c>
      <c r="AE16" s="116" t="s">
        <v>254</v>
      </c>
      <c r="AF16" s="116" t="s">
        <v>257</v>
      </c>
      <c r="AG16" s="116" t="s">
        <v>257</v>
      </c>
      <c r="AH16" s="116" t="s">
        <v>257</v>
      </c>
      <c r="AI16" s="116" t="s">
        <v>229</v>
      </c>
      <c r="AJ16" s="116" t="s">
        <v>229</v>
      </c>
      <c r="AK16" s="116" t="s">
        <v>230</v>
      </c>
      <c r="AL16" s="116" t="s">
        <v>239</v>
      </c>
    </row>
    <row r="17" spans="2:38" ht="15.75" x14ac:dyDescent="0.25">
      <c r="B17" s="117">
        <v>46006</v>
      </c>
      <c r="C17" s="116" t="s">
        <v>257</v>
      </c>
      <c r="D17" s="116" t="s">
        <v>229</v>
      </c>
      <c r="E17" s="116" t="s">
        <v>230</v>
      </c>
      <c r="F17" s="116" t="s">
        <v>230</v>
      </c>
      <c r="G17" s="116" t="s">
        <v>254</v>
      </c>
      <c r="H17" s="116" t="s">
        <v>254</v>
      </c>
      <c r="I17" s="116" t="s">
        <v>257</v>
      </c>
      <c r="J17" s="116" t="s">
        <v>257</v>
      </c>
      <c r="K17" s="116" t="s">
        <v>257</v>
      </c>
      <c r="L17" s="116" t="s">
        <v>229</v>
      </c>
      <c r="M17" s="116" t="s">
        <v>230</v>
      </c>
      <c r="N17" s="116" t="s">
        <v>230</v>
      </c>
      <c r="O17" s="116" t="s">
        <v>254</v>
      </c>
      <c r="P17" s="116" t="s">
        <v>254</v>
      </c>
      <c r="Q17" s="116" t="s">
        <v>257</v>
      </c>
      <c r="R17" s="116" t="s">
        <v>257</v>
      </c>
      <c r="S17" s="116" t="s">
        <v>257</v>
      </c>
      <c r="T17" s="116" t="s">
        <v>230</v>
      </c>
      <c r="U17" s="116" t="s">
        <v>254</v>
      </c>
      <c r="V17" s="116" t="s">
        <v>254</v>
      </c>
      <c r="W17" s="116" t="s">
        <v>257</v>
      </c>
      <c r="X17" s="116" t="s">
        <v>257</v>
      </c>
      <c r="Y17" s="116" t="s">
        <v>257</v>
      </c>
      <c r="Z17" s="116" t="s">
        <v>229</v>
      </c>
      <c r="AA17" s="116" t="s">
        <v>229</v>
      </c>
      <c r="AB17" s="116" t="s">
        <v>230</v>
      </c>
      <c r="AC17" s="116" t="s">
        <v>254</v>
      </c>
      <c r="AD17" s="116" t="s">
        <v>254</v>
      </c>
      <c r="AE17" s="116" t="s">
        <v>257</v>
      </c>
      <c r="AF17" s="116" t="s">
        <v>257</v>
      </c>
      <c r="AG17" s="116" t="s">
        <v>257</v>
      </c>
      <c r="AH17" s="116" t="s">
        <v>229</v>
      </c>
      <c r="AI17" s="116" t="s">
        <v>229</v>
      </c>
      <c r="AJ17" s="116" t="s">
        <v>229</v>
      </c>
      <c r="AK17" s="116" t="s">
        <v>230</v>
      </c>
      <c r="AL17" s="116" t="s">
        <v>239</v>
      </c>
    </row>
    <row r="18" spans="2:38" ht="15.75" x14ac:dyDescent="0.25">
      <c r="B18" s="117">
        <v>46007</v>
      </c>
      <c r="C18" s="116" t="s">
        <v>257</v>
      </c>
      <c r="D18" s="116" t="s">
        <v>229</v>
      </c>
      <c r="E18" s="116" t="s">
        <v>254</v>
      </c>
      <c r="F18" s="116" t="s">
        <v>254</v>
      </c>
      <c r="G18" s="116" t="s">
        <v>254</v>
      </c>
      <c r="H18" s="116" t="s">
        <v>257</v>
      </c>
      <c r="I18" s="116" t="s">
        <v>257</v>
      </c>
      <c r="J18" s="116" t="s">
        <v>257</v>
      </c>
      <c r="K18" s="116" t="s">
        <v>229</v>
      </c>
      <c r="L18" s="116" t="s">
        <v>230</v>
      </c>
      <c r="M18" s="116" t="s">
        <v>230</v>
      </c>
      <c r="N18" s="116" t="s">
        <v>254</v>
      </c>
      <c r="O18" s="116" t="s">
        <v>254</v>
      </c>
      <c r="P18" s="116" t="s">
        <v>257</v>
      </c>
      <c r="Q18" s="116" t="s">
        <v>257</v>
      </c>
      <c r="R18" s="116" t="s">
        <v>257</v>
      </c>
      <c r="S18" s="116" t="s">
        <v>229</v>
      </c>
      <c r="T18" s="116" t="s">
        <v>230</v>
      </c>
      <c r="U18" s="116" t="s">
        <v>254</v>
      </c>
      <c r="V18" s="116" t="s">
        <v>257</v>
      </c>
      <c r="W18" s="116" t="s">
        <v>257</v>
      </c>
      <c r="X18" s="116" t="s">
        <v>257</v>
      </c>
      <c r="Y18" s="116" t="s">
        <v>229</v>
      </c>
      <c r="Z18" s="116" t="s">
        <v>229</v>
      </c>
      <c r="AA18" s="116" t="s">
        <v>230</v>
      </c>
      <c r="AB18" s="116" t="s">
        <v>254</v>
      </c>
      <c r="AC18" s="116" t="s">
        <v>254</v>
      </c>
      <c r="AD18" s="116" t="s">
        <v>257</v>
      </c>
      <c r="AE18" s="116" t="s">
        <v>257</v>
      </c>
      <c r="AF18" s="116" t="s">
        <v>257</v>
      </c>
      <c r="AG18" s="116" t="s">
        <v>229</v>
      </c>
      <c r="AH18" s="116" t="s">
        <v>230</v>
      </c>
      <c r="AI18" s="116" t="s">
        <v>230</v>
      </c>
      <c r="AJ18" s="116" t="s">
        <v>229</v>
      </c>
      <c r="AK18" s="116" t="s">
        <v>230</v>
      </c>
      <c r="AL18" s="116" t="s">
        <v>229</v>
      </c>
    </row>
    <row r="19" spans="2:38" ht="15.75" x14ac:dyDescent="0.25">
      <c r="B19" s="117">
        <v>46008</v>
      </c>
      <c r="C19" s="116" t="s">
        <v>257</v>
      </c>
      <c r="D19" s="116" t="s">
        <v>230</v>
      </c>
      <c r="E19" s="116" t="s">
        <v>254</v>
      </c>
      <c r="F19" s="116" t="s">
        <v>254</v>
      </c>
      <c r="G19" s="116" t="s">
        <v>257</v>
      </c>
      <c r="H19" s="116" t="s">
        <v>257</v>
      </c>
      <c r="I19" s="116" t="s">
        <v>257</v>
      </c>
      <c r="J19" s="116" t="s">
        <v>229</v>
      </c>
      <c r="K19" s="116" t="s">
        <v>230</v>
      </c>
      <c r="L19" s="116" t="s">
        <v>230</v>
      </c>
      <c r="M19" s="116" t="s">
        <v>230</v>
      </c>
      <c r="N19" s="116" t="s">
        <v>254</v>
      </c>
      <c r="O19" s="116" t="s">
        <v>257</v>
      </c>
      <c r="P19" s="116" t="s">
        <v>257</v>
      </c>
      <c r="Q19" s="116" t="s">
        <v>257</v>
      </c>
      <c r="R19" s="116" t="s">
        <v>229</v>
      </c>
      <c r="S19" s="116" t="s">
        <v>230</v>
      </c>
      <c r="T19" s="116" t="s">
        <v>254</v>
      </c>
      <c r="U19" s="116" t="s">
        <v>254</v>
      </c>
      <c r="V19" s="116" t="s">
        <v>257</v>
      </c>
      <c r="W19" s="116" t="s">
        <v>257</v>
      </c>
      <c r="X19" s="116" t="s">
        <v>229</v>
      </c>
      <c r="Y19" s="116" t="s">
        <v>229</v>
      </c>
      <c r="Z19" s="116" t="s">
        <v>230</v>
      </c>
      <c r="AA19" s="116" t="s">
        <v>254</v>
      </c>
      <c r="AB19" s="116" t="s">
        <v>254</v>
      </c>
      <c r="AC19" s="116" t="s">
        <v>257</v>
      </c>
      <c r="AD19" s="116" t="s">
        <v>257</v>
      </c>
      <c r="AE19" s="116" t="s">
        <v>257</v>
      </c>
      <c r="AF19" s="116" t="s">
        <v>229</v>
      </c>
      <c r="AG19" s="116" t="s">
        <v>229</v>
      </c>
      <c r="AH19" s="116" t="s">
        <v>230</v>
      </c>
      <c r="AI19" s="116" t="s">
        <v>254</v>
      </c>
      <c r="AJ19" s="116" t="s">
        <v>230</v>
      </c>
      <c r="AK19" s="116" t="s">
        <v>229</v>
      </c>
      <c r="AL19" s="116" t="s">
        <v>229</v>
      </c>
    </row>
    <row r="20" spans="2:38" ht="15.75" x14ac:dyDescent="0.25">
      <c r="B20" s="117">
        <v>46009</v>
      </c>
      <c r="C20" s="116" t="s">
        <v>229</v>
      </c>
      <c r="D20" s="116" t="s">
        <v>230</v>
      </c>
      <c r="E20" s="116" t="s">
        <v>254</v>
      </c>
      <c r="F20" s="116" t="s">
        <v>257</v>
      </c>
      <c r="G20" s="116" t="s">
        <v>257</v>
      </c>
      <c r="H20" s="116" t="s">
        <v>257</v>
      </c>
      <c r="I20" s="116" t="s">
        <v>229</v>
      </c>
      <c r="J20" s="116" t="s">
        <v>230</v>
      </c>
      <c r="K20" s="116" t="s">
        <v>230</v>
      </c>
      <c r="L20" s="116" t="s">
        <v>254</v>
      </c>
      <c r="M20" s="116" t="s">
        <v>254</v>
      </c>
      <c r="N20" s="116" t="s">
        <v>257</v>
      </c>
      <c r="O20" s="116" t="s">
        <v>257</v>
      </c>
      <c r="P20" s="116" t="s">
        <v>257</v>
      </c>
      <c r="Q20" s="116" t="s">
        <v>229</v>
      </c>
      <c r="R20" s="116" t="s">
        <v>230</v>
      </c>
      <c r="S20" s="116" t="s">
        <v>230</v>
      </c>
      <c r="T20" s="116" t="s">
        <v>254</v>
      </c>
      <c r="U20" s="116" t="s">
        <v>257</v>
      </c>
      <c r="V20" s="116" t="s">
        <v>257</v>
      </c>
      <c r="W20" s="116" t="s">
        <v>229</v>
      </c>
      <c r="X20" s="116" t="s">
        <v>229</v>
      </c>
      <c r="Y20" s="116" t="s">
        <v>230</v>
      </c>
      <c r="Z20" s="116" t="s">
        <v>254</v>
      </c>
      <c r="AA20" s="116" t="s">
        <v>254</v>
      </c>
      <c r="AB20" s="116" t="s">
        <v>257</v>
      </c>
      <c r="AC20" s="116" t="s">
        <v>257</v>
      </c>
      <c r="AD20" s="116" t="s">
        <v>257</v>
      </c>
      <c r="AE20" s="116" t="s">
        <v>229</v>
      </c>
      <c r="AF20" s="116" t="s">
        <v>230</v>
      </c>
      <c r="AG20" s="116" t="s">
        <v>230</v>
      </c>
      <c r="AH20" s="116" t="s">
        <v>254</v>
      </c>
      <c r="AI20" s="116" t="s">
        <v>254</v>
      </c>
      <c r="AJ20" s="116" t="s">
        <v>230</v>
      </c>
      <c r="AK20" s="116" t="s">
        <v>229</v>
      </c>
      <c r="AL20" s="116" t="s">
        <v>257</v>
      </c>
    </row>
    <row r="21" spans="2:38" ht="15.75" x14ac:dyDescent="0.25">
      <c r="B21" s="117">
        <v>46010</v>
      </c>
      <c r="C21" s="116" t="s">
        <v>230</v>
      </c>
      <c r="D21" s="116" t="s">
        <v>254</v>
      </c>
      <c r="E21" s="116" t="s">
        <v>257</v>
      </c>
      <c r="F21" s="116" t="s">
        <v>257</v>
      </c>
      <c r="G21" s="116" t="s">
        <v>257</v>
      </c>
      <c r="H21" s="116" t="s">
        <v>229</v>
      </c>
      <c r="I21" s="116" t="s">
        <v>230</v>
      </c>
      <c r="J21" s="116" t="s">
        <v>230</v>
      </c>
      <c r="K21" s="116" t="s">
        <v>254</v>
      </c>
      <c r="L21" s="116" t="s">
        <v>254</v>
      </c>
      <c r="M21" s="116" t="s">
        <v>257</v>
      </c>
      <c r="N21" s="116" t="s">
        <v>257</v>
      </c>
      <c r="O21" s="116" t="s">
        <v>257</v>
      </c>
      <c r="P21" s="116" t="s">
        <v>229</v>
      </c>
      <c r="Q21" s="116" t="s">
        <v>229</v>
      </c>
      <c r="R21" s="116" t="s">
        <v>254</v>
      </c>
      <c r="S21" s="116" t="s">
        <v>254</v>
      </c>
      <c r="T21" s="116" t="s">
        <v>257</v>
      </c>
      <c r="U21" s="116" t="s">
        <v>257</v>
      </c>
      <c r="V21" s="116" t="s">
        <v>229</v>
      </c>
      <c r="W21" s="116" t="s">
        <v>230</v>
      </c>
      <c r="X21" s="116" t="s">
        <v>230</v>
      </c>
      <c r="Y21" s="116" t="s">
        <v>254</v>
      </c>
      <c r="Z21" s="116" t="s">
        <v>254</v>
      </c>
      <c r="AA21" s="116" t="s">
        <v>257</v>
      </c>
      <c r="AB21" s="116" t="s">
        <v>257</v>
      </c>
      <c r="AC21" s="116" t="s">
        <v>257</v>
      </c>
      <c r="AD21" s="116" t="s">
        <v>229</v>
      </c>
      <c r="AE21" s="116" t="s">
        <v>230</v>
      </c>
      <c r="AF21" s="116" t="s">
        <v>230</v>
      </c>
      <c r="AG21" s="116" t="s">
        <v>254</v>
      </c>
      <c r="AH21" s="116" t="s">
        <v>254</v>
      </c>
      <c r="AI21" s="116" t="s">
        <v>257</v>
      </c>
      <c r="AJ21" s="116" t="s">
        <v>257</v>
      </c>
      <c r="AK21" s="116" t="s">
        <v>257</v>
      </c>
      <c r="AL21" s="116" t="s">
        <v>257</v>
      </c>
    </row>
    <row r="22" spans="2:38" ht="15.75" x14ac:dyDescent="0.25">
      <c r="B22" s="117">
        <v>46011</v>
      </c>
      <c r="C22" s="116" t="s">
        <v>230</v>
      </c>
      <c r="D22" s="116" t="s">
        <v>257</v>
      </c>
      <c r="E22" s="116" t="s">
        <v>257</v>
      </c>
      <c r="F22" s="116" t="s">
        <v>257</v>
      </c>
      <c r="G22" s="116" t="s">
        <v>229</v>
      </c>
      <c r="H22" s="116" t="s">
        <v>230</v>
      </c>
      <c r="I22" s="116" t="s">
        <v>230</v>
      </c>
      <c r="J22" s="116" t="s">
        <v>254</v>
      </c>
      <c r="K22" s="116" t="s">
        <v>254</v>
      </c>
      <c r="L22" s="116" t="s">
        <v>257</v>
      </c>
      <c r="M22" s="116" t="s">
        <v>257</v>
      </c>
      <c r="N22" s="116" t="s">
        <v>257</v>
      </c>
      <c r="O22" s="116" t="s">
        <v>229</v>
      </c>
      <c r="P22" s="116" t="s">
        <v>229</v>
      </c>
      <c r="Q22" s="116" t="s">
        <v>230</v>
      </c>
      <c r="R22" s="116" t="s">
        <v>254</v>
      </c>
      <c r="S22" s="116" t="s">
        <v>254</v>
      </c>
      <c r="T22" s="116" t="s">
        <v>257</v>
      </c>
      <c r="U22" s="116" t="s">
        <v>257</v>
      </c>
      <c r="V22" s="116" t="s">
        <v>230</v>
      </c>
      <c r="W22" s="116" t="s">
        <v>254</v>
      </c>
      <c r="X22" s="116" t="s">
        <v>254</v>
      </c>
      <c r="Y22" s="116" t="s">
        <v>254</v>
      </c>
      <c r="Z22" s="116" t="s">
        <v>257</v>
      </c>
      <c r="AA22" s="116" t="s">
        <v>257</v>
      </c>
      <c r="AB22" s="116" t="s">
        <v>257</v>
      </c>
      <c r="AC22" s="116" t="s">
        <v>229</v>
      </c>
      <c r="AD22" s="116" t="s">
        <v>229</v>
      </c>
      <c r="AE22" s="116" t="s">
        <v>230</v>
      </c>
      <c r="AF22" s="116" t="s">
        <v>254</v>
      </c>
      <c r="AG22" s="116" t="s">
        <v>254</v>
      </c>
      <c r="AH22" s="116" t="s">
        <v>257</v>
      </c>
      <c r="AI22" s="116" t="s">
        <v>257</v>
      </c>
      <c r="AJ22" s="116" t="s">
        <v>257</v>
      </c>
      <c r="AK22" s="116" t="s">
        <v>257</v>
      </c>
      <c r="AL22" s="116" t="s">
        <v>239</v>
      </c>
    </row>
    <row r="23" spans="2:38" ht="15.75" x14ac:dyDescent="0.25">
      <c r="B23" s="117">
        <v>46012</v>
      </c>
      <c r="C23" s="116" t="s">
        <v>254</v>
      </c>
      <c r="D23" s="116" t="s">
        <v>257</v>
      </c>
      <c r="E23" s="116" t="s">
        <v>257</v>
      </c>
      <c r="F23" s="116" t="s">
        <v>229</v>
      </c>
      <c r="G23" s="116" t="s">
        <v>230</v>
      </c>
      <c r="H23" s="116" t="s">
        <v>230</v>
      </c>
      <c r="I23" s="116" t="s">
        <v>254</v>
      </c>
      <c r="J23" s="116" t="s">
        <v>254</v>
      </c>
      <c r="K23" s="116" t="s">
        <v>257</v>
      </c>
      <c r="L23" s="116" t="s">
        <v>257</v>
      </c>
      <c r="M23" s="116" t="s">
        <v>257</v>
      </c>
      <c r="N23" s="116" t="s">
        <v>229</v>
      </c>
      <c r="O23" s="116" t="s">
        <v>229</v>
      </c>
      <c r="P23" s="116" t="s">
        <v>230</v>
      </c>
      <c r="Q23" s="116" t="s">
        <v>254</v>
      </c>
      <c r="R23" s="116" t="s">
        <v>254</v>
      </c>
      <c r="S23" s="116" t="s">
        <v>257</v>
      </c>
      <c r="T23" s="116" t="s">
        <v>257</v>
      </c>
      <c r="U23" s="116" t="s">
        <v>229</v>
      </c>
      <c r="V23" s="116" t="s">
        <v>230</v>
      </c>
      <c r="W23" s="116" t="s">
        <v>254</v>
      </c>
      <c r="X23" s="116" t="s">
        <v>254</v>
      </c>
      <c r="Y23" s="116" t="s">
        <v>257</v>
      </c>
      <c r="Z23" s="116" t="s">
        <v>257</v>
      </c>
      <c r="AA23" s="116" t="s">
        <v>257</v>
      </c>
      <c r="AB23" s="116" t="s">
        <v>229</v>
      </c>
      <c r="AC23" s="116" t="s">
        <v>230</v>
      </c>
      <c r="AD23" s="116" t="s">
        <v>230</v>
      </c>
      <c r="AE23" s="116" t="s">
        <v>254</v>
      </c>
      <c r="AF23" s="116" t="s">
        <v>254</v>
      </c>
      <c r="AG23" s="116" t="s">
        <v>257</v>
      </c>
      <c r="AH23" s="116" t="s">
        <v>257</v>
      </c>
      <c r="AI23" s="116" t="s">
        <v>257</v>
      </c>
      <c r="AJ23" s="116" t="s">
        <v>229</v>
      </c>
      <c r="AK23" s="116" t="s">
        <v>230</v>
      </c>
      <c r="AL23" s="116" t="s">
        <v>239</v>
      </c>
    </row>
    <row r="24" spans="2:38" ht="15.75" x14ac:dyDescent="0.25">
      <c r="B24" s="117">
        <v>46013</v>
      </c>
      <c r="C24" s="116" t="s">
        <v>254</v>
      </c>
      <c r="D24" s="116" t="s">
        <v>257</v>
      </c>
      <c r="E24" s="116" t="s">
        <v>229</v>
      </c>
      <c r="F24" s="116" t="s">
        <v>229</v>
      </c>
      <c r="G24" s="116" t="s">
        <v>230</v>
      </c>
      <c r="H24" s="116" t="s">
        <v>254</v>
      </c>
      <c r="I24" s="116" t="s">
        <v>254</v>
      </c>
      <c r="J24" s="116" t="s">
        <v>257</v>
      </c>
      <c r="K24" s="116" t="s">
        <v>257</v>
      </c>
      <c r="L24" s="116" t="s">
        <v>257</v>
      </c>
      <c r="M24" s="116" t="s">
        <v>229</v>
      </c>
      <c r="N24" s="116" t="s">
        <v>230</v>
      </c>
      <c r="O24" s="116" t="s">
        <v>230</v>
      </c>
      <c r="P24" s="116" t="s">
        <v>254</v>
      </c>
      <c r="Q24" s="116" t="s">
        <v>254</v>
      </c>
      <c r="R24" s="116" t="s">
        <v>257</v>
      </c>
      <c r="S24" s="116" t="s">
        <v>257</v>
      </c>
      <c r="T24" s="116" t="s">
        <v>229</v>
      </c>
      <c r="U24" s="116" t="s">
        <v>229</v>
      </c>
      <c r="V24" s="116" t="s">
        <v>254</v>
      </c>
      <c r="W24" s="116" t="s">
        <v>254</v>
      </c>
      <c r="X24" s="116" t="s">
        <v>257</v>
      </c>
      <c r="Y24" s="116" t="s">
        <v>257</v>
      </c>
      <c r="Z24" s="116" t="s">
        <v>257</v>
      </c>
      <c r="AA24" s="116" t="s">
        <v>229</v>
      </c>
      <c r="AB24" s="116" t="s">
        <v>230</v>
      </c>
      <c r="AC24" s="116" t="s">
        <v>230</v>
      </c>
      <c r="AD24" s="116" t="s">
        <v>254</v>
      </c>
      <c r="AE24" s="116" t="s">
        <v>254</v>
      </c>
      <c r="AF24" s="116" t="s">
        <v>257</v>
      </c>
      <c r="AG24" s="116" t="s">
        <v>257</v>
      </c>
      <c r="AH24" s="116" t="s">
        <v>257</v>
      </c>
      <c r="AI24" s="116" t="s">
        <v>229</v>
      </c>
      <c r="AJ24" s="116" t="s">
        <v>229</v>
      </c>
      <c r="AK24" s="116" t="s">
        <v>230</v>
      </c>
      <c r="AL24" s="116" t="s">
        <v>239</v>
      </c>
    </row>
    <row r="25" spans="2:38" ht="15.75" x14ac:dyDescent="0.25">
      <c r="B25" s="117">
        <v>46014</v>
      </c>
      <c r="C25" s="116" t="s">
        <v>257</v>
      </c>
      <c r="D25" s="116" t="s">
        <v>229</v>
      </c>
      <c r="E25" s="116" t="s">
        <v>229</v>
      </c>
      <c r="F25" s="116" t="s">
        <v>230</v>
      </c>
      <c r="G25" s="116" t="s">
        <v>254</v>
      </c>
      <c r="H25" s="116" t="s">
        <v>254</v>
      </c>
      <c r="I25" s="116" t="s">
        <v>257</v>
      </c>
      <c r="J25" s="116" t="s">
        <v>257</v>
      </c>
      <c r="K25" s="116" t="s">
        <v>257</v>
      </c>
      <c r="L25" s="116" t="s">
        <v>229</v>
      </c>
      <c r="M25" s="116" t="s">
        <v>230</v>
      </c>
      <c r="N25" s="116" t="s">
        <v>254</v>
      </c>
      <c r="O25" s="116" t="s">
        <v>254</v>
      </c>
      <c r="P25" s="116" t="s">
        <v>254</v>
      </c>
      <c r="Q25" s="116" t="s">
        <v>257</v>
      </c>
      <c r="R25" s="116" t="s">
        <v>257</v>
      </c>
      <c r="S25" s="116" t="s">
        <v>257</v>
      </c>
      <c r="T25" s="116" t="s">
        <v>230</v>
      </c>
      <c r="U25" s="116" t="s">
        <v>230</v>
      </c>
      <c r="V25" s="116" t="s">
        <v>254</v>
      </c>
      <c r="W25" s="116" t="s">
        <v>257</v>
      </c>
      <c r="X25" s="116" t="s">
        <v>257</v>
      </c>
      <c r="Y25" s="116" t="s">
        <v>257</v>
      </c>
      <c r="Z25" s="116" t="s">
        <v>229</v>
      </c>
      <c r="AA25" s="116" t="s">
        <v>230</v>
      </c>
      <c r="AB25" s="116" t="s">
        <v>254</v>
      </c>
      <c r="AC25" s="116" t="s">
        <v>254</v>
      </c>
      <c r="AD25" s="116" t="s">
        <v>254</v>
      </c>
      <c r="AE25" s="116" t="s">
        <v>257</v>
      </c>
      <c r="AF25" s="116" t="s">
        <v>257</v>
      </c>
      <c r="AG25" s="116" t="s">
        <v>257</v>
      </c>
      <c r="AH25" s="116" t="s">
        <v>229</v>
      </c>
      <c r="AI25" s="116" t="s">
        <v>230</v>
      </c>
      <c r="AJ25" s="116" t="s">
        <v>229</v>
      </c>
      <c r="AK25" s="116" t="s">
        <v>230</v>
      </c>
      <c r="AL25" s="116" t="s">
        <v>229</v>
      </c>
    </row>
    <row r="26" spans="2:38" ht="15.75" x14ac:dyDescent="0.25">
      <c r="B26" s="117">
        <v>46015</v>
      </c>
      <c r="C26" s="116" t="s">
        <v>257</v>
      </c>
      <c r="D26" s="116" t="s">
        <v>229</v>
      </c>
      <c r="E26" s="116" t="s">
        <v>230</v>
      </c>
      <c r="F26" s="116" t="s">
        <v>230</v>
      </c>
      <c r="G26" s="116" t="s">
        <v>254</v>
      </c>
      <c r="H26" s="116" t="s">
        <v>257</v>
      </c>
      <c r="I26" s="116" t="s">
        <v>257</v>
      </c>
      <c r="J26" s="116" t="s">
        <v>257</v>
      </c>
      <c r="K26" s="116" t="s">
        <v>229</v>
      </c>
      <c r="L26" s="116" t="s">
        <v>230</v>
      </c>
      <c r="M26" s="116" t="s">
        <v>230</v>
      </c>
      <c r="N26" s="116" t="s">
        <v>254</v>
      </c>
      <c r="O26" s="116" t="s">
        <v>254</v>
      </c>
      <c r="P26" s="116" t="s">
        <v>257</v>
      </c>
      <c r="Q26" s="116" t="s">
        <v>257</v>
      </c>
      <c r="R26" s="116" t="s">
        <v>257</v>
      </c>
      <c r="S26" s="116" t="s">
        <v>229</v>
      </c>
      <c r="T26" s="116" t="s">
        <v>254</v>
      </c>
      <c r="U26" s="116" t="s">
        <v>254</v>
      </c>
      <c r="V26" s="116" t="s">
        <v>257</v>
      </c>
      <c r="W26" s="116" t="s">
        <v>257</v>
      </c>
      <c r="X26" s="116" t="s">
        <v>257</v>
      </c>
      <c r="Y26" s="116" t="s">
        <v>229</v>
      </c>
      <c r="Z26" s="116" t="s">
        <v>230</v>
      </c>
      <c r="AA26" s="116" t="s">
        <v>230</v>
      </c>
      <c r="AB26" s="116" t="s">
        <v>254</v>
      </c>
      <c r="AC26" s="116" t="s">
        <v>254</v>
      </c>
      <c r="AD26" s="116" t="s">
        <v>257</v>
      </c>
      <c r="AE26" s="116" t="s">
        <v>257</v>
      </c>
      <c r="AF26" s="116" t="s">
        <v>257</v>
      </c>
      <c r="AG26" s="116" t="s">
        <v>229</v>
      </c>
      <c r="AH26" s="116" t="s">
        <v>229</v>
      </c>
      <c r="AI26" s="116" t="s">
        <v>230</v>
      </c>
      <c r="AJ26" s="116" t="s">
        <v>230</v>
      </c>
      <c r="AK26" s="116" t="s">
        <v>229</v>
      </c>
      <c r="AL26" s="116" t="s">
        <v>229</v>
      </c>
    </row>
    <row r="27" spans="2:38" ht="15.75" x14ac:dyDescent="0.25">
      <c r="B27" s="117">
        <v>46016</v>
      </c>
      <c r="C27" s="116" t="s">
        <v>257</v>
      </c>
      <c r="D27" s="116" t="s">
        <v>230</v>
      </c>
      <c r="E27" s="116" t="s">
        <v>254</v>
      </c>
      <c r="F27" s="116" t="s">
        <v>254</v>
      </c>
      <c r="G27" s="116" t="s">
        <v>257</v>
      </c>
      <c r="H27" s="116" t="s">
        <v>257</v>
      </c>
      <c r="I27" s="116" t="s">
        <v>257</v>
      </c>
      <c r="J27" s="116" t="s">
        <v>229</v>
      </c>
      <c r="K27" s="116" t="s">
        <v>229</v>
      </c>
      <c r="L27" s="116" t="s">
        <v>230</v>
      </c>
      <c r="M27" s="116" t="s">
        <v>254</v>
      </c>
      <c r="N27" s="116" t="s">
        <v>254</v>
      </c>
      <c r="O27" s="116" t="s">
        <v>257</v>
      </c>
      <c r="P27" s="116" t="s">
        <v>257</v>
      </c>
      <c r="Q27" s="116" t="s">
        <v>257</v>
      </c>
      <c r="R27" s="116" t="s">
        <v>229</v>
      </c>
      <c r="S27" s="116" t="s">
        <v>230</v>
      </c>
      <c r="T27" s="116" t="s">
        <v>254</v>
      </c>
      <c r="U27" s="116" t="s">
        <v>254</v>
      </c>
      <c r="V27" s="116" t="s">
        <v>257</v>
      </c>
      <c r="W27" s="116" t="s">
        <v>257</v>
      </c>
      <c r="X27" s="116" t="s">
        <v>229</v>
      </c>
      <c r="Y27" s="116" t="s">
        <v>230</v>
      </c>
      <c r="Z27" s="116" t="s">
        <v>230</v>
      </c>
      <c r="AA27" s="116" t="s">
        <v>254</v>
      </c>
      <c r="AB27" s="116" t="s">
        <v>254</v>
      </c>
      <c r="AC27" s="116" t="s">
        <v>257</v>
      </c>
      <c r="AD27" s="116" t="s">
        <v>257</v>
      </c>
      <c r="AE27" s="116" t="s">
        <v>257</v>
      </c>
      <c r="AF27" s="116" t="s">
        <v>229</v>
      </c>
      <c r="AG27" s="116" t="s">
        <v>229</v>
      </c>
      <c r="AH27" s="116" t="s">
        <v>230</v>
      </c>
      <c r="AI27" s="116" t="s">
        <v>254</v>
      </c>
      <c r="AJ27" s="116" t="s">
        <v>230</v>
      </c>
      <c r="AK27" s="116" t="s">
        <v>229</v>
      </c>
      <c r="AL27" s="116" t="s">
        <v>257</v>
      </c>
    </row>
    <row r="28" spans="2:38" ht="15.75" x14ac:dyDescent="0.25">
      <c r="B28" s="117">
        <v>46017</v>
      </c>
      <c r="C28" s="116" t="s">
        <v>229</v>
      </c>
      <c r="D28" s="116" t="s">
        <v>254</v>
      </c>
      <c r="E28" s="116" t="s">
        <v>254</v>
      </c>
      <c r="F28" s="116" t="s">
        <v>257</v>
      </c>
      <c r="G28" s="116" t="s">
        <v>257</v>
      </c>
      <c r="H28" s="116" t="s">
        <v>257</v>
      </c>
      <c r="I28" s="116" t="s">
        <v>229</v>
      </c>
      <c r="J28" s="116" t="s">
        <v>230</v>
      </c>
      <c r="K28" s="116" t="s">
        <v>230</v>
      </c>
      <c r="L28" s="116" t="s">
        <v>254</v>
      </c>
      <c r="M28" s="116" t="s">
        <v>254</v>
      </c>
      <c r="N28" s="116" t="s">
        <v>257</v>
      </c>
      <c r="O28" s="116" t="s">
        <v>257</v>
      </c>
      <c r="P28" s="116" t="s">
        <v>257</v>
      </c>
      <c r="Q28" s="116" t="s">
        <v>229</v>
      </c>
      <c r="R28" s="116" t="s">
        <v>230</v>
      </c>
      <c r="S28" s="116" t="s">
        <v>230</v>
      </c>
      <c r="T28" s="116" t="s">
        <v>254</v>
      </c>
      <c r="U28" s="116" t="s">
        <v>257</v>
      </c>
      <c r="V28" s="116" t="s">
        <v>257</v>
      </c>
      <c r="W28" s="116" t="s">
        <v>229</v>
      </c>
      <c r="X28" s="116" t="s">
        <v>230</v>
      </c>
      <c r="Y28" s="116" t="s">
        <v>230</v>
      </c>
      <c r="Z28" s="116" t="s">
        <v>256</v>
      </c>
      <c r="AA28" s="116" t="s">
        <v>254</v>
      </c>
      <c r="AB28" s="116" t="s">
        <v>257</v>
      </c>
      <c r="AC28" s="116" t="s">
        <v>257</v>
      </c>
      <c r="AD28" s="116" t="s">
        <v>257</v>
      </c>
      <c r="AE28" s="116" t="s">
        <v>229</v>
      </c>
      <c r="AF28" s="116" t="s">
        <v>229</v>
      </c>
      <c r="AG28" s="116" t="s">
        <v>230</v>
      </c>
      <c r="AH28" s="116" t="s">
        <v>254</v>
      </c>
      <c r="AI28" s="116" t="s">
        <v>254</v>
      </c>
      <c r="AJ28" s="116" t="s">
        <v>257</v>
      </c>
      <c r="AK28" s="116" t="s">
        <v>257</v>
      </c>
      <c r="AL28" s="116" t="s">
        <v>257</v>
      </c>
    </row>
    <row r="29" spans="2:38" ht="15.75" x14ac:dyDescent="0.25">
      <c r="B29" s="117">
        <v>46018</v>
      </c>
      <c r="C29" s="116" t="s">
        <v>230</v>
      </c>
      <c r="D29" s="116" t="s">
        <v>254</v>
      </c>
      <c r="E29" s="116" t="s">
        <v>257</v>
      </c>
      <c r="F29" s="116" t="s">
        <v>257</v>
      </c>
      <c r="G29" s="116" t="s">
        <v>257</v>
      </c>
      <c r="H29" s="116" t="s">
        <v>229</v>
      </c>
      <c r="I29" s="116" t="s">
        <v>230</v>
      </c>
      <c r="J29" s="116" t="s">
        <v>230</v>
      </c>
      <c r="K29" s="116" t="s">
        <v>254</v>
      </c>
      <c r="L29" s="116" t="s">
        <v>254</v>
      </c>
      <c r="M29" s="116" t="s">
        <v>257</v>
      </c>
      <c r="N29" s="116" t="s">
        <v>257</v>
      </c>
      <c r="O29" s="116" t="s">
        <v>257</v>
      </c>
      <c r="P29" s="116" t="s">
        <v>229</v>
      </c>
      <c r="Q29" s="116" t="s">
        <v>229</v>
      </c>
      <c r="R29" s="116" t="s">
        <v>230</v>
      </c>
      <c r="S29" s="116" t="s">
        <v>254</v>
      </c>
      <c r="T29" s="116" t="s">
        <v>257</v>
      </c>
      <c r="U29" s="116" t="s">
        <v>257</v>
      </c>
      <c r="V29" s="116" t="s">
        <v>229</v>
      </c>
      <c r="W29" s="116" t="s">
        <v>230</v>
      </c>
      <c r="X29" s="116" t="s">
        <v>230</v>
      </c>
      <c r="Y29" s="116" t="s">
        <v>254</v>
      </c>
      <c r="Z29" s="116" t="s">
        <v>254</v>
      </c>
      <c r="AA29" s="116" t="s">
        <v>257</v>
      </c>
      <c r="AB29" s="116" t="s">
        <v>257</v>
      </c>
      <c r="AC29" s="116" t="s">
        <v>257</v>
      </c>
      <c r="AD29" s="116" t="s">
        <v>229</v>
      </c>
      <c r="AE29" s="116" t="s">
        <v>229</v>
      </c>
      <c r="AF29" s="116" t="s">
        <v>230</v>
      </c>
      <c r="AG29" s="116" t="s">
        <v>254</v>
      </c>
      <c r="AH29" s="116" t="s">
        <v>254</v>
      </c>
      <c r="AI29" s="116" t="s">
        <v>257</v>
      </c>
      <c r="AJ29" s="116" t="s">
        <v>257</v>
      </c>
      <c r="AK29" s="116" t="s">
        <v>257</v>
      </c>
      <c r="AL29" s="116" t="s">
        <v>239</v>
      </c>
    </row>
    <row r="30" spans="2:38" ht="15.75" x14ac:dyDescent="0.25">
      <c r="B30" s="117">
        <v>46019</v>
      </c>
      <c r="C30" s="116" t="s">
        <v>230</v>
      </c>
      <c r="D30" s="116" t="s">
        <v>257</v>
      </c>
      <c r="E30" s="116" t="s">
        <v>257</v>
      </c>
      <c r="F30" s="116" t="s">
        <v>257</v>
      </c>
      <c r="G30" s="116" t="s">
        <v>229</v>
      </c>
      <c r="H30" s="116" t="s">
        <v>230</v>
      </c>
      <c r="I30" s="116" t="s">
        <v>230</v>
      </c>
      <c r="J30" s="116" t="s">
        <v>254</v>
      </c>
      <c r="K30" s="116" t="s">
        <v>254</v>
      </c>
      <c r="L30" s="116" t="s">
        <v>257</v>
      </c>
      <c r="M30" s="116" t="s">
        <v>257</v>
      </c>
      <c r="N30" s="116" t="s">
        <v>257</v>
      </c>
      <c r="O30" s="116" t="s">
        <v>229</v>
      </c>
      <c r="P30" s="116" t="s">
        <v>229</v>
      </c>
      <c r="Q30" s="116" t="s">
        <v>230</v>
      </c>
      <c r="R30" s="116" t="s">
        <v>254</v>
      </c>
      <c r="S30" s="116" t="s">
        <v>254</v>
      </c>
      <c r="T30" s="116" t="s">
        <v>257</v>
      </c>
      <c r="U30" s="116" t="s">
        <v>257</v>
      </c>
      <c r="V30" s="116" t="s">
        <v>230</v>
      </c>
      <c r="W30" s="116" t="s">
        <v>230</v>
      </c>
      <c r="X30" s="116" t="s">
        <v>254</v>
      </c>
      <c r="Y30" s="116" t="s">
        <v>254</v>
      </c>
      <c r="Z30" s="116" t="s">
        <v>257</v>
      </c>
      <c r="AA30" s="116" t="s">
        <v>257</v>
      </c>
      <c r="AB30" s="116" t="s">
        <v>257</v>
      </c>
      <c r="AC30" s="116" t="s">
        <v>229</v>
      </c>
      <c r="AD30" s="116" t="s">
        <v>229</v>
      </c>
      <c r="AE30" s="116" t="s">
        <v>230</v>
      </c>
      <c r="AF30" s="116" t="s">
        <v>254</v>
      </c>
      <c r="AG30" s="116" t="s">
        <v>254</v>
      </c>
      <c r="AH30" s="116" t="s">
        <v>257</v>
      </c>
      <c r="AI30" s="116" t="s">
        <v>257</v>
      </c>
      <c r="AJ30" s="116" t="s">
        <v>229</v>
      </c>
      <c r="AK30" s="116" t="s">
        <v>230</v>
      </c>
      <c r="AL30" s="116" t="s">
        <v>239</v>
      </c>
    </row>
    <row r="31" spans="2:38" ht="15.75" x14ac:dyDescent="0.25">
      <c r="B31" s="117">
        <v>46020</v>
      </c>
      <c r="C31" s="116" t="s">
        <v>254</v>
      </c>
      <c r="D31" s="116" t="s">
        <v>257</v>
      </c>
      <c r="E31" s="116" t="s">
        <v>257</v>
      </c>
      <c r="F31" s="116" t="s">
        <v>229</v>
      </c>
      <c r="G31" s="116" t="s">
        <v>230</v>
      </c>
      <c r="H31" s="116" t="s">
        <v>230</v>
      </c>
      <c r="I31" s="116" t="s">
        <v>254</v>
      </c>
      <c r="J31" s="116" t="s">
        <v>254</v>
      </c>
      <c r="K31" s="116" t="s">
        <v>257</v>
      </c>
      <c r="L31" s="116" t="s">
        <v>257</v>
      </c>
      <c r="M31" s="116" t="s">
        <v>257</v>
      </c>
      <c r="N31" s="116" t="s">
        <v>229</v>
      </c>
      <c r="O31" s="116" t="s">
        <v>229</v>
      </c>
      <c r="P31" s="116" t="s">
        <v>230</v>
      </c>
      <c r="Q31" s="116" t="s">
        <v>254</v>
      </c>
      <c r="R31" s="116" t="s">
        <v>254</v>
      </c>
      <c r="S31" s="116" t="s">
        <v>257</v>
      </c>
      <c r="T31" s="116" t="s">
        <v>257</v>
      </c>
      <c r="U31" s="116" t="s">
        <v>229</v>
      </c>
      <c r="V31" s="116" t="s">
        <v>230</v>
      </c>
      <c r="W31" s="116" t="s">
        <v>254</v>
      </c>
      <c r="X31" s="116" t="s">
        <v>254</v>
      </c>
      <c r="Y31" s="116" t="s">
        <v>257</v>
      </c>
      <c r="Z31" s="116" t="s">
        <v>257</v>
      </c>
      <c r="AA31" s="116" t="s">
        <v>257</v>
      </c>
      <c r="AB31" s="116" t="s">
        <v>229</v>
      </c>
      <c r="AC31" s="116" t="s">
        <v>229</v>
      </c>
      <c r="AD31" s="116" t="s">
        <v>230</v>
      </c>
      <c r="AE31" s="116" t="s">
        <v>254</v>
      </c>
      <c r="AF31" s="116" t="s">
        <v>254</v>
      </c>
      <c r="AG31" s="116" t="s">
        <v>257</v>
      </c>
      <c r="AH31" s="116" t="s">
        <v>257</v>
      </c>
      <c r="AI31" s="116" t="s">
        <v>257</v>
      </c>
      <c r="AJ31" s="116" t="s">
        <v>229</v>
      </c>
      <c r="AK31" s="116" t="s">
        <v>230</v>
      </c>
      <c r="AL31" s="116" t="s">
        <v>239</v>
      </c>
    </row>
    <row r="32" spans="2:38" ht="15.75" x14ac:dyDescent="0.25">
      <c r="B32" s="117">
        <v>46021</v>
      </c>
      <c r="C32" s="116" t="s">
        <v>254</v>
      </c>
      <c r="D32" s="116" t="s">
        <v>257</v>
      </c>
      <c r="E32" s="116" t="s">
        <v>229</v>
      </c>
      <c r="F32" s="116" t="s">
        <v>229</v>
      </c>
      <c r="G32" s="116" t="s">
        <v>254</v>
      </c>
      <c r="H32" s="116" t="s">
        <v>254</v>
      </c>
      <c r="I32" s="116" t="s">
        <v>254</v>
      </c>
      <c r="J32" s="116" t="s">
        <v>257</v>
      </c>
      <c r="K32" s="116" t="s">
        <v>257</v>
      </c>
      <c r="L32" s="116" t="s">
        <v>257</v>
      </c>
      <c r="M32" s="116" t="s">
        <v>229</v>
      </c>
      <c r="N32" s="116" t="s">
        <v>230</v>
      </c>
      <c r="O32" s="116" t="s">
        <v>230</v>
      </c>
      <c r="P32" s="116" t="s">
        <v>254</v>
      </c>
      <c r="Q32" s="116" t="s">
        <v>254</v>
      </c>
      <c r="R32" s="116" t="s">
        <v>257</v>
      </c>
      <c r="S32" s="116" t="s">
        <v>257</v>
      </c>
      <c r="T32" s="116" t="s">
        <v>229</v>
      </c>
      <c r="U32" s="116" t="s">
        <v>230</v>
      </c>
      <c r="V32" s="116" t="s">
        <v>254</v>
      </c>
      <c r="W32" s="116" t="s">
        <v>254</v>
      </c>
      <c r="X32" s="116" t="s">
        <v>257</v>
      </c>
      <c r="Y32" s="116" t="s">
        <v>257</v>
      </c>
      <c r="Z32" s="116" t="s">
        <v>257</v>
      </c>
      <c r="AA32" s="116" t="s">
        <v>229</v>
      </c>
      <c r="AB32" s="116" t="s">
        <v>230</v>
      </c>
      <c r="AC32" s="116" t="s">
        <v>230</v>
      </c>
      <c r="AD32" s="116" t="s">
        <v>254</v>
      </c>
      <c r="AE32" s="116" t="s">
        <v>254</v>
      </c>
      <c r="AF32" s="116" t="s">
        <v>257</v>
      </c>
      <c r="AG32" s="116" t="s">
        <v>257</v>
      </c>
      <c r="AH32" s="116" t="s">
        <v>257</v>
      </c>
      <c r="AI32" s="116" t="s">
        <v>229</v>
      </c>
      <c r="AJ32" s="116" t="s">
        <v>229</v>
      </c>
      <c r="AK32" s="116" t="s">
        <v>230</v>
      </c>
      <c r="AL32" s="116" t="s">
        <v>229</v>
      </c>
    </row>
    <row r="33" spans="2:38" ht="15.75" x14ac:dyDescent="0.25">
      <c r="B33" s="117">
        <v>46022</v>
      </c>
      <c r="C33" s="116" t="s">
        <v>257</v>
      </c>
      <c r="D33" s="116" t="s">
        <v>229</v>
      </c>
      <c r="E33" s="116" t="s">
        <v>229</v>
      </c>
      <c r="F33" s="116" t="s">
        <v>230</v>
      </c>
      <c r="G33" s="116" t="s">
        <v>254</v>
      </c>
      <c r="H33" s="116" t="s">
        <v>254</v>
      </c>
      <c r="I33" s="116" t="s">
        <v>257</v>
      </c>
      <c r="J33" s="116" t="s">
        <v>257</v>
      </c>
      <c r="K33" s="116" t="s">
        <v>257</v>
      </c>
      <c r="L33" s="116" t="s">
        <v>229</v>
      </c>
      <c r="M33" s="116" t="s">
        <v>230</v>
      </c>
      <c r="N33" s="116" t="s">
        <v>230</v>
      </c>
      <c r="O33" s="116" t="s">
        <v>254</v>
      </c>
      <c r="P33" s="116" t="s">
        <v>254</v>
      </c>
      <c r="Q33" s="116" t="s">
        <v>257</v>
      </c>
      <c r="R33" s="116" t="s">
        <v>257</v>
      </c>
      <c r="S33" s="116" t="s">
        <v>257</v>
      </c>
      <c r="T33" s="116" t="s">
        <v>229</v>
      </c>
      <c r="U33" s="116" t="s">
        <v>230</v>
      </c>
      <c r="V33" s="116" t="s">
        <v>254</v>
      </c>
      <c r="W33" s="116" t="s">
        <v>257</v>
      </c>
      <c r="X33" s="116" t="s">
        <v>257</v>
      </c>
      <c r="Y33" s="116" t="s">
        <v>257</v>
      </c>
      <c r="Z33" s="116" t="s">
        <v>229</v>
      </c>
      <c r="AA33" s="116" t="s">
        <v>230</v>
      </c>
      <c r="AB33" s="116" t="s">
        <v>254</v>
      </c>
      <c r="AC33" s="116" t="s">
        <v>254</v>
      </c>
      <c r="AD33" s="116" t="s">
        <v>254</v>
      </c>
      <c r="AE33" s="116" t="s">
        <v>257</v>
      </c>
      <c r="AF33" s="116" t="s">
        <v>257</v>
      </c>
      <c r="AG33" s="116" t="s">
        <v>257</v>
      </c>
      <c r="AH33" s="116" t="s">
        <v>229</v>
      </c>
      <c r="AI33" s="116" t="s">
        <v>229</v>
      </c>
      <c r="AJ33" s="116" t="s">
        <v>230</v>
      </c>
      <c r="AK33" s="116" t="s">
        <v>229</v>
      </c>
      <c r="AL33" s="116" t="s">
        <v>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88771-C4A7-40E5-825C-19B7E390D9E9}">
  <dimension ref="B2:AP44"/>
  <sheetViews>
    <sheetView tabSelected="1" zoomScale="80" zoomScaleNormal="8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AB19" sqref="AB19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2.710937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thickBot="1" x14ac:dyDescent="0.55000000000000004">
      <c r="F2" s="250" t="s">
        <v>266</v>
      </c>
      <c r="G2" s="251"/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1"/>
      <c r="U2" s="251"/>
      <c r="V2" s="251"/>
      <c r="W2" s="251"/>
      <c r="X2" s="251"/>
      <c r="Y2" s="251"/>
      <c r="Z2" s="251"/>
      <c r="AA2" s="251"/>
      <c r="AB2" s="251"/>
      <c r="AC2" s="251"/>
      <c r="AD2" s="251"/>
      <c r="AE2" s="251"/>
      <c r="AF2" s="251"/>
      <c r="AG2" s="251"/>
      <c r="AH2" s="251"/>
      <c r="AI2" s="251"/>
      <c r="AJ2" s="252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" x14ac:dyDescent="0.25">
      <c r="B3" s="148" t="s">
        <v>105</v>
      </c>
      <c r="C3" s="148"/>
      <c r="D3" s="148"/>
      <c r="F3" s="123" t="s">
        <v>98</v>
      </c>
      <c r="G3" s="124" t="s">
        <v>99</v>
      </c>
      <c r="H3" s="124" t="s">
        <v>100</v>
      </c>
      <c r="I3" s="123" t="s">
        <v>101</v>
      </c>
      <c r="J3" s="124" t="s">
        <v>95</v>
      </c>
      <c r="K3" s="124" t="s">
        <v>96</v>
      </c>
      <c r="L3" s="123" t="s">
        <v>97</v>
      </c>
      <c r="M3" s="124" t="s">
        <v>98</v>
      </c>
      <c r="N3" s="124" t="s">
        <v>99</v>
      </c>
      <c r="O3" s="123" t="s">
        <v>100</v>
      </c>
      <c r="P3" s="124" t="s">
        <v>101</v>
      </c>
      <c r="Q3" s="124" t="s">
        <v>95</v>
      </c>
      <c r="R3" s="123" t="s">
        <v>96</v>
      </c>
      <c r="S3" s="124" t="s">
        <v>97</v>
      </c>
      <c r="T3" s="124" t="s">
        <v>98</v>
      </c>
      <c r="U3" s="123" t="s">
        <v>99</v>
      </c>
      <c r="V3" s="124" t="s">
        <v>100</v>
      </c>
      <c r="W3" s="124" t="s">
        <v>101</v>
      </c>
      <c r="X3" s="123" t="s">
        <v>95</v>
      </c>
      <c r="Y3" s="124" t="s">
        <v>96</v>
      </c>
      <c r="Z3" s="124" t="s">
        <v>97</v>
      </c>
      <c r="AA3" s="123" t="s">
        <v>98</v>
      </c>
      <c r="AB3" s="124" t="s">
        <v>99</v>
      </c>
      <c r="AC3" s="124" t="s">
        <v>100</v>
      </c>
      <c r="AD3" s="123" t="s">
        <v>101</v>
      </c>
      <c r="AE3" s="124" t="s">
        <v>95</v>
      </c>
      <c r="AF3" s="124" t="s">
        <v>96</v>
      </c>
      <c r="AG3" s="123" t="s">
        <v>97</v>
      </c>
      <c r="AH3" s="124" t="s">
        <v>98</v>
      </c>
      <c r="AI3" s="124" t="s">
        <v>99</v>
      </c>
      <c r="AJ3" s="123" t="s">
        <v>100</v>
      </c>
      <c r="AL3" s="143"/>
      <c r="AM3" s="143"/>
      <c r="AN3" s="143"/>
      <c r="AO3" s="143"/>
      <c r="AP3" s="143"/>
    </row>
    <row r="4" spans="2:42" ht="19.5" customHeight="1" thickBot="1" x14ac:dyDescent="0.3">
      <c r="B4" s="148"/>
      <c r="C4" s="148"/>
      <c r="D4" s="14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125">
        <v>6</v>
      </c>
      <c r="L4" s="125">
        <v>7</v>
      </c>
      <c r="M4" s="125">
        <v>8</v>
      </c>
      <c r="N4" s="125">
        <v>9</v>
      </c>
      <c r="O4" s="125">
        <v>10</v>
      </c>
      <c r="P4" s="125">
        <v>11</v>
      </c>
      <c r="Q4" s="125">
        <v>12</v>
      </c>
      <c r="R4" s="125">
        <v>13</v>
      </c>
      <c r="S4" s="125">
        <v>14</v>
      </c>
      <c r="T4" s="125">
        <v>15</v>
      </c>
      <c r="U4" s="125">
        <v>16</v>
      </c>
      <c r="V4" s="125">
        <v>17</v>
      </c>
      <c r="W4" s="125">
        <v>18</v>
      </c>
      <c r="X4" s="125">
        <v>19</v>
      </c>
      <c r="Y4" s="125">
        <v>20</v>
      </c>
      <c r="Z4" s="125">
        <v>21</v>
      </c>
      <c r="AA4" s="125">
        <v>22</v>
      </c>
      <c r="AB4" s="125">
        <v>23</v>
      </c>
      <c r="AC4" s="125">
        <v>24</v>
      </c>
      <c r="AD4" s="125">
        <v>25</v>
      </c>
      <c r="AE4" s="125">
        <v>26</v>
      </c>
      <c r="AF4" s="125">
        <v>27</v>
      </c>
      <c r="AG4" s="125">
        <v>28</v>
      </c>
      <c r="AH4" s="125">
        <v>29</v>
      </c>
      <c r="AI4" s="125">
        <v>30</v>
      </c>
      <c r="AJ4" s="126">
        <v>31</v>
      </c>
      <c r="AL4" s="144"/>
      <c r="AM4" s="144"/>
      <c r="AN4" s="144"/>
      <c r="AO4" s="144"/>
      <c r="AP4" s="144"/>
    </row>
    <row r="5" spans="2:42" ht="18.75" x14ac:dyDescent="0.25">
      <c r="B5" s="37">
        <v>1</v>
      </c>
      <c r="C5" s="182" t="s">
        <v>193</v>
      </c>
      <c r="D5" s="183"/>
      <c r="F5" s="23" t="s">
        <v>257</v>
      </c>
      <c r="G5" s="23" t="s">
        <v>257</v>
      </c>
      <c r="H5" s="23" t="s">
        <v>257</v>
      </c>
      <c r="I5" s="27" t="s">
        <v>229</v>
      </c>
      <c r="J5" s="27" t="s">
        <v>229</v>
      </c>
      <c r="K5" s="23" t="s">
        <v>230</v>
      </c>
      <c r="L5" s="23" t="s">
        <v>254</v>
      </c>
      <c r="M5" s="23" t="s">
        <v>254</v>
      </c>
      <c r="N5" s="23" t="s">
        <v>257</v>
      </c>
      <c r="O5" s="23" t="s">
        <v>257</v>
      </c>
      <c r="P5" s="23" t="s">
        <v>257</v>
      </c>
      <c r="Q5" s="27" t="s">
        <v>229</v>
      </c>
      <c r="R5" s="23" t="s">
        <v>230</v>
      </c>
      <c r="S5" s="23" t="s">
        <v>230</v>
      </c>
      <c r="T5" s="23" t="s">
        <v>254</v>
      </c>
      <c r="U5" s="23" t="s">
        <v>254</v>
      </c>
      <c r="V5" s="23" t="s">
        <v>257</v>
      </c>
      <c r="W5" s="23" t="s">
        <v>257</v>
      </c>
      <c r="X5" s="23" t="s">
        <v>257</v>
      </c>
      <c r="Y5" s="27" t="s">
        <v>229</v>
      </c>
      <c r="Z5" s="23" t="s">
        <v>230</v>
      </c>
      <c r="AA5" s="23" t="s">
        <v>255</v>
      </c>
      <c r="AB5" s="23" t="s">
        <v>254</v>
      </c>
      <c r="AC5" s="23" t="s">
        <v>254</v>
      </c>
      <c r="AD5" s="23" t="s">
        <v>257</v>
      </c>
      <c r="AE5" s="23" t="s">
        <v>257</v>
      </c>
      <c r="AF5" s="23" t="s">
        <v>257</v>
      </c>
      <c r="AG5" s="27" t="s">
        <v>229</v>
      </c>
      <c r="AH5" s="27" t="s">
        <v>253</v>
      </c>
      <c r="AI5" s="23" t="s">
        <v>230</v>
      </c>
      <c r="AJ5" s="23" t="s">
        <v>230</v>
      </c>
      <c r="AL5" s="22">
        <f>COUNTIF($F5:$AJ5,"ST*")</f>
        <v>2</v>
      </c>
      <c r="AM5" s="22">
        <f>COUNTIF($F5:$AJ5,"M*")</f>
        <v>5</v>
      </c>
      <c r="AN5" s="22">
        <f>COUNTIF($F5:$AJ5,"A*")</f>
        <v>6</v>
      </c>
      <c r="AO5" s="22">
        <f>COUNTIF($F5:$AJ5,"N*")</f>
        <v>6</v>
      </c>
      <c r="AP5" s="22">
        <f>COUNTIF($F5:$AJ5,"O*")</f>
        <v>12</v>
      </c>
    </row>
    <row r="6" spans="2:42" ht="18.75" x14ac:dyDescent="0.25">
      <c r="B6" s="37">
        <v>2</v>
      </c>
      <c r="C6" s="146" t="s">
        <v>194</v>
      </c>
      <c r="D6" s="151"/>
      <c r="F6" s="23" t="s">
        <v>257</v>
      </c>
      <c r="G6" s="23" t="s">
        <v>257</v>
      </c>
      <c r="H6" s="27" t="s">
        <v>229</v>
      </c>
      <c r="I6" s="51" t="s">
        <v>230</v>
      </c>
      <c r="J6" s="51" t="s">
        <v>230</v>
      </c>
      <c r="K6" s="23" t="s">
        <v>254</v>
      </c>
      <c r="L6" s="23" t="s">
        <v>254</v>
      </c>
      <c r="M6" s="23" t="s">
        <v>257</v>
      </c>
      <c r="N6" s="23" t="s">
        <v>257</v>
      </c>
      <c r="O6" s="23" t="s">
        <v>257</v>
      </c>
      <c r="P6" s="27" t="s">
        <v>229</v>
      </c>
      <c r="Q6" s="51" t="s">
        <v>230</v>
      </c>
      <c r="R6" s="51" t="s">
        <v>230</v>
      </c>
      <c r="S6" s="23" t="s">
        <v>254</v>
      </c>
      <c r="T6" s="23" t="s">
        <v>254</v>
      </c>
      <c r="U6" s="23" t="s">
        <v>257</v>
      </c>
      <c r="V6" s="23" t="s">
        <v>257</v>
      </c>
      <c r="W6" s="23" t="s">
        <v>257</v>
      </c>
      <c r="X6" s="56" t="s">
        <v>229</v>
      </c>
      <c r="Y6" s="56" t="s">
        <v>253</v>
      </c>
      <c r="Z6" s="56" t="s">
        <v>230</v>
      </c>
      <c r="AA6" s="56" t="s">
        <v>230</v>
      </c>
      <c r="AB6" s="56" t="s">
        <v>254</v>
      </c>
      <c r="AC6" s="23" t="s">
        <v>257</v>
      </c>
      <c r="AD6" s="23" t="s">
        <v>257</v>
      </c>
      <c r="AE6" s="23" t="s">
        <v>257</v>
      </c>
      <c r="AF6" s="27" t="s">
        <v>144</v>
      </c>
      <c r="AG6" s="51" t="s">
        <v>230</v>
      </c>
      <c r="AH6" s="51" t="s">
        <v>230</v>
      </c>
      <c r="AI6" s="23" t="s">
        <v>254</v>
      </c>
      <c r="AJ6" s="23" t="s">
        <v>254</v>
      </c>
      <c r="AL6" s="22">
        <f t="shared" ref="AL6:AL23" si="0">COUNTIF($F6:$AJ6,"ST*")</f>
        <v>1</v>
      </c>
      <c r="AM6" s="22">
        <f t="shared" ref="AM6:AM23" si="1">COUNTIF($F6:$AJ6,"M*")</f>
        <v>3</v>
      </c>
      <c r="AN6" s="22">
        <f t="shared" ref="AN6:AN23" si="2">COUNTIF($F6:$AJ6,"A*")</f>
        <v>8</v>
      </c>
      <c r="AO6" s="22">
        <f t="shared" ref="AO6:AO23" si="3">COUNTIF($F6:$AJ6,"N*")</f>
        <v>7</v>
      </c>
      <c r="AP6" s="22">
        <f t="shared" ref="AP6:AP23" si="4">COUNTIF($F6:$AJ6,"O*")</f>
        <v>11</v>
      </c>
    </row>
    <row r="7" spans="2:42" ht="18.75" x14ac:dyDescent="0.25">
      <c r="B7" s="37">
        <v>3</v>
      </c>
      <c r="C7" s="146" t="s">
        <v>270</v>
      </c>
      <c r="D7" s="151"/>
      <c r="F7" s="23" t="s">
        <v>257</v>
      </c>
      <c r="G7" s="27" t="s">
        <v>229</v>
      </c>
      <c r="H7" s="27" t="s">
        <v>230</v>
      </c>
      <c r="I7" s="51" t="s">
        <v>230</v>
      </c>
      <c r="J7" s="23" t="s">
        <v>254</v>
      </c>
      <c r="K7" s="23" t="s">
        <v>254</v>
      </c>
      <c r="L7" s="23" t="s">
        <v>257</v>
      </c>
      <c r="M7" s="23" t="s">
        <v>257</v>
      </c>
      <c r="N7" s="23" t="s">
        <v>257</v>
      </c>
      <c r="O7" s="27" t="s">
        <v>229</v>
      </c>
      <c r="P7" s="51" t="s">
        <v>230</v>
      </c>
      <c r="Q7" s="51" t="s">
        <v>230</v>
      </c>
      <c r="R7" s="51" t="s">
        <v>256</v>
      </c>
      <c r="S7" s="23" t="s">
        <v>254</v>
      </c>
      <c r="T7" s="23" t="s">
        <v>257</v>
      </c>
      <c r="U7" s="23" t="s">
        <v>257</v>
      </c>
      <c r="V7" s="23" t="s">
        <v>257</v>
      </c>
      <c r="W7" s="56" t="s">
        <v>229</v>
      </c>
      <c r="X7" s="56" t="s">
        <v>229</v>
      </c>
      <c r="Y7" s="56" t="s">
        <v>230</v>
      </c>
      <c r="Z7" s="56" t="s">
        <v>254</v>
      </c>
      <c r="AA7" s="56" t="s">
        <v>254</v>
      </c>
      <c r="AB7" s="23" t="s">
        <v>257</v>
      </c>
      <c r="AC7" s="23" t="s">
        <v>257</v>
      </c>
      <c r="AD7" s="23" t="s">
        <v>257</v>
      </c>
      <c r="AE7" s="27" t="s">
        <v>229</v>
      </c>
      <c r="AF7" s="27" t="s">
        <v>229</v>
      </c>
      <c r="AG7" s="51" t="s">
        <v>230</v>
      </c>
      <c r="AH7" s="23" t="s">
        <v>254</v>
      </c>
      <c r="AI7" s="23" t="s">
        <v>254</v>
      </c>
      <c r="AJ7" s="23" t="s">
        <v>257</v>
      </c>
      <c r="AL7" s="22">
        <f t="shared" si="0"/>
        <v>1</v>
      </c>
      <c r="AM7" s="22">
        <f t="shared" si="1"/>
        <v>6</v>
      </c>
      <c r="AN7" s="22">
        <f t="shared" si="2"/>
        <v>6</v>
      </c>
      <c r="AO7" s="22">
        <f t="shared" si="3"/>
        <v>7</v>
      </c>
      <c r="AP7" s="22">
        <f t="shared" si="4"/>
        <v>11</v>
      </c>
    </row>
    <row r="8" spans="2:42" ht="18.75" x14ac:dyDescent="0.25">
      <c r="B8" s="37">
        <v>4</v>
      </c>
      <c r="C8" s="146" t="s">
        <v>195</v>
      </c>
      <c r="D8" s="151"/>
      <c r="F8" s="27" t="s">
        <v>258</v>
      </c>
      <c r="G8" s="27" t="s">
        <v>258</v>
      </c>
      <c r="H8" s="51" t="s">
        <v>258</v>
      </c>
      <c r="I8" s="51" t="s">
        <v>258</v>
      </c>
      <c r="J8" s="23" t="s">
        <v>258</v>
      </c>
      <c r="K8" s="23" t="s">
        <v>258</v>
      </c>
      <c r="L8" s="23" t="s">
        <v>257</v>
      </c>
      <c r="M8" s="23" t="s">
        <v>257</v>
      </c>
      <c r="N8" s="27" t="s">
        <v>229</v>
      </c>
      <c r="O8" s="51" t="s">
        <v>230</v>
      </c>
      <c r="P8" s="51" t="s">
        <v>230</v>
      </c>
      <c r="Q8" s="23" t="s">
        <v>254</v>
      </c>
      <c r="R8" s="23" t="s">
        <v>254</v>
      </c>
      <c r="S8" s="23" t="s">
        <v>257</v>
      </c>
      <c r="T8" s="23" t="s">
        <v>257</v>
      </c>
      <c r="U8" s="23" t="s">
        <v>257</v>
      </c>
      <c r="V8" s="27" t="s">
        <v>229</v>
      </c>
      <c r="W8" s="27" t="s">
        <v>229</v>
      </c>
      <c r="X8" s="51" t="s">
        <v>230</v>
      </c>
      <c r="Y8" s="23" t="s">
        <v>254</v>
      </c>
      <c r="Z8" s="23" t="s">
        <v>254</v>
      </c>
      <c r="AA8" s="23" t="s">
        <v>257</v>
      </c>
      <c r="AB8" s="23" t="s">
        <v>257</v>
      </c>
      <c r="AC8" s="23" t="s">
        <v>257</v>
      </c>
      <c r="AD8" s="27" t="s">
        <v>229</v>
      </c>
      <c r="AE8" s="27" t="s">
        <v>229</v>
      </c>
      <c r="AF8" s="51" t="s">
        <v>230</v>
      </c>
      <c r="AG8" s="51" t="s">
        <v>254</v>
      </c>
      <c r="AH8" s="23" t="s">
        <v>254</v>
      </c>
      <c r="AI8" s="23" t="s">
        <v>257</v>
      </c>
      <c r="AJ8" s="23" t="s">
        <v>257</v>
      </c>
      <c r="AL8" s="22">
        <f t="shared" si="0"/>
        <v>0</v>
      </c>
      <c r="AM8" s="22">
        <f t="shared" si="1"/>
        <v>5</v>
      </c>
      <c r="AN8" s="22">
        <f t="shared" si="2"/>
        <v>4</v>
      </c>
      <c r="AO8" s="22">
        <f t="shared" si="3"/>
        <v>6</v>
      </c>
      <c r="AP8" s="22">
        <f t="shared" si="4"/>
        <v>10</v>
      </c>
    </row>
    <row r="9" spans="2:42" ht="18.75" x14ac:dyDescent="0.25">
      <c r="B9" s="37">
        <v>5</v>
      </c>
      <c r="C9" s="146" t="s">
        <v>196</v>
      </c>
      <c r="D9" s="151"/>
      <c r="F9" s="27" t="s">
        <v>229</v>
      </c>
      <c r="G9" s="51" t="s">
        <v>230</v>
      </c>
      <c r="H9" s="51" t="s">
        <v>230</v>
      </c>
      <c r="I9" s="23" t="s">
        <v>254</v>
      </c>
      <c r="J9" s="23" t="s">
        <v>257</v>
      </c>
      <c r="K9" s="23" t="s">
        <v>257</v>
      </c>
      <c r="L9" s="23" t="s">
        <v>257</v>
      </c>
      <c r="M9" s="27" t="s">
        <v>229</v>
      </c>
      <c r="N9" s="27" t="s">
        <v>229</v>
      </c>
      <c r="O9" s="51" t="s">
        <v>230</v>
      </c>
      <c r="P9" s="51" t="s">
        <v>254</v>
      </c>
      <c r="Q9" s="23" t="s">
        <v>254</v>
      </c>
      <c r="R9" s="23" t="s">
        <v>257</v>
      </c>
      <c r="S9" s="23" t="s">
        <v>257</v>
      </c>
      <c r="T9" s="23" t="s">
        <v>257</v>
      </c>
      <c r="U9" s="27" t="s">
        <v>229</v>
      </c>
      <c r="V9" s="27" t="s">
        <v>229</v>
      </c>
      <c r="W9" s="51" t="s">
        <v>230</v>
      </c>
      <c r="X9" s="23" t="s">
        <v>254</v>
      </c>
      <c r="Y9" s="23" t="s">
        <v>254</v>
      </c>
      <c r="Z9" s="23" t="s">
        <v>257</v>
      </c>
      <c r="AA9" s="23" t="s">
        <v>257</v>
      </c>
      <c r="AB9" s="23" t="s">
        <v>257</v>
      </c>
      <c r="AC9" s="27" t="s">
        <v>229</v>
      </c>
      <c r="AD9" s="27" t="s">
        <v>229</v>
      </c>
      <c r="AE9" s="51" t="s">
        <v>230</v>
      </c>
      <c r="AF9" s="51" t="s">
        <v>230</v>
      </c>
      <c r="AG9" s="23" t="s">
        <v>254</v>
      </c>
      <c r="AH9" s="23" t="s">
        <v>257</v>
      </c>
      <c r="AI9" s="23" t="s">
        <v>257</v>
      </c>
      <c r="AJ9" s="23" t="s">
        <v>257</v>
      </c>
      <c r="AL9" s="22">
        <f t="shared" si="0"/>
        <v>0</v>
      </c>
      <c r="AM9" s="22">
        <f t="shared" si="1"/>
        <v>7</v>
      </c>
      <c r="AN9" s="22">
        <f t="shared" si="2"/>
        <v>6</v>
      </c>
      <c r="AO9" s="22">
        <f t="shared" si="3"/>
        <v>6</v>
      </c>
      <c r="AP9" s="22">
        <f t="shared" si="4"/>
        <v>12</v>
      </c>
    </row>
    <row r="10" spans="2:42" ht="18.75" x14ac:dyDescent="0.25">
      <c r="B10" s="37">
        <v>6</v>
      </c>
      <c r="C10" s="146" t="s">
        <v>197</v>
      </c>
      <c r="D10" s="151"/>
      <c r="F10" s="51" t="s">
        <v>230</v>
      </c>
      <c r="G10" s="23" t="s">
        <v>230</v>
      </c>
      <c r="H10" s="23" t="s">
        <v>254</v>
      </c>
      <c r="I10" s="23" t="s">
        <v>257</v>
      </c>
      <c r="J10" s="23" t="s">
        <v>257</v>
      </c>
      <c r="K10" s="23" t="s">
        <v>257</v>
      </c>
      <c r="L10" s="27" t="s">
        <v>229</v>
      </c>
      <c r="M10" s="27" t="s">
        <v>229</v>
      </c>
      <c r="N10" s="51" t="s">
        <v>230</v>
      </c>
      <c r="O10" s="51" t="s">
        <v>254</v>
      </c>
      <c r="P10" s="23" t="s">
        <v>254</v>
      </c>
      <c r="Q10" s="23" t="s">
        <v>257</v>
      </c>
      <c r="R10" s="23" t="s">
        <v>257</v>
      </c>
      <c r="S10" s="23" t="s">
        <v>257</v>
      </c>
      <c r="T10" s="27" t="s">
        <v>229</v>
      </c>
      <c r="U10" s="51" t="s">
        <v>230</v>
      </c>
      <c r="V10" s="113" t="s">
        <v>230</v>
      </c>
      <c r="W10" s="23" t="s">
        <v>254</v>
      </c>
      <c r="X10" s="23" t="s">
        <v>254</v>
      </c>
      <c r="Y10" s="23" t="s">
        <v>257</v>
      </c>
      <c r="Z10" s="23" t="s">
        <v>257</v>
      </c>
      <c r="AA10" s="23" t="s">
        <v>257</v>
      </c>
      <c r="AB10" s="27" t="s">
        <v>229</v>
      </c>
      <c r="AC10" s="27" t="s">
        <v>229</v>
      </c>
      <c r="AD10" s="51" t="s">
        <v>230</v>
      </c>
      <c r="AE10" s="23" t="s">
        <v>144</v>
      </c>
      <c r="AF10" s="23" t="s">
        <v>254</v>
      </c>
      <c r="AG10" s="23" t="s">
        <v>257</v>
      </c>
      <c r="AH10" s="23" t="s">
        <v>257</v>
      </c>
      <c r="AI10" s="23" t="s">
        <v>257</v>
      </c>
      <c r="AJ10" s="27" t="s">
        <v>229</v>
      </c>
      <c r="AL10" s="22">
        <f t="shared" si="0"/>
        <v>0</v>
      </c>
      <c r="AM10" s="22">
        <f t="shared" si="1"/>
        <v>6</v>
      </c>
      <c r="AN10" s="22">
        <f t="shared" si="2"/>
        <v>6</v>
      </c>
      <c r="AO10" s="22">
        <f t="shared" si="3"/>
        <v>6</v>
      </c>
      <c r="AP10" s="22">
        <f t="shared" si="4"/>
        <v>12</v>
      </c>
    </row>
    <row r="11" spans="2:42" ht="18.75" x14ac:dyDescent="0.25">
      <c r="B11" s="37">
        <v>7</v>
      </c>
      <c r="C11" s="146" t="s">
        <v>198</v>
      </c>
      <c r="D11" s="151"/>
      <c r="F11" s="23" t="s">
        <v>230</v>
      </c>
      <c r="G11" s="23" t="s">
        <v>254</v>
      </c>
      <c r="H11" s="23" t="s">
        <v>257</v>
      </c>
      <c r="I11" s="23" t="s">
        <v>257</v>
      </c>
      <c r="J11" s="23" t="s">
        <v>257</v>
      </c>
      <c r="K11" s="27" t="s">
        <v>229</v>
      </c>
      <c r="L11" s="51" t="s">
        <v>230</v>
      </c>
      <c r="M11" s="51" t="s">
        <v>230</v>
      </c>
      <c r="N11" s="23" t="s">
        <v>254</v>
      </c>
      <c r="O11" s="23" t="s">
        <v>254</v>
      </c>
      <c r="P11" s="23" t="s">
        <v>257</v>
      </c>
      <c r="Q11" s="23" t="s">
        <v>257</v>
      </c>
      <c r="R11" s="23" t="s">
        <v>257</v>
      </c>
      <c r="S11" s="27" t="s">
        <v>229</v>
      </c>
      <c r="T11" s="51" t="s">
        <v>255</v>
      </c>
      <c r="U11" s="51" t="s">
        <v>230</v>
      </c>
      <c r="V11" s="23" t="s">
        <v>254</v>
      </c>
      <c r="W11" s="23" t="s">
        <v>254</v>
      </c>
      <c r="X11" s="23" t="s">
        <v>257</v>
      </c>
      <c r="Y11" s="23" t="s">
        <v>257</v>
      </c>
      <c r="Z11" s="23" t="s">
        <v>257</v>
      </c>
      <c r="AA11" s="27" t="s">
        <v>229</v>
      </c>
      <c r="AB11" s="51" t="s">
        <v>255</v>
      </c>
      <c r="AC11" s="23" t="s">
        <v>230</v>
      </c>
      <c r="AD11" s="23" t="s">
        <v>144</v>
      </c>
      <c r="AE11" s="23" t="s">
        <v>254</v>
      </c>
      <c r="AF11" s="23" t="s">
        <v>257</v>
      </c>
      <c r="AG11" s="23" t="s">
        <v>257</v>
      </c>
      <c r="AH11" s="23" t="s">
        <v>257</v>
      </c>
      <c r="AI11" s="27" t="s">
        <v>229</v>
      </c>
      <c r="AJ11" s="51" t="s">
        <v>255</v>
      </c>
      <c r="AL11" s="22">
        <f t="shared" si="0"/>
        <v>3</v>
      </c>
      <c r="AM11" s="22">
        <f t="shared" si="1"/>
        <v>4</v>
      </c>
      <c r="AN11" s="22">
        <f t="shared" si="2"/>
        <v>5</v>
      </c>
      <c r="AO11" s="22">
        <f t="shared" si="3"/>
        <v>6</v>
      </c>
      <c r="AP11" s="22">
        <f t="shared" si="4"/>
        <v>12</v>
      </c>
    </row>
    <row r="12" spans="2:42" ht="18.75" x14ac:dyDescent="0.25">
      <c r="B12" s="37">
        <v>8</v>
      </c>
      <c r="C12" s="146" t="s">
        <v>199</v>
      </c>
      <c r="D12" s="151"/>
      <c r="F12" s="56" t="s">
        <v>254</v>
      </c>
      <c r="G12" s="56" t="s">
        <v>257</v>
      </c>
      <c r="H12" s="56" t="s">
        <v>257</v>
      </c>
      <c r="I12" s="56" t="s">
        <v>257</v>
      </c>
      <c r="J12" s="56" t="s">
        <v>229</v>
      </c>
      <c r="K12" s="56" t="s">
        <v>229</v>
      </c>
      <c r="L12" s="56" t="s">
        <v>230</v>
      </c>
      <c r="M12" s="56" t="s">
        <v>230</v>
      </c>
      <c r="N12" s="56" t="s">
        <v>254</v>
      </c>
      <c r="O12" s="23" t="s">
        <v>257</v>
      </c>
      <c r="P12" s="23" t="s">
        <v>257</v>
      </c>
      <c r="Q12" s="23" t="s">
        <v>257</v>
      </c>
      <c r="R12" s="27" t="s">
        <v>229</v>
      </c>
      <c r="S12" s="51" t="s">
        <v>255</v>
      </c>
      <c r="T12" s="51" t="s">
        <v>230</v>
      </c>
      <c r="U12" s="23" t="s">
        <v>254</v>
      </c>
      <c r="V12" s="23" t="s">
        <v>254</v>
      </c>
      <c r="W12" s="23" t="s">
        <v>257</v>
      </c>
      <c r="X12" s="23" t="s">
        <v>257</v>
      </c>
      <c r="Y12" s="23" t="s">
        <v>257</v>
      </c>
      <c r="Z12" s="56" t="s">
        <v>229</v>
      </c>
      <c r="AA12" s="56" t="s">
        <v>253</v>
      </c>
      <c r="AB12" s="56" t="s">
        <v>230</v>
      </c>
      <c r="AC12" s="56" t="s">
        <v>230</v>
      </c>
      <c r="AD12" s="56" t="s">
        <v>144</v>
      </c>
      <c r="AE12" s="56" t="s">
        <v>257</v>
      </c>
      <c r="AF12" s="56" t="s">
        <v>257</v>
      </c>
      <c r="AG12" s="56" t="s">
        <v>257</v>
      </c>
      <c r="AH12" s="56" t="s">
        <v>229</v>
      </c>
      <c r="AI12" s="56" t="s">
        <v>253</v>
      </c>
      <c r="AJ12" s="56" t="s">
        <v>230</v>
      </c>
      <c r="AL12" s="22">
        <f t="shared" si="0"/>
        <v>3</v>
      </c>
      <c r="AM12" s="22">
        <f t="shared" si="1"/>
        <v>5</v>
      </c>
      <c r="AN12" s="22">
        <f t="shared" si="2"/>
        <v>6</v>
      </c>
      <c r="AO12" s="22">
        <f t="shared" si="3"/>
        <v>4</v>
      </c>
      <c r="AP12" s="22">
        <f t="shared" si="4"/>
        <v>12</v>
      </c>
    </row>
    <row r="13" spans="2:42" ht="18.75" x14ac:dyDescent="0.25">
      <c r="B13" s="37">
        <v>9</v>
      </c>
      <c r="C13" s="146" t="s">
        <v>200</v>
      </c>
      <c r="D13" s="151"/>
      <c r="F13" s="23" t="s">
        <v>258</v>
      </c>
      <c r="G13" s="23" t="s">
        <v>258</v>
      </c>
      <c r="H13" s="23" t="s">
        <v>258</v>
      </c>
      <c r="I13" s="27" t="s">
        <v>258</v>
      </c>
      <c r="J13" s="51" t="s">
        <v>258</v>
      </c>
      <c r="K13" s="51" t="s">
        <v>258</v>
      </c>
      <c r="L13" s="23" t="s">
        <v>258</v>
      </c>
      <c r="M13" s="23" t="s">
        <v>258</v>
      </c>
      <c r="N13" s="23" t="s">
        <v>258</v>
      </c>
      <c r="O13" s="23" t="s">
        <v>258</v>
      </c>
      <c r="P13" s="23" t="s">
        <v>258</v>
      </c>
      <c r="Q13" s="27" t="s">
        <v>258</v>
      </c>
      <c r="R13" s="27" t="s">
        <v>258</v>
      </c>
      <c r="S13" s="51" t="s">
        <v>258</v>
      </c>
      <c r="T13" s="51" t="s">
        <v>258</v>
      </c>
      <c r="U13" s="51" t="s">
        <v>258</v>
      </c>
      <c r="V13" s="113" t="s">
        <v>257</v>
      </c>
      <c r="W13" s="23" t="s">
        <v>257</v>
      </c>
      <c r="X13" s="23" t="s">
        <v>257</v>
      </c>
      <c r="Y13" s="27" t="s">
        <v>229</v>
      </c>
      <c r="Z13" s="51" t="s">
        <v>230</v>
      </c>
      <c r="AA13" s="51" t="s">
        <v>230</v>
      </c>
      <c r="AB13" s="23" t="s">
        <v>256</v>
      </c>
      <c r="AC13" s="23" t="s">
        <v>254</v>
      </c>
      <c r="AD13" s="23" t="s">
        <v>257</v>
      </c>
      <c r="AE13" s="23" t="s">
        <v>257</v>
      </c>
      <c r="AF13" s="23" t="s">
        <v>257</v>
      </c>
      <c r="AG13" s="27" t="s">
        <v>229</v>
      </c>
      <c r="AH13" s="51" t="s">
        <v>230</v>
      </c>
      <c r="AI13" s="51" t="s">
        <v>255</v>
      </c>
      <c r="AJ13" s="23" t="s">
        <v>254</v>
      </c>
      <c r="AL13" s="22">
        <f t="shared" si="0"/>
        <v>2</v>
      </c>
      <c r="AM13" s="22">
        <f t="shared" si="1"/>
        <v>2</v>
      </c>
      <c r="AN13" s="22">
        <f t="shared" si="2"/>
        <v>3</v>
      </c>
      <c r="AO13" s="22">
        <f t="shared" si="3"/>
        <v>2</v>
      </c>
      <c r="AP13" s="22">
        <f t="shared" si="4"/>
        <v>6</v>
      </c>
    </row>
    <row r="14" spans="2:42" ht="18.75" x14ac:dyDescent="0.25">
      <c r="B14" s="37">
        <v>10</v>
      </c>
      <c r="C14" s="146" t="s">
        <v>201</v>
      </c>
      <c r="D14" s="151"/>
      <c r="F14" s="23" t="s">
        <v>257</v>
      </c>
      <c r="G14" s="23" t="s">
        <v>257</v>
      </c>
      <c r="H14" s="56" t="s">
        <v>229</v>
      </c>
      <c r="I14" s="56" t="s">
        <v>229</v>
      </c>
      <c r="J14" s="56" t="s">
        <v>230</v>
      </c>
      <c r="K14" s="56" t="s">
        <v>230</v>
      </c>
      <c r="L14" s="56" t="s">
        <v>254</v>
      </c>
      <c r="M14" s="23" t="s">
        <v>257</v>
      </c>
      <c r="N14" s="23" t="s">
        <v>257</v>
      </c>
      <c r="O14" s="23" t="s">
        <v>257</v>
      </c>
      <c r="P14" s="27" t="s">
        <v>229</v>
      </c>
      <c r="Q14" s="51" t="s">
        <v>229</v>
      </c>
      <c r="R14" s="51" t="s">
        <v>230</v>
      </c>
      <c r="S14" s="51" t="s">
        <v>230</v>
      </c>
      <c r="T14" s="23" t="s">
        <v>254</v>
      </c>
      <c r="U14" s="23" t="s">
        <v>257</v>
      </c>
      <c r="V14" s="23" t="s">
        <v>257</v>
      </c>
      <c r="W14" s="23" t="s">
        <v>257</v>
      </c>
      <c r="X14" s="27" t="s">
        <v>229</v>
      </c>
      <c r="Y14" s="51" t="s">
        <v>230</v>
      </c>
      <c r="Z14" s="51" t="s">
        <v>254</v>
      </c>
      <c r="AA14" s="23" t="s">
        <v>254</v>
      </c>
      <c r="AB14" s="23" t="s">
        <v>254</v>
      </c>
      <c r="AC14" s="23" t="s">
        <v>257</v>
      </c>
      <c r="AD14" s="23" t="s">
        <v>257</v>
      </c>
      <c r="AE14" s="23" t="s">
        <v>257</v>
      </c>
      <c r="AF14" s="56" t="s">
        <v>229</v>
      </c>
      <c r="AG14" s="56" t="s">
        <v>253</v>
      </c>
      <c r="AH14" s="56" t="s">
        <v>230</v>
      </c>
      <c r="AI14" s="56" t="s">
        <v>230</v>
      </c>
      <c r="AJ14" s="56" t="s">
        <v>254</v>
      </c>
      <c r="AL14" s="22">
        <f t="shared" si="0"/>
        <v>1</v>
      </c>
      <c r="AM14" s="22">
        <f t="shared" si="1"/>
        <v>6</v>
      </c>
      <c r="AN14" s="22">
        <f t="shared" si="2"/>
        <v>7</v>
      </c>
      <c r="AO14" s="22">
        <f t="shared" si="3"/>
        <v>6</v>
      </c>
      <c r="AP14" s="22">
        <f t="shared" si="4"/>
        <v>11</v>
      </c>
    </row>
    <row r="15" spans="2:42" ht="18.75" x14ac:dyDescent="0.25">
      <c r="B15" s="37">
        <v>11</v>
      </c>
      <c r="C15" s="146" t="s">
        <v>202</v>
      </c>
      <c r="D15" s="151"/>
      <c r="F15" s="23" t="s">
        <v>257</v>
      </c>
      <c r="G15" s="27" t="s">
        <v>229</v>
      </c>
      <c r="H15" s="27" t="s">
        <v>229</v>
      </c>
      <c r="I15" s="51" t="s">
        <v>230</v>
      </c>
      <c r="J15" s="51" t="s">
        <v>254</v>
      </c>
      <c r="K15" s="51" t="s">
        <v>254</v>
      </c>
      <c r="L15" s="23" t="s">
        <v>257</v>
      </c>
      <c r="M15" s="23" t="s">
        <v>257</v>
      </c>
      <c r="N15" s="23" t="s">
        <v>257</v>
      </c>
      <c r="O15" s="27" t="s">
        <v>229</v>
      </c>
      <c r="P15" s="27" t="s">
        <v>229</v>
      </c>
      <c r="Q15" s="51" t="s">
        <v>255</v>
      </c>
      <c r="R15" s="23" t="s">
        <v>254</v>
      </c>
      <c r="S15" s="51" t="s">
        <v>254</v>
      </c>
      <c r="T15" s="23" t="s">
        <v>257</v>
      </c>
      <c r="U15" s="23" t="s">
        <v>257</v>
      </c>
      <c r="V15" s="23" t="s">
        <v>257</v>
      </c>
      <c r="W15" s="27" t="s">
        <v>229</v>
      </c>
      <c r="X15" s="27" t="s">
        <v>230</v>
      </c>
      <c r="Y15" s="51" t="s">
        <v>230</v>
      </c>
      <c r="Z15" s="23" t="s">
        <v>144</v>
      </c>
      <c r="AA15" s="23" t="s">
        <v>254</v>
      </c>
      <c r="AB15" s="23" t="s">
        <v>257</v>
      </c>
      <c r="AC15" s="23" t="s">
        <v>257</v>
      </c>
      <c r="AD15" s="23" t="s">
        <v>257</v>
      </c>
      <c r="AE15" s="27" t="s">
        <v>229</v>
      </c>
      <c r="AF15" s="27" t="s">
        <v>229</v>
      </c>
      <c r="AG15" s="51" t="s">
        <v>230</v>
      </c>
      <c r="AH15" s="51" t="s">
        <v>254</v>
      </c>
      <c r="AI15" s="51" t="s">
        <v>254</v>
      </c>
      <c r="AJ15" s="23" t="s">
        <v>257</v>
      </c>
      <c r="AL15" s="22">
        <f t="shared" si="0"/>
        <v>1</v>
      </c>
      <c r="AM15" s="22">
        <f t="shared" si="1"/>
        <v>7</v>
      </c>
      <c r="AN15" s="22">
        <f t="shared" si="2"/>
        <v>4</v>
      </c>
      <c r="AO15" s="22">
        <f t="shared" si="3"/>
        <v>7</v>
      </c>
      <c r="AP15" s="22">
        <f t="shared" si="4"/>
        <v>11</v>
      </c>
    </row>
    <row r="16" spans="2:42" ht="18.75" x14ac:dyDescent="0.25">
      <c r="B16" s="37">
        <v>12</v>
      </c>
      <c r="C16" s="146" t="s">
        <v>203</v>
      </c>
      <c r="D16" s="151"/>
      <c r="F16" s="27" t="s">
        <v>229</v>
      </c>
      <c r="G16" s="51" t="s">
        <v>229</v>
      </c>
      <c r="H16" s="51" t="s">
        <v>230</v>
      </c>
      <c r="I16" s="23" t="s">
        <v>254</v>
      </c>
      <c r="J16" s="23" t="s">
        <v>254</v>
      </c>
      <c r="K16" s="23" t="s">
        <v>257</v>
      </c>
      <c r="L16" s="23" t="s">
        <v>257</v>
      </c>
      <c r="M16" s="23" t="s">
        <v>257</v>
      </c>
      <c r="N16" s="27" t="s">
        <v>229</v>
      </c>
      <c r="O16" s="27" t="s">
        <v>229</v>
      </c>
      <c r="P16" s="51" t="s">
        <v>230</v>
      </c>
      <c r="Q16" s="51" t="s">
        <v>230</v>
      </c>
      <c r="R16" s="23" t="s">
        <v>254</v>
      </c>
      <c r="S16" s="23" t="s">
        <v>257</v>
      </c>
      <c r="T16" s="23" t="s">
        <v>257</v>
      </c>
      <c r="U16" s="23" t="s">
        <v>257</v>
      </c>
      <c r="V16" s="27" t="s">
        <v>258</v>
      </c>
      <c r="W16" s="27" t="s">
        <v>258</v>
      </c>
      <c r="X16" s="51" t="s">
        <v>258</v>
      </c>
      <c r="Y16" s="51" t="s">
        <v>258</v>
      </c>
      <c r="Z16" s="23" t="s">
        <v>258</v>
      </c>
      <c r="AA16" s="23" t="s">
        <v>258</v>
      </c>
      <c r="AB16" s="23" t="s">
        <v>258</v>
      </c>
      <c r="AC16" s="23" t="s">
        <v>258</v>
      </c>
      <c r="AD16" s="27" t="s">
        <v>258</v>
      </c>
      <c r="AE16" s="51" t="s">
        <v>258</v>
      </c>
      <c r="AF16" s="51" t="s">
        <v>258</v>
      </c>
      <c r="AG16" s="23" t="s">
        <v>258</v>
      </c>
      <c r="AH16" s="23" t="s">
        <v>258</v>
      </c>
      <c r="AI16" s="23" t="s">
        <v>258</v>
      </c>
      <c r="AJ16" s="23" t="s">
        <v>257</v>
      </c>
      <c r="AL16" s="22">
        <f t="shared" si="0"/>
        <v>0</v>
      </c>
      <c r="AM16" s="22">
        <f t="shared" si="1"/>
        <v>4</v>
      </c>
      <c r="AN16" s="22">
        <f t="shared" si="2"/>
        <v>3</v>
      </c>
      <c r="AO16" s="22">
        <f t="shared" si="3"/>
        <v>3</v>
      </c>
      <c r="AP16" s="22">
        <f t="shared" si="4"/>
        <v>7</v>
      </c>
    </row>
    <row r="17" spans="2:42" ht="18.75" x14ac:dyDescent="0.25">
      <c r="B17" s="37">
        <v>13</v>
      </c>
      <c r="C17" s="146" t="s">
        <v>204</v>
      </c>
      <c r="D17" s="151"/>
      <c r="F17" s="51" t="s">
        <v>229</v>
      </c>
      <c r="G17" s="51" t="s">
        <v>230</v>
      </c>
      <c r="H17" s="23" t="s">
        <v>254</v>
      </c>
      <c r="I17" s="23" t="s">
        <v>254</v>
      </c>
      <c r="J17" s="23" t="s">
        <v>257</v>
      </c>
      <c r="K17" s="23" t="s">
        <v>257</v>
      </c>
      <c r="L17" s="23" t="s">
        <v>257</v>
      </c>
      <c r="M17" s="27" t="s">
        <v>229</v>
      </c>
      <c r="N17" s="51" t="s">
        <v>230</v>
      </c>
      <c r="O17" s="51" t="s">
        <v>230</v>
      </c>
      <c r="P17" s="23" t="s">
        <v>254</v>
      </c>
      <c r="Q17" s="23" t="s">
        <v>254</v>
      </c>
      <c r="R17" s="23" t="s">
        <v>257</v>
      </c>
      <c r="S17" s="23" t="s">
        <v>257</v>
      </c>
      <c r="T17" s="23" t="s">
        <v>257</v>
      </c>
      <c r="U17" s="27" t="s">
        <v>229</v>
      </c>
      <c r="V17" s="51" t="s">
        <v>229</v>
      </c>
      <c r="W17" s="51" t="s">
        <v>230</v>
      </c>
      <c r="X17" s="51" t="s">
        <v>230</v>
      </c>
      <c r="Y17" s="23" t="s">
        <v>254</v>
      </c>
      <c r="Z17" s="23" t="s">
        <v>257</v>
      </c>
      <c r="AA17" s="23" t="s">
        <v>257</v>
      </c>
      <c r="AB17" s="23" t="s">
        <v>257</v>
      </c>
      <c r="AC17" s="27" t="s">
        <v>229</v>
      </c>
      <c r="AD17" s="51" t="s">
        <v>230</v>
      </c>
      <c r="AE17" s="51" t="s">
        <v>230</v>
      </c>
      <c r="AF17" s="23" t="s">
        <v>254</v>
      </c>
      <c r="AG17" s="23" t="s">
        <v>254</v>
      </c>
      <c r="AH17" s="23" t="s">
        <v>257</v>
      </c>
      <c r="AI17" s="23" t="s">
        <v>257</v>
      </c>
      <c r="AJ17" s="23" t="s">
        <v>257</v>
      </c>
      <c r="AL17" s="22">
        <f t="shared" si="0"/>
        <v>0</v>
      </c>
      <c r="AM17" s="22">
        <f t="shared" si="1"/>
        <v>5</v>
      </c>
      <c r="AN17" s="22">
        <f t="shared" si="2"/>
        <v>7</v>
      </c>
      <c r="AO17" s="22">
        <f t="shared" si="3"/>
        <v>7</v>
      </c>
      <c r="AP17" s="22">
        <f t="shared" si="4"/>
        <v>12</v>
      </c>
    </row>
    <row r="18" spans="2:42" ht="18.75" x14ac:dyDescent="0.25">
      <c r="B18" s="37">
        <v>14</v>
      </c>
      <c r="C18" s="146" t="s">
        <v>205</v>
      </c>
      <c r="D18" s="151"/>
      <c r="F18" s="51" t="s">
        <v>230</v>
      </c>
      <c r="G18" s="51" t="s">
        <v>254</v>
      </c>
      <c r="H18" s="51" t="s">
        <v>254</v>
      </c>
      <c r="I18" s="23" t="s">
        <v>257</v>
      </c>
      <c r="J18" s="23" t="s">
        <v>257</v>
      </c>
      <c r="K18" s="23" t="s">
        <v>257</v>
      </c>
      <c r="L18" s="27" t="s">
        <v>258</v>
      </c>
      <c r="M18" s="51" t="s">
        <v>258</v>
      </c>
      <c r="N18" s="51" t="s">
        <v>258</v>
      </c>
      <c r="O18" s="23" t="s">
        <v>258</v>
      </c>
      <c r="P18" s="23" t="s">
        <v>258</v>
      </c>
      <c r="Q18" s="23" t="s">
        <v>258</v>
      </c>
      <c r="R18" s="23" t="s">
        <v>257</v>
      </c>
      <c r="S18" s="23" t="s">
        <v>257</v>
      </c>
      <c r="T18" s="27" t="s">
        <v>229</v>
      </c>
      <c r="U18" s="27" t="s">
        <v>229</v>
      </c>
      <c r="V18" s="51" t="s">
        <v>230</v>
      </c>
      <c r="W18" s="51" t="s">
        <v>230</v>
      </c>
      <c r="X18" s="23" t="s">
        <v>254</v>
      </c>
      <c r="Y18" s="23" t="s">
        <v>257</v>
      </c>
      <c r="Z18" s="23" t="s">
        <v>257</v>
      </c>
      <c r="AA18" s="23" t="s">
        <v>257</v>
      </c>
      <c r="AB18" s="27" t="s">
        <v>229</v>
      </c>
      <c r="AC18" s="51" t="s">
        <v>255</v>
      </c>
      <c r="AD18" s="51" t="s">
        <v>254</v>
      </c>
      <c r="AE18" s="51" t="s">
        <v>254</v>
      </c>
      <c r="AF18" s="51" t="s">
        <v>254</v>
      </c>
      <c r="AG18" s="23" t="s">
        <v>257</v>
      </c>
      <c r="AH18" s="23" t="s">
        <v>257</v>
      </c>
      <c r="AI18" s="23" t="s">
        <v>257</v>
      </c>
      <c r="AJ18" s="27" t="s">
        <v>229</v>
      </c>
      <c r="AL18" s="22">
        <f t="shared" si="0"/>
        <v>1</v>
      </c>
      <c r="AM18" s="22">
        <f t="shared" si="1"/>
        <v>4</v>
      </c>
      <c r="AN18" s="22">
        <f t="shared" si="2"/>
        <v>3</v>
      </c>
      <c r="AO18" s="22">
        <f t="shared" si="3"/>
        <v>6</v>
      </c>
      <c r="AP18" s="22">
        <f t="shared" si="4"/>
        <v>11</v>
      </c>
    </row>
    <row r="19" spans="2:42" ht="18.75" x14ac:dyDescent="0.25">
      <c r="B19" s="37">
        <v>15</v>
      </c>
      <c r="C19" s="146" t="s">
        <v>206</v>
      </c>
      <c r="D19" s="151"/>
      <c r="F19" s="23" t="s">
        <v>254</v>
      </c>
      <c r="G19" s="23" t="s">
        <v>254</v>
      </c>
      <c r="H19" s="23" t="s">
        <v>257</v>
      </c>
      <c r="I19" s="23" t="s">
        <v>257</v>
      </c>
      <c r="J19" s="23" t="s">
        <v>257</v>
      </c>
      <c r="K19" s="27" t="s">
        <v>229</v>
      </c>
      <c r="L19" s="27" t="s">
        <v>229</v>
      </c>
      <c r="M19" s="51" t="s">
        <v>230</v>
      </c>
      <c r="N19" s="23" t="s">
        <v>230</v>
      </c>
      <c r="O19" s="23" t="s">
        <v>254</v>
      </c>
      <c r="P19" s="23" t="s">
        <v>257</v>
      </c>
      <c r="Q19" s="23" t="s">
        <v>257</v>
      </c>
      <c r="R19" s="23" t="s">
        <v>257</v>
      </c>
      <c r="S19" s="27" t="s">
        <v>229</v>
      </c>
      <c r="T19" s="27" t="s">
        <v>229</v>
      </c>
      <c r="U19" s="51" t="s">
        <v>230</v>
      </c>
      <c r="V19" s="51" t="s">
        <v>230</v>
      </c>
      <c r="W19" s="23" t="s">
        <v>254</v>
      </c>
      <c r="X19" s="23" t="s">
        <v>257</v>
      </c>
      <c r="Y19" s="23" t="s">
        <v>257</v>
      </c>
      <c r="Z19" s="23" t="s">
        <v>257</v>
      </c>
      <c r="AA19" s="27" t="s">
        <v>229</v>
      </c>
      <c r="AB19" s="27" t="s">
        <v>229</v>
      </c>
      <c r="AC19" s="51" t="s">
        <v>230</v>
      </c>
      <c r="AD19" s="23" t="s">
        <v>144</v>
      </c>
      <c r="AE19" s="23" t="s">
        <v>254</v>
      </c>
      <c r="AF19" s="23" t="s">
        <v>257</v>
      </c>
      <c r="AG19" s="23" t="s">
        <v>257</v>
      </c>
      <c r="AH19" s="23" t="s">
        <v>257</v>
      </c>
      <c r="AI19" s="27" t="s">
        <v>229</v>
      </c>
      <c r="AJ19" s="27" t="s">
        <v>229</v>
      </c>
      <c r="AL19" s="43">
        <f t="shared" si="0"/>
        <v>0</v>
      </c>
      <c r="AM19" s="43">
        <f t="shared" si="1"/>
        <v>8</v>
      </c>
      <c r="AN19" s="43">
        <f t="shared" si="2"/>
        <v>5</v>
      </c>
      <c r="AO19" s="43">
        <f t="shared" si="3"/>
        <v>5</v>
      </c>
      <c r="AP19" s="43">
        <f t="shared" si="4"/>
        <v>12</v>
      </c>
    </row>
    <row r="20" spans="2:42" ht="18.75" x14ac:dyDescent="0.25">
      <c r="B20" s="37">
        <v>16</v>
      </c>
      <c r="C20" s="146" t="s">
        <v>207</v>
      </c>
      <c r="D20" s="151"/>
      <c r="F20" s="51" t="s">
        <v>254</v>
      </c>
      <c r="G20" s="23" t="s">
        <v>257</v>
      </c>
      <c r="H20" s="23" t="s">
        <v>257</v>
      </c>
      <c r="I20" s="23" t="s">
        <v>257</v>
      </c>
      <c r="J20" s="27" t="s">
        <v>229</v>
      </c>
      <c r="K20" s="27" t="s">
        <v>230</v>
      </c>
      <c r="L20" s="51" t="s">
        <v>230</v>
      </c>
      <c r="M20" s="23" t="s">
        <v>254</v>
      </c>
      <c r="N20" s="23" t="s">
        <v>254</v>
      </c>
      <c r="O20" s="23" t="s">
        <v>257</v>
      </c>
      <c r="P20" s="23" t="s">
        <v>257</v>
      </c>
      <c r="Q20" s="23" t="s">
        <v>257</v>
      </c>
      <c r="R20" s="27" t="s">
        <v>229</v>
      </c>
      <c r="S20" s="27" t="s">
        <v>229</v>
      </c>
      <c r="T20" s="51" t="s">
        <v>230</v>
      </c>
      <c r="U20" s="51" t="s">
        <v>256</v>
      </c>
      <c r="V20" s="23" t="s">
        <v>254</v>
      </c>
      <c r="W20" s="23" t="s">
        <v>257</v>
      </c>
      <c r="X20" s="23" t="s">
        <v>257</v>
      </c>
      <c r="Y20" s="23" t="s">
        <v>257</v>
      </c>
      <c r="Z20" s="27" t="s">
        <v>229</v>
      </c>
      <c r="AA20" s="27" t="s">
        <v>229</v>
      </c>
      <c r="AB20" s="51" t="s">
        <v>230</v>
      </c>
      <c r="AC20" s="51" t="s">
        <v>255</v>
      </c>
      <c r="AD20" s="51" t="s">
        <v>254</v>
      </c>
      <c r="AE20" s="23" t="s">
        <v>257</v>
      </c>
      <c r="AF20" s="23" t="s">
        <v>257</v>
      </c>
      <c r="AG20" s="23" t="s">
        <v>257</v>
      </c>
      <c r="AH20" s="27" t="s">
        <v>229</v>
      </c>
      <c r="AI20" s="27" t="s">
        <v>229</v>
      </c>
      <c r="AJ20" s="51" t="s">
        <v>230</v>
      </c>
      <c r="AL20" s="43">
        <f t="shared" si="0"/>
        <v>2</v>
      </c>
      <c r="AM20" s="43">
        <f t="shared" si="1"/>
        <v>7</v>
      </c>
      <c r="AN20" s="43">
        <f t="shared" si="2"/>
        <v>5</v>
      </c>
      <c r="AO20" s="43">
        <f t="shared" si="3"/>
        <v>5</v>
      </c>
      <c r="AP20" s="43">
        <f t="shared" si="4"/>
        <v>12</v>
      </c>
    </row>
    <row r="21" spans="2:42" ht="18.75" x14ac:dyDescent="0.25">
      <c r="B21" s="37">
        <v>17</v>
      </c>
      <c r="C21" s="146" t="s">
        <v>208</v>
      </c>
      <c r="D21" s="151"/>
      <c r="F21" s="23" t="s">
        <v>258</v>
      </c>
      <c r="G21" s="23" t="s">
        <v>258</v>
      </c>
      <c r="H21" s="23" t="s">
        <v>258</v>
      </c>
      <c r="I21" s="27" t="s">
        <v>258</v>
      </c>
      <c r="J21" s="27" t="s">
        <v>258</v>
      </c>
      <c r="K21" s="51" t="s">
        <v>258</v>
      </c>
      <c r="L21" s="23" t="s">
        <v>258</v>
      </c>
      <c r="M21" s="23" t="s">
        <v>258</v>
      </c>
      <c r="N21" s="23" t="s">
        <v>258</v>
      </c>
      <c r="O21" s="23" t="s">
        <v>257</v>
      </c>
      <c r="P21" s="23" t="s">
        <v>257</v>
      </c>
      <c r="Q21" s="27" t="s">
        <v>229</v>
      </c>
      <c r="R21" s="51" t="s">
        <v>229</v>
      </c>
      <c r="S21" s="51" t="s">
        <v>230</v>
      </c>
      <c r="T21" s="51" t="s">
        <v>230</v>
      </c>
      <c r="U21" s="23" t="s">
        <v>254</v>
      </c>
      <c r="V21" s="23" t="s">
        <v>257</v>
      </c>
      <c r="W21" s="23" t="s">
        <v>257</v>
      </c>
      <c r="X21" s="23" t="s">
        <v>257</v>
      </c>
      <c r="Y21" s="27" t="s">
        <v>229</v>
      </c>
      <c r="Z21" s="27" t="s">
        <v>229</v>
      </c>
      <c r="AA21" s="51" t="s">
        <v>230</v>
      </c>
      <c r="AB21" s="51" t="s">
        <v>230</v>
      </c>
      <c r="AC21" s="51" t="s">
        <v>254</v>
      </c>
      <c r="AD21" s="23" t="s">
        <v>257</v>
      </c>
      <c r="AE21" s="23" t="s">
        <v>257</v>
      </c>
      <c r="AF21" s="23" t="s">
        <v>257</v>
      </c>
      <c r="AG21" s="27" t="s">
        <v>229</v>
      </c>
      <c r="AH21" s="27" t="s">
        <v>229</v>
      </c>
      <c r="AI21" s="51" t="s">
        <v>230</v>
      </c>
      <c r="AJ21" s="23" t="s">
        <v>256</v>
      </c>
      <c r="AL21" s="50">
        <f t="shared" si="0"/>
        <v>1</v>
      </c>
      <c r="AM21" s="50">
        <f t="shared" si="1"/>
        <v>6</v>
      </c>
      <c r="AN21" s="50">
        <f t="shared" si="2"/>
        <v>5</v>
      </c>
      <c r="AO21" s="50">
        <f t="shared" si="3"/>
        <v>2</v>
      </c>
      <c r="AP21" s="50">
        <f t="shared" si="4"/>
        <v>8</v>
      </c>
    </row>
    <row r="22" spans="2:42" ht="18.75" x14ac:dyDescent="0.25">
      <c r="B22" s="37">
        <v>18</v>
      </c>
      <c r="C22" s="54" t="s">
        <v>191</v>
      </c>
      <c r="D22" s="55"/>
      <c r="F22" s="51" t="s">
        <v>230</v>
      </c>
      <c r="G22" s="23" t="s">
        <v>257</v>
      </c>
      <c r="H22" s="23" t="s">
        <v>257</v>
      </c>
      <c r="I22" s="27" t="s">
        <v>229</v>
      </c>
      <c r="J22" s="27" t="s">
        <v>229</v>
      </c>
      <c r="K22" s="51" t="s">
        <v>230</v>
      </c>
      <c r="L22" s="51" t="s">
        <v>230</v>
      </c>
      <c r="M22" s="51" t="s">
        <v>230</v>
      </c>
      <c r="N22" s="23" t="s">
        <v>257</v>
      </c>
      <c r="O22" s="23" t="s">
        <v>257</v>
      </c>
      <c r="P22" s="27" t="s">
        <v>229</v>
      </c>
      <c r="Q22" s="27" t="s">
        <v>229</v>
      </c>
      <c r="R22" s="51" t="s">
        <v>230</v>
      </c>
      <c r="S22" s="51" t="s">
        <v>230</v>
      </c>
      <c r="T22" s="51" t="s">
        <v>230</v>
      </c>
      <c r="U22" s="23" t="s">
        <v>257</v>
      </c>
      <c r="V22" s="23" t="s">
        <v>257</v>
      </c>
      <c r="W22" s="27" t="s">
        <v>229</v>
      </c>
      <c r="X22" s="27" t="s">
        <v>229</v>
      </c>
      <c r="Y22" s="51" t="s">
        <v>230</v>
      </c>
      <c r="Z22" s="51" t="s">
        <v>230</v>
      </c>
      <c r="AA22" s="27" t="s">
        <v>229</v>
      </c>
      <c r="AB22" s="23" t="s">
        <v>257</v>
      </c>
      <c r="AC22" s="23" t="s">
        <v>257</v>
      </c>
      <c r="AD22" s="27" t="s">
        <v>229</v>
      </c>
      <c r="AE22" s="27" t="s">
        <v>229</v>
      </c>
      <c r="AF22" s="51" t="s">
        <v>230</v>
      </c>
      <c r="AG22" s="51" t="s">
        <v>230</v>
      </c>
      <c r="AH22" s="27" t="s">
        <v>229</v>
      </c>
      <c r="AI22" s="23" t="s">
        <v>257</v>
      </c>
      <c r="AJ22" s="23" t="s">
        <v>257</v>
      </c>
      <c r="AL22" s="50">
        <f t="shared" si="0"/>
        <v>0</v>
      </c>
      <c r="AM22" s="50">
        <f t="shared" si="1"/>
        <v>10</v>
      </c>
      <c r="AN22" s="50">
        <f t="shared" si="2"/>
        <v>11</v>
      </c>
      <c r="AO22" s="50">
        <f t="shared" si="3"/>
        <v>0</v>
      </c>
      <c r="AP22" s="50">
        <f t="shared" si="4"/>
        <v>10</v>
      </c>
    </row>
    <row r="23" spans="2:42" ht="19.5" thickBot="1" x14ac:dyDescent="0.3">
      <c r="B23" s="37">
        <v>19</v>
      </c>
      <c r="C23" s="146" t="s">
        <v>192</v>
      </c>
      <c r="D23" s="151"/>
      <c r="F23" s="108" t="s">
        <v>229</v>
      </c>
      <c r="G23" s="109" t="s">
        <v>257</v>
      </c>
      <c r="H23" s="109" t="s">
        <v>257</v>
      </c>
      <c r="I23" s="64" t="s">
        <v>230</v>
      </c>
      <c r="J23" s="64" t="s">
        <v>230</v>
      </c>
      <c r="K23" s="108" t="s">
        <v>229</v>
      </c>
      <c r="L23" s="108" t="s">
        <v>229</v>
      </c>
      <c r="M23" s="108" t="s">
        <v>229</v>
      </c>
      <c r="N23" s="109" t="s">
        <v>257</v>
      </c>
      <c r="O23" s="109" t="s">
        <v>257</v>
      </c>
      <c r="P23" s="64" t="s">
        <v>230</v>
      </c>
      <c r="Q23" s="64" t="s">
        <v>230</v>
      </c>
      <c r="R23" s="108" t="s">
        <v>229</v>
      </c>
      <c r="S23" s="108" t="s">
        <v>229</v>
      </c>
      <c r="T23" s="108" t="s">
        <v>229</v>
      </c>
      <c r="U23" s="109" t="s">
        <v>257</v>
      </c>
      <c r="V23" s="109" t="s">
        <v>257</v>
      </c>
      <c r="W23" s="64" t="s">
        <v>230</v>
      </c>
      <c r="X23" s="64" t="s">
        <v>230</v>
      </c>
      <c r="Y23" s="108" t="s">
        <v>229</v>
      </c>
      <c r="Z23" s="108" t="s">
        <v>144</v>
      </c>
      <c r="AA23" s="64" t="s">
        <v>230</v>
      </c>
      <c r="AB23" s="109" t="s">
        <v>257</v>
      </c>
      <c r="AC23" s="109" t="s">
        <v>257</v>
      </c>
      <c r="AD23" s="64" t="s">
        <v>230</v>
      </c>
      <c r="AE23" s="64" t="s">
        <v>230</v>
      </c>
      <c r="AF23" s="108" t="s">
        <v>229</v>
      </c>
      <c r="AG23" s="108" t="s">
        <v>229</v>
      </c>
      <c r="AH23" s="64" t="s">
        <v>230</v>
      </c>
      <c r="AI23" s="109" t="s">
        <v>257</v>
      </c>
      <c r="AJ23" s="109" t="s">
        <v>257</v>
      </c>
      <c r="AL23" s="43">
        <f t="shared" si="0"/>
        <v>0</v>
      </c>
      <c r="AM23" s="43">
        <f t="shared" si="1"/>
        <v>10</v>
      </c>
      <c r="AN23" s="43">
        <f t="shared" si="2"/>
        <v>10</v>
      </c>
      <c r="AO23" s="43">
        <f t="shared" si="3"/>
        <v>0</v>
      </c>
      <c r="AP23" s="43">
        <f t="shared" si="4"/>
        <v>10</v>
      </c>
    </row>
    <row r="24" spans="2:42" x14ac:dyDescent="0.25">
      <c r="F24" s="20" t="s">
        <v>94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</row>
    <row r="25" spans="2:42" ht="18.75" x14ac:dyDescent="0.3">
      <c r="C25" s="177" t="s">
        <v>91</v>
      </c>
      <c r="D25" s="178"/>
      <c r="E25" s="36"/>
      <c r="F25" s="37">
        <f>COUNTIF(F$5:F$21,"M*")</f>
        <v>3</v>
      </c>
      <c r="G25" s="37">
        <f t="shared" ref="G25:AJ25" si="5">COUNTIF(G$5:G$21,"M*")</f>
        <v>3</v>
      </c>
      <c r="H25" s="37">
        <f t="shared" si="5"/>
        <v>3</v>
      </c>
      <c r="I25" s="37">
        <f t="shared" si="5"/>
        <v>2</v>
      </c>
      <c r="J25" s="37">
        <f t="shared" si="5"/>
        <v>3</v>
      </c>
      <c r="K25" s="37">
        <f t="shared" si="5"/>
        <v>3</v>
      </c>
      <c r="L25" s="37">
        <f t="shared" si="5"/>
        <v>2</v>
      </c>
      <c r="M25" s="37">
        <f t="shared" si="5"/>
        <v>3</v>
      </c>
      <c r="N25" s="37">
        <f t="shared" si="5"/>
        <v>3</v>
      </c>
      <c r="O25" s="37">
        <f t="shared" si="5"/>
        <v>3</v>
      </c>
      <c r="P25" s="37">
        <f t="shared" si="5"/>
        <v>3</v>
      </c>
      <c r="Q25" s="37">
        <f t="shared" si="5"/>
        <v>3</v>
      </c>
      <c r="R25" s="37">
        <f t="shared" si="5"/>
        <v>3</v>
      </c>
      <c r="S25" s="37">
        <f t="shared" si="5"/>
        <v>3</v>
      </c>
      <c r="T25" s="37">
        <f t="shared" si="5"/>
        <v>3</v>
      </c>
      <c r="U25" s="37">
        <f t="shared" si="5"/>
        <v>3</v>
      </c>
      <c r="V25" s="37">
        <f t="shared" si="5"/>
        <v>3</v>
      </c>
      <c r="W25" s="37">
        <f t="shared" si="5"/>
        <v>3</v>
      </c>
      <c r="X25" s="37">
        <f t="shared" si="5"/>
        <v>3</v>
      </c>
      <c r="Y25" s="37">
        <f t="shared" si="5"/>
        <v>3</v>
      </c>
      <c r="Z25" s="37">
        <f t="shared" si="5"/>
        <v>3</v>
      </c>
      <c r="AA25" s="37">
        <f t="shared" si="5"/>
        <v>3</v>
      </c>
      <c r="AB25" s="37">
        <f t="shared" si="5"/>
        <v>3</v>
      </c>
      <c r="AC25" s="37">
        <f t="shared" si="5"/>
        <v>3</v>
      </c>
      <c r="AD25" s="37">
        <f t="shared" si="5"/>
        <v>2</v>
      </c>
      <c r="AE25" s="37">
        <f t="shared" si="5"/>
        <v>3</v>
      </c>
      <c r="AF25" s="37">
        <f t="shared" si="5"/>
        <v>3</v>
      </c>
      <c r="AG25" s="37">
        <f t="shared" si="5"/>
        <v>3</v>
      </c>
      <c r="AH25" s="37">
        <f t="shared" si="5"/>
        <v>3</v>
      </c>
      <c r="AI25" s="37">
        <f t="shared" si="5"/>
        <v>3</v>
      </c>
      <c r="AJ25" s="37">
        <f t="shared" si="5"/>
        <v>3</v>
      </c>
    </row>
    <row r="26" spans="2:42" ht="18.75" x14ac:dyDescent="0.3">
      <c r="C26" s="177" t="s">
        <v>92</v>
      </c>
      <c r="D26" s="178"/>
      <c r="E26" s="36"/>
      <c r="F26" s="37">
        <f>COUNTIF(F$5:F$21,"A*")</f>
        <v>3</v>
      </c>
      <c r="G26" s="37">
        <f t="shared" ref="G26:AJ26" si="6">COUNTIF(G$5:G$21,"A*")</f>
        <v>3</v>
      </c>
      <c r="H26" s="37">
        <f t="shared" si="6"/>
        <v>3</v>
      </c>
      <c r="I26" s="37">
        <f t="shared" si="6"/>
        <v>3</v>
      </c>
      <c r="J26" s="37">
        <f t="shared" si="6"/>
        <v>2</v>
      </c>
      <c r="K26" s="37">
        <f t="shared" si="6"/>
        <v>3</v>
      </c>
      <c r="L26" s="37">
        <f t="shared" si="6"/>
        <v>3</v>
      </c>
      <c r="M26" s="37">
        <f t="shared" si="6"/>
        <v>3</v>
      </c>
      <c r="N26" s="37">
        <f t="shared" si="6"/>
        <v>3</v>
      </c>
      <c r="O26" s="37">
        <f t="shared" si="6"/>
        <v>3</v>
      </c>
      <c r="P26" s="37">
        <f t="shared" si="6"/>
        <v>3</v>
      </c>
      <c r="Q26" s="37">
        <f t="shared" si="6"/>
        <v>3</v>
      </c>
      <c r="R26" s="37">
        <f t="shared" si="6"/>
        <v>3</v>
      </c>
      <c r="S26" s="37">
        <f t="shared" si="6"/>
        <v>3</v>
      </c>
      <c r="T26" s="37">
        <f t="shared" si="6"/>
        <v>3</v>
      </c>
      <c r="U26" s="37">
        <f t="shared" si="6"/>
        <v>3</v>
      </c>
      <c r="V26" s="37">
        <f t="shared" si="6"/>
        <v>3</v>
      </c>
      <c r="W26" s="37">
        <f t="shared" si="6"/>
        <v>3</v>
      </c>
      <c r="X26" s="37">
        <f t="shared" si="6"/>
        <v>3</v>
      </c>
      <c r="Y26" s="37">
        <f t="shared" si="6"/>
        <v>3</v>
      </c>
      <c r="Z26" s="37">
        <f t="shared" si="6"/>
        <v>3</v>
      </c>
      <c r="AA26" s="37">
        <f t="shared" si="6"/>
        <v>3</v>
      </c>
      <c r="AB26" s="37">
        <f t="shared" si="6"/>
        <v>3</v>
      </c>
      <c r="AC26" s="37">
        <f t="shared" si="6"/>
        <v>3</v>
      </c>
      <c r="AD26" s="37">
        <f t="shared" si="6"/>
        <v>2</v>
      </c>
      <c r="AE26" s="37">
        <f t="shared" si="6"/>
        <v>2</v>
      </c>
      <c r="AF26" s="37">
        <f t="shared" si="6"/>
        <v>2</v>
      </c>
      <c r="AG26" s="37">
        <f t="shared" si="6"/>
        <v>3</v>
      </c>
      <c r="AH26" s="37">
        <f t="shared" si="6"/>
        <v>3</v>
      </c>
      <c r="AI26" s="37">
        <f t="shared" si="6"/>
        <v>3</v>
      </c>
      <c r="AJ26" s="37">
        <f t="shared" si="6"/>
        <v>3</v>
      </c>
    </row>
    <row r="27" spans="2:42" ht="18.75" x14ac:dyDescent="0.3">
      <c r="C27" s="177" t="s">
        <v>72</v>
      </c>
      <c r="D27" s="178"/>
      <c r="E27" s="36"/>
      <c r="F27" s="37">
        <f>COUNTIF(F$5:F$21,"N*")</f>
        <v>3</v>
      </c>
      <c r="G27" s="37">
        <f t="shared" ref="G27:AJ27" si="7">COUNTIF(G$5:G$21,"N*")</f>
        <v>3</v>
      </c>
      <c r="H27" s="37">
        <f t="shared" si="7"/>
        <v>3</v>
      </c>
      <c r="I27" s="37">
        <f t="shared" si="7"/>
        <v>3</v>
      </c>
      <c r="J27" s="37">
        <f t="shared" si="7"/>
        <v>3</v>
      </c>
      <c r="K27" s="37">
        <f t="shared" si="7"/>
        <v>3</v>
      </c>
      <c r="L27" s="37">
        <f t="shared" si="7"/>
        <v>3</v>
      </c>
      <c r="M27" s="37">
        <f t="shared" si="7"/>
        <v>2</v>
      </c>
      <c r="N27" s="37">
        <f t="shared" si="7"/>
        <v>3</v>
      </c>
      <c r="O27" s="37">
        <f t="shared" si="7"/>
        <v>3</v>
      </c>
      <c r="P27" s="37">
        <f t="shared" si="7"/>
        <v>3</v>
      </c>
      <c r="Q27" s="37">
        <f t="shared" si="7"/>
        <v>3</v>
      </c>
      <c r="R27" s="37">
        <f t="shared" si="7"/>
        <v>3</v>
      </c>
      <c r="S27" s="37">
        <f t="shared" si="7"/>
        <v>3</v>
      </c>
      <c r="T27" s="37">
        <f t="shared" si="7"/>
        <v>3</v>
      </c>
      <c r="U27" s="37">
        <f t="shared" si="7"/>
        <v>3</v>
      </c>
      <c r="V27" s="37">
        <f t="shared" si="7"/>
        <v>3</v>
      </c>
      <c r="W27" s="37">
        <f t="shared" si="7"/>
        <v>3</v>
      </c>
      <c r="X27" s="37">
        <f t="shared" si="7"/>
        <v>3</v>
      </c>
      <c r="Y27" s="37">
        <f t="shared" si="7"/>
        <v>3</v>
      </c>
      <c r="Z27" s="37">
        <f t="shared" si="7"/>
        <v>3</v>
      </c>
      <c r="AA27" s="37">
        <f t="shared" si="7"/>
        <v>3</v>
      </c>
      <c r="AB27" s="37">
        <f t="shared" si="7"/>
        <v>3</v>
      </c>
      <c r="AC27" s="37">
        <f t="shared" si="7"/>
        <v>3</v>
      </c>
      <c r="AD27" s="37">
        <f t="shared" si="7"/>
        <v>2</v>
      </c>
      <c r="AE27" s="37">
        <f t="shared" si="7"/>
        <v>3</v>
      </c>
      <c r="AF27" s="37">
        <f t="shared" si="7"/>
        <v>3</v>
      </c>
      <c r="AG27" s="37">
        <f t="shared" si="7"/>
        <v>3</v>
      </c>
      <c r="AH27" s="37">
        <f t="shared" si="7"/>
        <v>3</v>
      </c>
      <c r="AI27" s="37">
        <f t="shared" si="7"/>
        <v>3</v>
      </c>
      <c r="AJ27" s="37">
        <f t="shared" si="7"/>
        <v>3</v>
      </c>
    </row>
    <row r="28" spans="2:42" ht="18.75" x14ac:dyDescent="0.3">
      <c r="C28" s="177" t="s">
        <v>73</v>
      </c>
      <c r="D28" s="178"/>
      <c r="E28" s="36"/>
      <c r="F28" s="37">
        <f t="shared" ref="F28:AJ28" si="8">COUNTIF(F$5:F$23,"O*")</f>
        <v>5</v>
      </c>
      <c r="G28" s="37">
        <f t="shared" si="8"/>
        <v>7</v>
      </c>
      <c r="H28" s="37">
        <f t="shared" si="8"/>
        <v>7</v>
      </c>
      <c r="I28" s="37">
        <f t="shared" si="8"/>
        <v>6</v>
      </c>
      <c r="J28" s="37">
        <f t="shared" si="8"/>
        <v>6</v>
      </c>
      <c r="K28" s="37">
        <f t="shared" si="8"/>
        <v>5</v>
      </c>
      <c r="L28" s="37">
        <f t="shared" si="8"/>
        <v>6</v>
      </c>
      <c r="M28" s="37">
        <f t="shared" si="8"/>
        <v>6</v>
      </c>
      <c r="N28" s="37">
        <f t="shared" si="8"/>
        <v>7</v>
      </c>
      <c r="O28" s="37">
        <f t="shared" si="8"/>
        <v>8</v>
      </c>
      <c r="P28" s="37">
        <f t="shared" si="8"/>
        <v>6</v>
      </c>
      <c r="Q28" s="37">
        <f t="shared" si="8"/>
        <v>5</v>
      </c>
      <c r="R28" s="37">
        <f t="shared" si="8"/>
        <v>6</v>
      </c>
      <c r="S28" s="37">
        <f t="shared" si="8"/>
        <v>6</v>
      </c>
      <c r="T28" s="37">
        <f t="shared" si="8"/>
        <v>6</v>
      </c>
      <c r="U28" s="37">
        <f t="shared" si="8"/>
        <v>8</v>
      </c>
      <c r="V28" s="37">
        <f t="shared" si="8"/>
        <v>9</v>
      </c>
      <c r="W28" s="37">
        <f t="shared" si="8"/>
        <v>7</v>
      </c>
      <c r="X28" s="37">
        <f t="shared" si="8"/>
        <v>7</v>
      </c>
      <c r="Y28" s="37">
        <f t="shared" si="8"/>
        <v>6</v>
      </c>
      <c r="Z28" s="37">
        <f t="shared" si="8"/>
        <v>6</v>
      </c>
      <c r="AA28" s="37">
        <f t="shared" si="8"/>
        <v>5</v>
      </c>
      <c r="AB28" s="37">
        <f t="shared" si="8"/>
        <v>7</v>
      </c>
      <c r="AC28" s="37">
        <f t="shared" si="8"/>
        <v>7</v>
      </c>
      <c r="AD28" s="37">
        <f t="shared" si="8"/>
        <v>7</v>
      </c>
      <c r="AE28" s="37">
        <f t="shared" si="8"/>
        <v>7</v>
      </c>
      <c r="AF28" s="37">
        <f t="shared" si="8"/>
        <v>7</v>
      </c>
      <c r="AG28" s="37">
        <f t="shared" si="8"/>
        <v>6</v>
      </c>
      <c r="AH28" s="37">
        <f t="shared" si="8"/>
        <v>6</v>
      </c>
      <c r="AI28" s="37">
        <f t="shared" si="8"/>
        <v>7</v>
      </c>
      <c r="AJ28" s="37">
        <f t="shared" si="8"/>
        <v>8</v>
      </c>
    </row>
    <row r="29" spans="2:42" ht="18.75" x14ac:dyDescent="0.3">
      <c r="C29" s="177" t="s">
        <v>143</v>
      </c>
      <c r="D29" s="178"/>
      <c r="E29" s="36"/>
      <c r="F29" s="37">
        <f>COUNTIF(F$5:F$23,"TR*")</f>
        <v>0</v>
      </c>
      <c r="G29" s="37">
        <f t="shared" ref="G29:L29" si="9">COUNTIF(G$5:G$23,"TR*")</f>
        <v>0</v>
      </c>
      <c r="H29" s="37">
        <f t="shared" si="9"/>
        <v>0</v>
      </c>
      <c r="I29" s="37">
        <f t="shared" si="9"/>
        <v>0</v>
      </c>
      <c r="J29" s="37">
        <f t="shared" si="9"/>
        <v>0</v>
      </c>
      <c r="K29" s="37">
        <f t="shared" si="9"/>
        <v>0</v>
      </c>
      <c r="L29" s="37">
        <f t="shared" si="9"/>
        <v>0</v>
      </c>
      <c r="M29" s="37">
        <f>COUNTIF(M$5:M$23,"TR*")</f>
        <v>0</v>
      </c>
      <c r="N29" s="37">
        <f t="shared" ref="N29:AJ29" si="10">COUNTIF(N$5:N$23,"TR*")</f>
        <v>0</v>
      </c>
      <c r="O29" s="37">
        <f t="shared" si="10"/>
        <v>0</v>
      </c>
      <c r="P29" s="37">
        <f t="shared" si="10"/>
        <v>0</v>
      </c>
      <c r="Q29" s="37">
        <f t="shared" si="10"/>
        <v>0</v>
      </c>
      <c r="R29" s="37">
        <f t="shared" si="10"/>
        <v>0</v>
      </c>
      <c r="S29" s="37">
        <f t="shared" si="10"/>
        <v>0</v>
      </c>
      <c r="T29" s="37">
        <f t="shared" si="10"/>
        <v>0</v>
      </c>
      <c r="U29" s="37">
        <f t="shared" si="10"/>
        <v>0</v>
      </c>
      <c r="V29" s="37">
        <f t="shared" si="10"/>
        <v>0</v>
      </c>
      <c r="W29" s="37">
        <f t="shared" si="10"/>
        <v>0</v>
      </c>
      <c r="X29" s="37">
        <f t="shared" si="10"/>
        <v>0</v>
      </c>
      <c r="Y29" s="37">
        <f t="shared" si="10"/>
        <v>0</v>
      </c>
      <c r="Z29" s="37">
        <f t="shared" si="10"/>
        <v>2</v>
      </c>
      <c r="AA29" s="37">
        <f t="shared" si="10"/>
        <v>0</v>
      </c>
      <c r="AB29" s="37">
        <f t="shared" si="10"/>
        <v>0</v>
      </c>
      <c r="AC29" s="37">
        <f t="shared" si="10"/>
        <v>0</v>
      </c>
      <c r="AD29" s="37">
        <f t="shared" si="10"/>
        <v>3</v>
      </c>
      <c r="AE29" s="37">
        <f t="shared" si="10"/>
        <v>1</v>
      </c>
      <c r="AF29" s="37">
        <f t="shared" si="10"/>
        <v>1</v>
      </c>
      <c r="AG29" s="37">
        <f t="shared" si="10"/>
        <v>0</v>
      </c>
      <c r="AH29" s="37">
        <f t="shared" si="10"/>
        <v>0</v>
      </c>
      <c r="AI29" s="37">
        <f t="shared" si="10"/>
        <v>0</v>
      </c>
      <c r="AJ29" s="37">
        <f t="shared" si="10"/>
        <v>0</v>
      </c>
    </row>
    <row r="30" spans="2:42" ht="18.75" x14ac:dyDescent="0.3">
      <c r="C30" s="177" t="s">
        <v>106</v>
      </c>
      <c r="D30" s="178"/>
      <c r="E30" s="36"/>
      <c r="F30" s="37">
        <f t="shared" ref="F30:AJ30" si="11">COUNTIF(F$5:F$23,"ST*")</f>
        <v>0</v>
      </c>
      <c r="G30" s="37">
        <f t="shared" si="11"/>
        <v>0</v>
      </c>
      <c r="H30" s="37">
        <f t="shared" si="11"/>
        <v>0</v>
      </c>
      <c r="I30" s="37">
        <f t="shared" si="11"/>
        <v>0</v>
      </c>
      <c r="J30" s="37">
        <f t="shared" si="11"/>
        <v>0</v>
      </c>
      <c r="K30" s="37">
        <f t="shared" si="11"/>
        <v>0</v>
      </c>
      <c r="L30" s="37">
        <f t="shared" si="11"/>
        <v>0</v>
      </c>
      <c r="M30" s="37">
        <f t="shared" si="11"/>
        <v>0</v>
      </c>
      <c r="N30" s="37">
        <f t="shared" si="11"/>
        <v>0</v>
      </c>
      <c r="O30" s="37">
        <f t="shared" si="11"/>
        <v>0</v>
      </c>
      <c r="P30" s="37">
        <f t="shared" si="11"/>
        <v>0</v>
      </c>
      <c r="Q30" s="37">
        <f t="shared" si="11"/>
        <v>1</v>
      </c>
      <c r="R30" s="37">
        <f t="shared" si="11"/>
        <v>1</v>
      </c>
      <c r="S30" s="37">
        <f t="shared" si="11"/>
        <v>1</v>
      </c>
      <c r="T30" s="37">
        <f t="shared" si="11"/>
        <v>1</v>
      </c>
      <c r="U30" s="37">
        <f t="shared" si="11"/>
        <v>1</v>
      </c>
      <c r="V30" s="37">
        <f t="shared" si="11"/>
        <v>0</v>
      </c>
      <c r="W30" s="37">
        <f t="shared" si="11"/>
        <v>0</v>
      </c>
      <c r="X30" s="37">
        <f t="shared" si="11"/>
        <v>0</v>
      </c>
      <c r="Y30" s="37">
        <f t="shared" si="11"/>
        <v>1</v>
      </c>
      <c r="Z30" s="37">
        <f t="shared" si="11"/>
        <v>0</v>
      </c>
      <c r="AA30" s="37">
        <f t="shared" si="11"/>
        <v>2</v>
      </c>
      <c r="AB30" s="37">
        <f t="shared" si="11"/>
        <v>2</v>
      </c>
      <c r="AC30" s="37">
        <f t="shared" si="11"/>
        <v>2</v>
      </c>
      <c r="AD30" s="37">
        <f t="shared" si="11"/>
        <v>0</v>
      </c>
      <c r="AE30" s="37">
        <f t="shared" si="11"/>
        <v>0</v>
      </c>
      <c r="AF30" s="37">
        <f t="shared" si="11"/>
        <v>0</v>
      </c>
      <c r="AG30" s="37">
        <f t="shared" si="11"/>
        <v>1</v>
      </c>
      <c r="AH30" s="37">
        <f t="shared" si="11"/>
        <v>1</v>
      </c>
      <c r="AI30" s="37">
        <f t="shared" si="11"/>
        <v>2</v>
      </c>
      <c r="AJ30" s="37">
        <f t="shared" si="11"/>
        <v>2</v>
      </c>
    </row>
    <row r="31" spans="2:42" ht="18.75" x14ac:dyDescent="0.3">
      <c r="C31" s="248" t="s">
        <v>104</v>
      </c>
      <c r="D31" s="249"/>
      <c r="E31" s="38"/>
      <c r="F31" s="39">
        <f>F33-F34</f>
        <v>0</v>
      </c>
      <c r="G31" s="39">
        <f t="shared" ref="G31:AJ31" si="12">G33-G34</f>
        <v>0</v>
      </c>
      <c r="H31" s="39">
        <f t="shared" si="12"/>
        <v>0</v>
      </c>
      <c r="I31" s="39">
        <f t="shared" si="12"/>
        <v>-1</v>
      </c>
      <c r="J31" s="39">
        <f t="shared" si="12"/>
        <v>-1</v>
      </c>
      <c r="K31" s="39">
        <f t="shared" si="12"/>
        <v>0</v>
      </c>
      <c r="L31" s="39">
        <f t="shared" si="12"/>
        <v>-1</v>
      </c>
      <c r="M31" s="39">
        <f t="shared" si="12"/>
        <v>-1</v>
      </c>
      <c r="N31" s="39">
        <f t="shared" si="12"/>
        <v>0</v>
      </c>
      <c r="O31" s="39">
        <f t="shared" si="12"/>
        <v>0</v>
      </c>
      <c r="P31" s="39">
        <f t="shared" si="12"/>
        <v>0</v>
      </c>
      <c r="Q31" s="39">
        <f t="shared" si="12"/>
        <v>0</v>
      </c>
      <c r="R31" s="39">
        <f t="shared" si="12"/>
        <v>0</v>
      </c>
      <c r="S31" s="39">
        <f t="shared" si="12"/>
        <v>0</v>
      </c>
      <c r="T31" s="39">
        <f t="shared" si="12"/>
        <v>0</v>
      </c>
      <c r="U31" s="39">
        <f t="shared" si="12"/>
        <v>0</v>
      </c>
      <c r="V31" s="39">
        <f t="shared" si="12"/>
        <v>0</v>
      </c>
      <c r="W31" s="39">
        <f t="shared" si="12"/>
        <v>0</v>
      </c>
      <c r="X31" s="39">
        <f t="shared" si="12"/>
        <v>0</v>
      </c>
      <c r="Y31" s="39">
        <f t="shared" si="12"/>
        <v>0</v>
      </c>
      <c r="Z31" s="39">
        <f t="shared" si="12"/>
        <v>0</v>
      </c>
      <c r="AA31" s="39">
        <f t="shared" si="12"/>
        <v>0</v>
      </c>
      <c r="AB31" s="39">
        <f t="shared" si="12"/>
        <v>0</v>
      </c>
      <c r="AC31" s="39">
        <f t="shared" si="12"/>
        <v>0</v>
      </c>
      <c r="AD31" s="39">
        <f t="shared" si="12"/>
        <v>-3</v>
      </c>
      <c r="AE31" s="39">
        <f t="shared" si="12"/>
        <v>-1</v>
      </c>
      <c r="AF31" s="39">
        <f t="shared" si="12"/>
        <v>-1</v>
      </c>
      <c r="AG31" s="39">
        <f t="shared" si="12"/>
        <v>0</v>
      </c>
      <c r="AH31" s="39">
        <f t="shared" si="12"/>
        <v>0</v>
      </c>
      <c r="AI31" s="39">
        <f t="shared" si="12"/>
        <v>0</v>
      </c>
      <c r="AJ31" s="39">
        <f t="shared" si="12"/>
        <v>0</v>
      </c>
    </row>
    <row r="32" spans="2:42" ht="9.75" customHeight="1" x14ac:dyDescent="0.3">
      <c r="C32" s="40"/>
      <c r="D32" s="40"/>
      <c r="E32" s="36"/>
      <c r="F32" s="180"/>
      <c r="G32" s="180"/>
      <c r="H32" s="180"/>
      <c r="I32" s="180"/>
      <c r="J32" s="180"/>
      <c r="K32" s="180"/>
      <c r="L32" s="180"/>
      <c r="M32" s="180"/>
      <c r="N32" s="180"/>
      <c r="O32" s="180"/>
      <c r="P32" s="180"/>
      <c r="Q32" s="180"/>
      <c r="R32" s="180"/>
      <c r="S32" s="180"/>
      <c r="T32" s="180"/>
      <c r="U32" s="180"/>
      <c r="V32" s="180"/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</row>
    <row r="33" spans="3:36" ht="18.75" x14ac:dyDescent="0.3">
      <c r="C33" s="177" t="s">
        <v>102</v>
      </c>
      <c r="D33" s="178"/>
      <c r="E33" s="36"/>
      <c r="F33" s="41">
        <f>SUM(F25:F27)</f>
        <v>9</v>
      </c>
      <c r="G33" s="41">
        <f t="shared" ref="G33:AJ33" si="13">SUM(G25:G27)</f>
        <v>9</v>
      </c>
      <c r="H33" s="41">
        <f t="shared" si="13"/>
        <v>9</v>
      </c>
      <c r="I33" s="41">
        <f t="shared" si="13"/>
        <v>8</v>
      </c>
      <c r="J33" s="41">
        <f t="shared" si="13"/>
        <v>8</v>
      </c>
      <c r="K33" s="41">
        <f t="shared" si="13"/>
        <v>9</v>
      </c>
      <c r="L33" s="41">
        <f t="shared" si="13"/>
        <v>8</v>
      </c>
      <c r="M33" s="41">
        <f t="shared" si="13"/>
        <v>8</v>
      </c>
      <c r="N33" s="41">
        <f t="shared" si="13"/>
        <v>9</v>
      </c>
      <c r="O33" s="41">
        <f t="shared" si="13"/>
        <v>9</v>
      </c>
      <c r="P33" s="41">
        <f t="shared" si="13"/>
        <v>9</v>
      </c>
      <c r="Q33" s="41">
        <f t="shared" si="13"/>
        <v>9</v>
      </c>
      <c r="R33" s="41">
        <f t="shared" si="13"/>
        <v>9</v>
      </c>
      <c r="S33" s="41">
        <f t="shared" si="13"/>
        <v>9</v>
      </c>
      <c r="T33" s="41">
        <f t="shared" si="13"/>
        <v>9</v>
      </c>
      <c r="U33" s="41">
        <f t="shared" si="13"/>
        <v>9</v>
      </c>
      <c r="V33" s="41">
        <f t="shared" si="13"/>
        <v>9</v>
      </c>
      <c r="W33" s="41">
        <f t="shared" si="13"/>
        <v>9</v>
      </c>
      <c r="X33" s="41">
        <f t="shared" si="13"/>
        <v>9</v>
      </c>
      <c r="Y33" s="41">
        <f t="shared" si="13"/>
        <v>9</v>
      </c>
      <c r="Z33" s="41">
        <f t="shared" si="13"/>
        <v>9</v>
      </c>
      <c r="AA33" s="41">
        <f t="shared" si="13"/>
        <v>9</v>
      </c>
      <c r="AB33" s="41">
        <f t="shared" si="13"/>
        <v>9</v>
      </c>
      <c r="AC33" s="41">
        <f t="shared" si="13"/>
        <v>9</v>
      </c>
      <c r="AD33" s="41">
        <f t="shared" si="13"/>
        <v>6</v>
      </c>
      <c r="AE33" s="41">
        <f t="shared" si="13"/>
        <v>8</v>
      </c>
      <c r="AF33" s="41">
        <f t="shared" si="13"/>
        <v>8</v>
      </c>
      <c r="AG33" s="41">
        <f t="shared" si="13"/>
        <v>9</v>
      </c>
      <c r="AH33" s="41">
        <f t="shared" si="13"/>
        <v>9</v>
      </c>
      <c r="AI33" s="41">
        <f t="shared" si="13"/>
        <v>9</v>
      </c>
      <c r="AJ33" s="41">
        <f t="shared" si="13"/>
        <v>9</v>
      </c>
    </row>
    <row r="34" spans="3:36" ht="18.75" x14ac:dyDescent="0.3">
      <c r="C34" s="177" t="s">
        <v>90</v>
      </c>
      <c r="D34" s="178"/>
      <c r="E34" s="36"/>
      <c r="F34" s="37">
        <v>9</v>
      </c>
      <c r="G34" s="37">
        <v>9</v>
      </c>
      <c r="H34" s="37">
        <v>9</v>
      </c>
      <c r="I34" s="37">
        <v>9</v>
      </c>
      <c r="J34" s="37">
        <v>9</v>
      </c>
      <c r="K34" s="37">
        <v>9</v>
      </c>
      <c r="L34" s="37">
        <v>9</v>
      </c>
      <c r="M34" s="37">
        <v>9</v>
      </c>
      <c r="N34" s="37">
        <v>9</v>
      </c>
      <c r="O34" s="37">
        <v>9</v>
      </c>
      <c r="P34" s="37">
        <v>9</v>
      </c>
      <c r="Q34" s="37">
        <v>9</v>
      </c>
      <c r="R34" s="37">
        <v>9</v>
      </c>
      <c r="S34" s="37">
        <v>9</v>
      </c>
      <c r="T34" s="37">
        <v>9</v>
      </c>
      <c r="U34" s="37">
        <v>9</v>
      </c>
      <c r="V34" s="37">
        <v>9</v>
      </c>
      <c r="W34" s="37">
        <v>9</v>
      </c>
      <c r="X34" s="37">
        <v>9</v>
      </c>
      <c r="Y34" s="37">
        <v>9</v>
      </c>
      <c r="Z34" s="37">
        <v>9</v>
      </c>
      <c r="AA34" s="37">
        <v>9</v>
      </c>
      <c r="AB34" s="37">
        <v>9</v>
      </c>
      <c r="AC34" s="37">
        <v>9</v>
      </c>
      <c r="AD34" s="37">
        <v>9</v>
      </c>
      <c r="AE34" s="37">
        <v>9</v>
      </c>
      <c r="AF34" s="37">
        <v>9</v>
      </c>
      <c r="AG34" s="37">
        <v>9</v>
      </c>
      <c r="AH34" s="37">
        <v>9</v>
      </c>
      <c r="AI34" s="37">
        <v>9</v>
      </c>
      <c r="AJ34" s="37">
        <v>9</v>
      </c>
    </row>
    <row r="35" spans="3:36" ht="18.75" x14ac:dyDescent="0.3">
      <c r="C35" s="177" t="s">
        <v>103</v>
      </c>
      <c r="D35" s="178"/>
      <c r="E35" s="36"/>
      <c r="F35" s="37">
        <f>SUM(F25,F26,F27,F28,F30)</f>
        <v>14</v>
      </c>
      <c r="G35" s="37">
        <f t="shared" ref="G35:AJ35" si="14">SUM(G25,G26,G27,G28,G30)</f>
        <v>16</v>
      </c>
      <c r="H35" s="37">
        <f t="shared" si="14"/>
        <v>16</v>
      </c>
      <c r="I35" s="37">
        <f t="shared" si="14"/>
        <v>14</v>
      </c>
      <c r="J35" s="37">
        <f t="shared" si="14"/>
        <v>14</v>
      </c>
      <c r="K35" s="37">
        <f t="shared" si="14"/>
        <v>14</v>
      </c>
      <c r="L35" s="37">
        <f t="shared" si="14"/>
        <v>14</v>
      </c>
      <c r="M35" s="37">
        <f t="shared" si="14"/>
        <v>14</v>
      </c>
      <c r="N35" s="37">
        <f t="shared" si="14"/>
        <v>16</v>
      </c>
      <c r="O35" s="37">
        <f t="shared" si="14"/>
        <v>17</v>
      </c>
      <c r="P35" s="37">
        <f t="shared" si="14"/>
        <v>15</v>
      </c>
      <c r="Q35" s="37">
        <f t="shared" si="14"/>
        <v>15</v>
      </c>
      <c r="R35" s="37">
        <f t="shared" si="14"/>
        <v>16</v>
      </c>
      <c r="S35" s="37">
        <f t="shared" si="14"/>
        <v>16</v>
      </c>
      <c r="T35" s="37">
        <f t="shared" si="14"/>
        <v>16</v>
      </c>
      <c r="U35" s="37">
        <f t="shared" si="14"/>
        <v>18</v>
      </c>
      <c r="V35" s="37">
        <f t="shared" si="14"/>
        <v>18</v>
      </c>
      <c r="W35" s="37">
        <f t="shared" si="14"/>
        <v>16</v>
      </c>
      <c r="X35" s="37">
        <f t="shared" si="14"/>
        <v>16</v>
      </c>
      <c r="Y35" s="37">
        <f t="shared" si="14"/>
        <v>16</v>
      </c>
      <c r="Z35" s="37">
        <f t="shared" si="14"/>
        <v>15</v>
      </c>
      <c r="AA35" s="37">
        <f t="shared" si="14"/>
        <v>16</v>
      </c>
      <c r="AB35" s="37">
        <f t="shared" si="14"/>
        <v>18</v>
      </c>
      <c r="AC35" s="37">
        <f t="shared" si="14"/>
        <v>18</v>
      </c>
      <c r="AD35" s="37">
        <f t="shared" si="14"/>
        <v>13</v>
      </c>
      <c r="AE35" s="37">
        <f t="shared" si="14"/>
        <v>15</v>
      </c>
      <c r="AF35" s="37">
        <f t="shared" si="14"/>
        <v>15</v>
      </c>
      <c r="AG35" s="37">
        <f t="shared" si="14"/>
        <v>16</v>
      </c>
      <c r="AH35" s="37">
        <f t="shared" si="14"/>
        <v>16</v>
      </c>
      <c r="AI35" s="37">
        <f t="shared" si="14"/>
        <v>18</v>
      </c>
      <c r="AJ35" s="37">
        <f t="shared" si="14"/>
        <v>19</v>
      </c>
    </row>
    <row r="36" spans="3:36" ht="16.5" thickBot="1" x14ac:dyDescent="0.3"/>
    <row r="37" spans="3:36" ht="16.5" thickBot="1" x14ac:dyDescent="0.3">
      <c r="F37" s="197" t="s">
        <v>232</v>
      </c>
      <c r="G37" s="198"/>
      <c r="H37" s="199"/>
    </row>
    <row r="38" spans="3:36" x14ac:dyDescent="0.25">
      <c r="F38" s="70" t="s">
        <v>142</v>
      </c>
      <c r="G38" s="200" t="s">
        <v>228</v>
      </c>
      <c r="H38" s="201"/>
    </row>
    <row r="39" spans="3:36" x14ac:dyDescent="0.25">
      <c r="F39" s="71" t="s">
        <v>119</v>
      </c>
      <c r="G39" s="218" t="s">
        <v>229</v>
      </c>
      <c r="H39" s="231"/>
    </row>
    <row r="40" spans="3:36" x14ac:dyDescent="0.25">
      <c r="F40" s="72" t="s">
        <v>226</v>
      </c>
      <c r="G40" s="203" t="s">
        <v>230</v>
      </c>
      <c r="H40" s="204"/>
    </row>
    <row r="41" spans="3:36" x14ac:dyDescent="0.25">
      <c r="F41" s="73" t="s">
        <v>227</v>
      </c>
      <c r="G41" s="205" t="s">
        <v>231</v>
      </c>
      <c r="H41" s="206"/>
    </row>
    <row r="42" spans="3:36" x14ac:dyDescent="0.25">
      <c r="F42" s="74" t="s">
        <v>144</v>
      </c>
      <c r="G42" s="189" t="s">
        <v>234</v>
      </c>
      <c r="H42" s="190"/>
    </row>
    <row r="43" spans="3:36" x14ac:dyDescent="0.25">
      <c r="F43" s="75"/>
      <c r="G43" s="191" t="s">
        <v>233</v>
      </c>
      <c r="H43" s="192"/>
    </row>
    <row r="44" spans="3:36" ht="16.5" thickBot="1" x14ac:dyDescent="0.3">
      <c r="F44" s="76" t="s">
        <v>235</v>
      </c>
      <c r="G44" s="229" t="s">
        <v>236</v>
      </c>
      <c r="H44" s="230"/>
    </row>
  </sheetData>
  <mergeCells count="44">
    <mergeCell ref="C19:D19"/>
    <mergeCell ref="C20:D20"/>
    <mergeCell ref="C23:D23"/>
    <mergeCell ref="AO2:AO4"/>
    <mergeCell ref="AP2:AP4"/>
    <mergeCell ref="C9:D9"/>
    <mergeCell ref="F2:AJ2"/>
    <mergeCell ref="AL2:AL4"/>
    <mergeCell ref="AM2:AM4"/>
    <mergeCell ref="AN2:AN4"/>
    <mergeCell ref="C5:D5"/>
    <mergeCell ref="C6:D6"/>
    <mergeCell ref="C7:D7"/>
    <mergeCell ref="C8:D8"/>
    <mergeCell ref="B3:D4"/>
    <mergeCell ref="C16:D16"/>
    <mergeCell ref="C17:D17"/>
    <mergeCell ref="C18:D18"/>
    <mergeCell ref="C10:D10"/>
    <mergeCell ref="C11:D11"/>
    <mergeCell ref="C12:D12"/>
    <mergeCell ref="C13:D13"/>
    <mergeCell ref="C14:D14"/>
    <mergeCell ref="C15:D15"/>
    <mergeCell ref="C35:D35"/>
    <mergeCell ref="C25:D25"/>
    <mergeCell ref="C26:D26"/>
    <mergeCell ref="C27:D27"/>
    <mergeCell ref="C28:D28"/>
    <mergeCell ref="C30:D30"/>
    <mergeCell ref="C29:D29"/>
    <mergeCell ref="C21:D21"/>
    <mergeCell ref="C31:D31"/>
    <mergeCell ref="F32:AJ32"/>
    <mergeCell ref="C33:D33"/>
    <mergeCell ref="C34:D34"/>
    <mergeCell ref="G41:H41"/>
    <mergeCell ref="G42:H42"/>
    <mergeCell ref="G43:H43"/>
    <mergeCell ref="G44:H44"/>
    <mergeCell ref="F37:H37"/>
    <mergeCell ref="G38:H38"/>
    <mergeCell ref="G39:H39"/>
    <mergeCell ref="G40:H40"/>
  </mergeCells>
  <phoneticPr fontId="14" type="noConversion"/>
  <conditionalFormatting sqref="F5:AJ23">
    <cfRule type="containsText" dxfId="117" priority="1" operator="containsText" text="STMN06">
      <formula>NOT(ISERROR(SEARCH("STMN06",F5)))</formula>
    </cfRule>
    <cfRule type="containsText" dxfId="116" priority="2" operator="containsText" text="STAN13">
      <formula>NOT(ISERROR(SEARCH("STAN13",F5)))</formula>
    </cfRule>
    <cfRule type="containsText" dxfId="115" priority="3" operator="containsText" text="STNN21">
      <formula>NOT(ISERROR(SEARCH("STNN21",F5)))</formula>
    </cfRule>
    <cfRule type="containsText" dxfId="114" priority="4" operator="containsText" text="LV">
      <formula>NOT(ISERROR(SEARCH("LV",F5)))</formula>
    </cfRule>
    <cfRule type="containsText" dxfId="113" priority="5" operator="containsText" text="TR">
      <formula>NOT(ISERROR(SEARCH("TR",F5)))</formula>
    </cfRule>
    <cfRule type="containsText" dxfId="112" priority="6" operator="containsText" text="NN21">
      <formula>NOT(ISERROR(SEARCH("NN21",F5)))</formula>
    </cfRule>
    <cfRule type="containsText" dxfId="111" priority="7" operator="containsText" text="NN13">
      <formula>NOT(ISERROR(SEARCH("NN13",F5)))</formula>
    </cfRule>
    <cfRule type="containsText" dxfId="110" priority="8" operator="containsText" text="AN13">
      <formula>NOT(ISERROR(SEARCH("AN13",F5)))</formula>
    </cfRule>
    <cfRule type="containsText" dxfId="109" priority="9" operator="containsText" text="MN06">
      <formula>NOT(ISERROR(SEARCH("MN06",F5)))</formula>
    </cfRule>
    <cfRule type="containsText" dxfId="108" priority="11" operator="containsText" text="OFF">
      <formula>NOT(ISERROR(SEARCH("OFF",F5)))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6630-9F4F-4714-81B4-2D9B28FEC44D}">
  <dimension ref="B2:AP32"/>
  <sheetViews>
    <sheetView zoomScale="70" zoomScaleNormal="70" workbookViewId="0">
      <selection activeCell="Q31" sqref="Q31"/>
    </sheetView>
  </sheetViews>
  <sheetFormatPr defaultRowHeight="15.75" x14ac:dyDescent="0.25"/>
  <cols>
    <col min="1" max="1" width="3.42578125" style="18" customWidth="1"/>
    <col min="2" max="2" width="6" style="18" customWidth="1"/>
    <col min="3" max="3" width="12.85546875" style="18" customWidth="1"/>
    <col min="4" max="4" width="21.140625" style="20" customWidth="1"/>
    <col min="5" max="5" width="2.28515625" style="18" customWidth="1"/>
    <col min="6" max="36" width="10.7109375" style="18" customWidth="1"/>
    <col min="37" max="37" width="4.28515625" style="18" customWidth="1"/>
    <col min="38" max="16384" width="9.140625" style="18"/>
  </cols>
  <sheetData>
    <row r="2" spans="2:42" ht="39" customHeight="1" x14ac:dyDescent="0.5">
      <c r="F2" s="253" t="s">
        <v>125</v>
      </c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  <c r="AL2" s="142" t="s">
        <v>112</v>
      </c>
      <c r="AM2" s="142" t="s">
        <v>113</v>
      </c>
      <c r="AN2" s="142" t="s">
        <v>116</v>
      </c>
      <c r="AO2" s="142" t="s">
        <v>114</v>
      </c>
      <c r="AP2" s="142" t="s">
        <v>115</v>
      </c>
    </row>
    <row r="3" spans="2:42" ht="39" x14ac:dyDescent="0.3">
      <c r="B3" s="148" t="s">
        <v>105</v>
      </c>
      <c r="C3" s="148"/>
      <c r="D3" s="148"/>
      <c r="F3" s="28" t="s">
        <v>95</v>
      </c>
      <c r="G3" s="29" t="s">
        <v>96</v>
      </c>
      <c r="H3" s="29" t="s">
        <v>97</v>
      </c>
      <c r="I3" s="29" t="s">
        <v>98</v>
      </c>
      <c r="J3" s="29" t="s">
        <v>99</v>
      </c>
      <c r="K3" s="29" t="s">
        <v>100</v>
      </c>
      <c r="L3" s="29" t="s">
        <v>101</v>
      </c>
      <c r="M3" s="29" t="s">
        <v>95</v>
      </c>
      <c r="N3" s="29" t="s">
        <v>96</v>
      </c>
      <c r="O3" s="29" t="s">
        <v>97</v>
      </c>
      <c r="P3" s="29" t="s">
        <v>98</v>
      </c>
      <c r="Q3" s="29" t="s">
        <v>99</v>
      </c>
      <c r="R3" s="29" t="s">
        <v>100</v>
      </c>
      <c r="S3" s="29" t="s">
        <v>101</v>
      </c>
      <c r="T3" s="29" t="s">
        <v>95</v>
      </c>
      <c r="U3" s="29" t="s">
        <v>96</v>
      </c>
      <c r="V3" s="29" t="s">
        <v>97</v>
      </c>
      <c r="W3" s="29" t="s">
        <v>98</v>
      </c>
      <c r="X3" s="29" t="s">
        <v>99</v>
      </c>
      <c r="Y3" s="29" t="s">
        <v>100</v>
      </c>
      <c r="Z3" s="29" t="s">
        <v>101</v>
      </c>
      <c r="AA3" s="29" t="s">
        <v>95</v>
      </c>
      <c r="AB3" s="29" t="s">
        <v>96</v>
      </c>
      <c r="AC3" s="29" t="s">
        <v>97</v>
      </c>
      <c r="AD3" s="29" t="s">
        <v>98</v>
      </c>
      <c r="AE3" s="29" t="s">
        <v>99</v>
      </c>
      <c r="AF3" s="29" t="s">
        <v>100</v>
      </c>
      <c r="AG3" s="29" t="s">
        <v>101</v>
      </c>
      <c r="AH3" s="29" t="s">
        <v>95</v>
      </c>
      <c r="AI3" s="30" t="s">
        <v>96</v>
      </c>
      <c r="AJ3" s="31"/>
      <c r="AL3" s="143"/>
      <c r="AM3" s="143"/>
      <c r="AN3" s="143"/>
      <c r="AO3" s="143"/>
      <c r="AP3" s="143"/>
    </row>
    <row r="4" spans="2:42" ht="19.5" customHeight="1" thickBot="1" x14ac:dyDescent="0.35">
      <c r="B4" s="148"/>
      <c r="C4" s="148"/>
      <c r="D4" s="148"/>
      <c r="F4" s="32">
        <v>1</v>
      </c>
      <c r="G4" s="33">
        <v>2</v>
      </c>
      <c r="H4" s="33">
        <v>3</v>
      </c>
      <c r="I4" s="33">
        <v>4</v>
      </c>
      <c r="J4" s="33">
        <v>5</v>
      </c>
      <c r="K4" s="33">
        <v>6</v>
      </c>
      <c r="L4" s="33">
        <v>7</v>
      </c>
      <c r="M4" s="33">
        <v>8</v>
      </c>
      <c r="N4" s="33">
        <v>9</v>
      </c>
      <c r="O4" s="33">
        <v>10</v>
      </c>
      <c r="P4" s="33">
        <v>11</v>
      </c>
      <c r="Q4" s="33">
        <v>12</v>
      </c>
      <c r="R4" s="33">
        <v>13</v>
      </c>
      <c r="S4" s="33">
        <v>14</v>
      </c>
      <c r="T4" s="33">
        <v>15</v>
      </c>
      <c r="U4" s="33">
        <v>16</v>
      </c>
      <c r="V4" s="33">
        <v>17</v>
      </c>
      <c r="W4" s="33">
        <v>18</v>
      </c>
      <c r="X4" s="33">
        <v>19</v>
      </c>
      <c r="Y4" s="33">
        <v>20</v>
      </c>
      <c r="Z4" s="33">
        <v>21</v>
      </c>
      <c r="AA4" s="33">
        <v>22</v>
      </c>
      <c r="AB4" s="33">
        <v>23</v>
      </c>
      <c r="AC4" s="33">
        <v>24</v>
      </c>
      <c r="AD4" s="33">
        <v>25</v>
      </c>
      <c r="AE4" s="33">
        <v>26</v>
      </c>
      <c r="AF4" s="33">
        <v>27</v>
      </c>
      <c r="AG4" s="33">
        <v>28</v>
      </c>
      <c r="AH4" s="33">
        <v>29</v>
      </c>
      <c r="AI4" s="34">
        <v>30</v>
      </c>
      <c r="AJ4" s="35"/>
      <c r="AL4" s="144"/>
      <c r="AM4" s="144"/>
      <c r="AN4" s="144"/>
      <c r="AO4" s="144"/>
      <c r="AP4" s="144"/>
    </row>
    <row r="5" spans="2:42" ht="18.75" x14ac:dyDescent="0.25">
      <c r="B5" s="37">
        <v>1</v>
      </c>
      <c r="C5" s="256" t="s">
        <v>209</v>
      </c>
      <c r="D5" s="257"/>
      <c r="F5" s="60" t="s">
        <v>229</v>
      </c>
      <c r="G5" s="44" t="s">
        <v>229</v>
      </c>
      <c r="H5" s="44" t="s">
        <v>255</v>
      </c>
      <c r="I5" s="44" t="s">
        <v>109</v>
      </c>
      <c r="J5" s="44" t="s">
        <v>27</v>
      </c>
      <c r="K5" s="44" t="s">
        <v>257</v>
      </c>
      <c r="L5" s="44" t="s">
        <v>257</v>
      </c>
      <c r="M5" s="44" t="s">
        <v>257</v>
      </c>
      <c r="N5" s="105" t="s">
        <v>229</v>
      </c>
      <c r="O5" s="44" t="s">
        <v>229</v>
      </c>
      <c r="P5" s="44" t="s">
        <v>230</v>
      </c>
      <c r="Q5" s="44" t="s">
        <v>255</v>
      </c>
      <c r="R5" s="44" t="s">
        <v>27</v>
      </c>
      <c r="S5" s="44" t="s">
        <v>257</v>
      </c>
      <c r="T5" s="44" t="s">
        <v>257</v>
      </c>
      <c r="U5" s="44" t="s">
        <v>257</v>
      </c>
      <c r="V5" s="105" t="s">
        <v>229</v>
      </c>
      <c r="W5" s="44" t="s">
        <v>111</v>
      </c>
      <c r="X5" s="44" t="s">
        <v>230</v>
      </c>
      <c r="Y5" s="44" t="s">
        <v>254</v>
      </c>
      <c r="Z5" s="44" t="s">
        <v>254</v>
      </c>
      <c r="AA5" s="44" t="s">
        <v>257</v>
      </c>
      <c r="AB5" s="44" t="s">
        <v>257</v>
      </c>
      <c r="AC5" s="44" t="s">
        <v>257</v>
      </c>
      <c r="AD5" s="105" t="s">
        <v>229</v>
      </c>
      <c r="AE5" s="44" t="s">
        <v>229</v>
      </c>
      <c r="AF5" s="44" t="s">
        <v>230</v>
      </c>
      <c r="AG5" s="44" t="s">
        <v>256</v>
      </c>
      <c r="AH5" s="44" t="s">
        <v>27</v>
      </c>
      <c r="AI5" s="44" t="s">
        <v>257</v>
      </c>
      <c r="AJ5" s="61"/>
      <c r="AL5" s="42">
        <f>COUNTIF($F5:$AJ5,"ST*")</f>
        <v>5</v>
      </c>
      <c r="AM5" s="42">
        <f>COUNTIF($F5:$AJ5,"M*")</f>
        <v>7</v>
      </c>
      <c r="AN5" s="42">
        <f>COUNTIF($F5:$AJ5,"A*")</f>
        <v>3</v>
      </c>
      <c r="AO5" s="42">
        <f>COUNTIF($F5:$AJ5,"N*")</f>
        <v>5</v>
      </c>
      <c r="AP5" s="42">
        <f>COUNTIF($F5:$AJ5,"O*")</f>
        <v>10</v>
      </c>
    </row>
    <row r="6" spans="2:42" ht="18.75" x14ac:dyDescent="0.25">
      <c r="B6" s="37">
        <v>2</v>
      </c>
      <c r="C6" s="256" t="s">
        <v>210</v>
      </c>
      <c r="D6" s="257"/>
      <c r="F6" s="62" t="s">
        <v>230</v>
      </c>
      <c r="G6" s="51" t="s">
        <v>230</v>
      </c>
      <c r="H6" s="51" t="s">
        <v>254</v>
      </c>
      <c r="I6" s="51" t="s">
        <v>254</v>
      </c>
      <c r="J6" s="51" t="s">
        <v>257</v>
      </c>
      <c r="K6" s="51" t="s">
        <v>257</v>
      </c>
      <c r="L6" s="51" t="s">
        <v>257</v>
      </c>
      <c r="M6" s="27" t="s">
        <v>229</v>
      </c>
      <c r="N6" s="51" t="s">
        <v>255</v>
      </c>
      <c r="O6" s="51" t="s">
        <v>230</v>
      </c>
      <c r="P6" s="51" t="s">
        <v>254</v>
      </c>
      <c r="Q6" s="51" t="s">
        <v>254</v>
      </c>
      <c r="R6" s="51" t="s">
        <v>257</v>
      </c>
      <c r="S6" s="51" t="s">
        <v>257</v>
      </c>
      <c r="T6" s="51" t="s">
        <v>257</v>
      </c>
      <c r="U6" s="27" t="s">
        <v>229</v>
      </c>
      <c r="V6" s="51" t="s">
        <v>108</v>
      </c>
      <c r="W6" s="51" t="s">
        <v>230</v>
      </c>
      <c r="X6" s="51" t="s">
        <v>254</v>
      </c>
      <c r="Y6" s="51" t="s">
        <v>254</v>
      </c>
      <c r="Z6" s="51" t="s">
        <v>257</v>
      </c>
      <c r="AA6" s="51" t="s">
        <v>257</v>
      </c>
      <c r="AB6" s="51" t="s">
        <v>257</v>
      </c>
      <c r="AC6" s="27" t="s">
        <v>229</v>
      </c>
      <c r="AD6" s="51" t="s">
        <v>259</v>
      </c>
      <c r="AE6" s="51" t="s">
        <v>230</v>
      </c>
      <c r="AF6" s="51" t="s">
        <v>254</v>
      </c>
      <c r="AG6" s="51" t="s">
        <v>254</v>
      </c>
      <c r="AH6" s="51" t="s">
        <v>257</v>
      </c>
      <c r="AI6" s="51" t="s">
        <v>257</v>
      </c>
      <c r="AJ6" s="63"/>
      <c r="AL6" s="42">
        <f t="shared" ref="AL6:AL18" si="0">COUNTIF($F6:$AJ6,"ST*")</f>
        <v>2</v>
      </c>
      <c r="AM6" s="42">
        <f t="shared" ref="AM6:AM18" si="1">COUNTIF($F6:$AJ6,"M*")</f>
        <v>3</v>
      </c>
      <c r="AN6" s="42">
        <f t="shared" ref="AN6:AN18" si="2">COUNTIF($F6:$AJ6,"A*")</f>
        <v>6</v>
      </c>
      <c r="AO6" s="42">
        <f t="shared" ref="AO6:AO18" si="3">COUNTIF($F6:$AJ6,"N*")</f>
        <v>8</v>
      </c>
      <c r="AP6" s="42">
        <f t="shared" ref="AP6:AP18" si="4">COUNTIF($F6:$AJ6,"O*")</f>
        <v>11</v>
      </c>
    </row>
    <row r="7" spans="2:42" ht="18.75" x14ac:dyDescent="0.25">
      <c r="B7" s="37">
        <v>3</v>
      </c>
      <c r="C7" s="256" t="s">
        <v>133</v>
      </c>
      <c r="D7" s="257"/>
      <c r="F7" s="62" t="s">
        <v>230</v>
      </c>
      <c r="G7" s="51" t="s">
        <v>254</v>
      </c>
      <c r="H7" s="51" t="s">
        <v>254</v>
      </c>
      <c r="I7" s="51" t="s">
        <v>257</v>
      </c>
      <c r="J7" s="51" t="s">
        <v>257</v>
      </c>
      <c r="K7" s="51" t="s">
        <v>257</v>
      </c>
      <c r="L7" s="27" t="s">
        <v>229</v>
      </c>
      <c r="M7" s="23" t="s">
        <v>229</v>
      </c>
      <c r="N7" s="51" t="s">
        <v>230</v>
      </c>
      <c r="O7" s="51" t="s">
        <v>254</v>
      </c>
      <c r="P7" s="51" t="s">
        <v>254</v>
      </c>
      <c r="Q7" s="51" t="s">
        <v>257</v>
      </c>
      <c r="R7" s="51" t="s">
        <v>257</v>
      </c>
      <c r="S7" s="51" t="s">
        <v>257</v>
      </c>
      <c r="T7" s="27" t="s">
        <v>229</v>
      </c>
      <c r="U7" s="23" t="s">
        <v>229</v>
      </c>
      <c r="V7" s="51" t="s">
        <v>230</v>
      </c>
      <c r="W7" s="51" t="s">
        <v>254</v>
      </c>
      <c r="X7" s="51" t="s">
        <v>254</v>
      </c>
      <c r="Y7" s="51" t="s">
        <v>257</v>
      </c>
      <c r="Z7" s="51" t="s">
        <v>257</v>
      </c>
      <c r="AA7" s="51" t="s">
        <v>257</v>
      </c>
      <c r="AB7" s="27" t="s">
        <v>229</v>
      </c>
      <c r="AC7" s="23" t="s">
        <v>229</v>
      </c>
      <c r="AD7" s="51" t="s">
        <v>230</v>
      </c>
      <c r="AE7" s="51" t="s">
        <v>254</v>
      </c>
      <c r="AF7" s="51" t="s">
        <v>254</v>
      </c>
      <c r="AG7" s="51" t="s">
        <v>257</v>
      </c>
      <c r="AH7" s="51" t="s">
        <v>257</v>
      </c>
      <c r="AI7" s="51" t="s">
        <v>257</v>
      </c>
      <c r="AJ7" s="63"/>
      <c r="AL7" s="42">
        <f t="shared" si="0"/>
        <v>0</v>
      </c>
      <c r="AM7" s="42">
        <f t="shared" si="1"/>
        <v>6</v>
      </c>
      <c r="AN7" s="42">
        <f t="shared" si="2"/>
        <v>4</v>
      </c>
      <c r="AO7" s="42">
        <f t="shared" si="3"/>
        <v>8</v>
      </c>
      <c r="AP7" s="42">
        <f t="shared" si="4"/>
        <v>12</v>
      </c>
    </row>
    <row r="8" spans="2:42" ht="18.75" x14ac:dyDescent="0.25">
      <c r="B8" s="37">
        <v>4</v>
      </c>
      <c r="C8" s="256" t="s">
        <v>128</v>
      </c>
      <c r="D8" s="257"/>
      <c r="F8" s="62" t="s">
        <v>254</v>
      </c>
      <c r="G8" s="51" t="s">
        <v>254</v>
      </c>
      <c r="H8" s="51" t="s">
        <v>257</v>
      </c>
      <c r="I8" s="51" t="s">
        <v>257</v>
      </c>
      <c r="J8" s="51" t="s">
        <v>257</v>
      </c>
      <c r="K8" s="27" t="s">
        <v>229</v>
      </c>
      <c r="L8" s="23" t="s">
        <v>229</v>
      </c>
      <c r="M8" s="51" t="s">
        <v>230</v>
      </c>
      <c r="N8" s="51" t="s">
        <v>254</v>
      </c>
      <c r="O8" s="51" t="s">
        <v>254</v>
      </c>
      <c r="P8" s="51" t="s">
        <v>257</v>
      </c>
      <c r="Q8" s="51" t="s">
        <v>257</v>
      </c>
      <c r="R8" s="51" t="s">
        <v>257</v>
      </c>
      <c r="S8" s="27" t="s">
        <v>229</v>
      </c>
      <c r="T8" s="23" t="s">
        <v>229</v>
      </c>
      <c r="U8" s="51" t="s">
        <v>230</v>
      </c>
      <c r="V8" s="51" t="s">
        <v>109</v>
      </c>
      <c r="W8" s="51" t="s">
        <v>254</v>
      </c>
      <c r="X8" s="51" t="s">
        <v>257</v>
      </c>
      <c r="Y8" s="51" t="s">
        <v>257</v>
      </c>
      <c r="Z8" s="51" t="s">
        <v>257</v>
      </c>
      <c r="AA8" s="27" t="s">
        <v>229</v>
      </c>
      <c r="AB8" s="23" t="s">
        <v>229</v>
      </c>
      <c r="AC8" s="51" t="s">
        <v>230</v>
      </c>
      <c r="AD8" s="51" t="s">
        <v>256</v>
      </c>
      <c r="AE8" s="51" t="s">
        <v>254</v>
      </c>
      <c r="AF8" s="51" t="s">
        <v>257</v>
      </c>
      <c r="AG8" s="51" t="s">
        <v>257</v>
      </c>
      <c r="AH8" s="51" t="s">
        <v>257</v>
      </c>
      <c r="AI8" s="27" t="s">
        <v>229</v>
      </c>
      <c r="AJ8" s="63"/>
      <c r="AL8" s="42">
        <f t="shared" si="0"/>
        <v>2</v>
      </c>
      <c r="AM8" s="42">
        <f t="shared" si="1"/>
        <v>7</v>
      </c>
      <c r="AN8" s="42">
        <f t="shared" si="2"/>
        <v>3</v>
      </c>
      <c r="AO8" s="42">
        <f t="shared" si="3"/>
        <v>6</v>
      </c>
      <c r="AP8" s="42">
        <f t="shared" si="4"/>
        <v>12</v>
      </c>
    </row>
    <row r="9" spans="2:42" ht="18.75" x14ac:dyDescent="0.25">
      <c r="B9" s="37">
        <v>5</v>
      </c>
      <c r="C9" s="256" t="s">
        <v>140</v>
      </c>
      <c r="D9" s="257"/>
      <c r="F9" s="62" t="s">
        <v>257</v>
      </c>
      <c r="G9" s="51" t="s">
        <v>257</v>
      </c>
      <c r="H9" s="51" t="s">
        <v>257</v>
      </c>
      <c r="I9" s="51" t="s">
        <v>30</v>
      </c>
      <c r="J9" s="27" t="s">
        <v>229</v>
      </c>
      <c r="K9" s="23" t="s">
        <v>229</v>
      </c>
      <c r="L9" s="51" t="s">
        <v>230</v>
      </c>
      <c r="M9" s="51" t="s">
        <v>254</v>
      </c>
      <c r="N9" s="51" t="s">
        <v>254</v>
      </c>
      <c r="O9" s="51" t="s">
        <v>257</v>
      </c>
      <c r="P9" s="51" t="s">
        <v>257</v>
      </c>
      <c r="Q9" s="51" t="s">
        <v>257</v>
      </c>
      <c r="R9" s="27" t="s">
        <v>229</v>
      </c>
      <c r="S9" s="23" t="s">
        <v>229</v>
      </c>
      <c r="T9" s="51" t="s">
        <v>230</v>
      </c>
      <c r="U9" s="51" t="s">
        <v>254</v>
      </c>
      <c r="V9" s="51" t="s">
        <v>254</v>
      </c>
      <c r="W9" s="51" t="s">
        <v>257</v>
      </c>
      <c r="X9" s="51" t="s">
        <v>257</v>
      </c>
      <c r="Y9" s="51" t="s">
        <v>257</v>
      </c>
      <c r="Z9" s="27" t="s">
        <v>229</v>
      </c>
      <c r="AA9" s="23" t="s">
        <v>229</v>
      </c>
      <c r="AB9" s="51" t="s">
        <v>230</v>
      </c>
      <c r="AC9" s="51" t="s">
        <v>256</v>
      </c>
      <c r="AD9" s="51" t="s">
        <v>254</v>
      </c>
      <c r="AE9" s="51" t="s">
        <v>257</v>
      </c>
      <c r="AF9" s="51" t="s">
        <v>257</v>
      </c>
      <c r="AG9" s="51" t="s">
        <v>257</v>
      </c>
      <c r="AH9" s="27" t="s">
        <v>229</v>
      </c>
      <c r="AI9" s="23" t="s">
        <v>229</v>
      </c>
      <c r="AJ9" s="63"/>
      <c r="AL9" s="42">
        <f t="shared" si="0"/>
        <v>1</v>
      </c>
      <c r="AM9" s="42">
        <f t="shared" si="1"/>
        <v>8</v>
      </c>
      <c r="AN9" s="42">
        <f t="shared" si="2"/>
        <v>3</v>
      </c>
      <c r="AO9" s="42">
        <f t="shared" si="3"/>
        <v>5</v>
      </c>
      <c r="AP9" s="42">
        <f t="shared" si="4"/>
        <v>13</v>
      </c>
    </row>
    <row r="10" spans="2:42" ht="18.75" x14ac:dyDescent="0.25">
      <c r="B10" s="37">
        <v>6</v>
      </c>
      <c r="C10" s="256" t="s">
        <v>131</v>
      </c>
      <c r="D10" s="257"/>
      <c r="F10" s="62" t="s">
        <v>257</v>
      </c>
      <c r="G10" s="51" t="s">
        <v>257</v>
      </c>
      <c r="H10" s="51" t="s">
        <v>257</v>
      </c>
      <c r="I10" s="27" t="s">
        <v>229</v>
      </c>
      <c r="J10" s="23" t="s">
        <v>229</v>
      </c>
      <c r="K10" s="51" t="s">
        <v>230</v>
      </c>
      <c r="L10" s="51" t="s">
        <v>254</v>
      </c>
      <c r="M10" s="51" t="s">
        <v>254</v>
      </c>
      <c r="N10" s="51" t="s">
        <v>257</v>
      </c>
      <c r="O10" s="51" t="s">
        <v>257</v>
      </c>
      <c r="P10" s="51" t="s">
        <v>257</v>
      </c>
      <c r="Q10" s="27" t="s">
        <v>229</v>
      </c>
      <c r="R10" s="23" t="s">
        <v>229</v>
      </c>
      <c r="S10" s="51" t="s">
        <v>230</v>
      </c>
      <c r="T10" s="51" t="s">
        <v>254</v>
      </c>
      <c r="U10" s="51" t="s">
        <v>254</v>
      </c>
      <c r="V10" s="51" t="s">
        <v>257</v>
      </c>
      <c r="W10" s="51" t="s">
        <v>257</v>
      </c>
      <c r="X10" s="51" t="s">
        <v>257</v>
      </c>
      <c r="Y10" s="27" t="s">
        <v>229</v>
      </c>
      <c r="Z10" s="23" t="s">
        <v>229</v>
      </c>
      <c r="AA10" s="51" t="s">
        <v>230</v>
      </c>
      <c r="AB10" s="51" t="s">
        <v>256</v>
      </c>
      <c r="AC10" s="51" t="s">
        <v>254</v>
      </c>
      <c r="AD10" s="51" t="s">
        <v>257</v>
      </c>
      <c r="AE10" s="51" t="s">
        <v>257</v>
      </c>
      <c r="AF10" s="51" t="s">
        <v>257</v>
      </c>
      <c r="AG10" s="27" t="s">
        <v>229</v>
      </c>
      <c r="AH10" s="23" t="s">
        <v>229</v>
      </c>
      <c r="AI10" s="51" t="s">
        <v>230</v>
      </c>
      <c r="AJ10" s="63"/>
      <c r="AL10" s="42">
        <f t="shared" si="0"/>
        <v>1</v>
      </c>
      <c r="AM10" s="42">
        <f t="shared" si="1"/>
        <v>8</v>
      </c>
      <c r="AN10" s="42">
        <f t="shared" si="2"/>
        <v>4</v>
      </c>
      <c r="AO10" s="42">
        <f t="shared" si="3"/>
        <v>5</v>
      </c>
      <c r="AP10" s="42">
        <f t="shared" si="4"/>
        <v>12</v>
      </c>
    </row>
    <row r="11" spans="2:42" ht="18.75" x14ac:dyDescent="0.25">
      <c r="B11" s="37">
        <v>7</v>
      </c>
      <c r="C11" s="256" t="s">
        <v>129</v>
      </c>
      <c r="D11" s="257"/>
      <c r="F11" s="62" t="s">
        <v>257</v>
      </c>
      <c r="G11" s="51" t="s">
        <v>257</v>
      </c>
      <c r="H11" s="27" t="s">
        <v>229</v>
      </c>
      <c r="I11" s="23" t="s">
        <v>229</v>
      </c>
      <c r="J11" s="51" t="s">
        <v>230</v>
      </c>
      <c r="K11" s="51" t="s">
        <v>254</v>
      </c>
      <c r="L11" s="51" t="s">
        <v>254</v>
      </c>
      <c r="M11" s="51" t="s">
        <v>257</v>
      </c>
      <c r="N11" s="51" t="s">
        <v>257</v>
      </c>
      <c r="O11" s="51" t="s">
        <v>257</v>
      </c>
      <c r="P11" s="27" t="s">
        <v>229</v>
      </c>
      <c r="Q11" s="51" t="s">
        <v>230</v>
      </c>
      <c r="R11" s="51" t="s">
        <v>256</v>
      </c>
      <c r="S11" s="51" t="s">
        <v>254</v>
      </c>
      <c r="T11" s="51" t="s">
        <v>254</v>
      </c>
      <c r="U11" s="51" t="s">
        <v>257</v>
      </c>
      <c r="V11" s="51" t="s">
        <v>257</v>
      </c>
      <c r="W11" s="51" t="s">
        <v>257</v>
      </c>
      <c r="X11" s="27" t="s">
        <v>229</v>
      </c>
      <c r="Y11" s="23" t="s">
        <v>229</v>
      </c>
      <c r="Z11" s="51" t="s">
        <v>230</v>
      </c>
      <c r="AA11" s="51" t="s">
        <v>256</v>
      </c>
      <c r="AB11" s="51" t="s">
        <v>254</v>
      </c>
      <c r="AC11" s="51" t="s">
        <v>257</v>
      </c>
      <c r="AD11" s="51" t="s">
        <v>257</v>
      </c>
      <c r="AE11" s="51" t="s">
        <v>257</v>
      </c>
      <c r="AF11" s="27" t="s">
        <v>229</v>
      </c>
      <c r="AG11" s="23" t="s">
        <v>229</v>
      </c>
      <c r="AH11" s="51" t="s">
        <v>230</v>
      </c>
      <c r="AI11" s="51" t="s">
        <v>254</v>
      </c>
      <c r="AJ11" s="63"/>
      <c r="AL11" s="42">
        <f t="shared" si="0"/>
        <v>2</v>
      </c>
      <c r="AM11" s="42">
        <f t="shared" si="1"/>
        <v>7</v>
      </c>
      <c r="AN11" s="42">
        <f t="shared" si="2"/>
        <v>4</v>
      </c>
      <c r="AO11" s="42">
        <f t="shared" si="3"/>
        <v>6</v>
      </c>
      <c r="AP11" s="42">
        <f t="shared" si="4"/>
        <v>11</v>
      </c>
    </row>
    <row r="12" spans="2:42" ht="18.75" x14ac:dyDescent="0.25">
      <c r="B12" s="37">
        <v>8</v>
      </c>
      <c r="C12" s="256" t="s">
        <v>137</v>
      </c>
      <c r="D12" s="257"/>
      <c r="F12" s="62" t="s">
        <v>257</v>
      </c>
      <c r="G12" s="51" t="s">
        <v>253</v>
      </c>
      <c r="H12" s="27" t="s">
        <v>229</v>
      </c>
      <c r="I12" s="51" t="s">
        <v>230</v>
      </c>
      <c r="J12" s="51" t="s">
        <v>256</v>
      </c>
      <c r="K12" s="51" t="s">
        <v>254</v>
      </c>
      <c r="L12" s="51" t="s">
        <v>257</v>
      </c>
      <c r="M12" s="51" t="s">
        <v>257</v>
      </c>
      <c r="N12" s="51" t="s">
        <v>257</v>
      </c>
      <c r="O12" s="51" t="s">
        <v>253</v>
      </c>
      <c r="P12" s="27" t="s">
        <v>229</v>
      </c>
      <c r="Q12" s="23" t="s">
        <v>229</v>
      </c>
      <c r="R12" s="51" t="s">
        <v>255</v>
      </c>
      <c r="S12" s="51" t="s">
        <v>254</v>
      </c>
      <c r="T12" s="51" t="s">
        <v>257</v>
      </c>
      <c r="U12" s="51" t="s">
        <v>257</v>
      </c>
      <c r="V12" s="51" t="s">
        <v>257</v>
      </c>
      <c r="W12" s="27" t="s">
        <v>229</v>
      </c>
      <c r="X12" s="23" t="s">
        <v>229</v>
      </c>
      <c r="Y12" s="51" t="s">
        <v>230</v>
      </c>
      <c r="Z12" s="51" t="s">
        <v>256</v>
      </c>
      <c r="AA12" s="51" t="s">
        <v>254</v>
      </c>
      <c r="AB12" s="51" t="s">
        <v>257</v>
      </c>
      <c r="AC12" s="51" t="s">
        <v>257</v>
      </c>
      <c r="AD12" s="51" t="s">
        <v>257</v>
      </c>
      <c r="AE12" s="51" t="s">
        <v>253</v>
      </c>
      <c r="AF12" s="27" t="s">
        <v>229</v>
      </c>
      <c r="AG12" s="51" t="s">
        <v>230</v>
      </c>
      <c r="AH12" s="51" t="s">
        <v>256</v>
      </c>
      <c r="AI12" s="51" t="s">
        <v>254</v>
      </c>
      <c r="AJ12" s="63"/>
      <c r="AL12" s="42">
        <f t="shared" si="0"/>
        <v>7</v>
      </c>
      <c r="AM12" s="42">
        <f t="shared" si="1"/>
        <v>6</v>
      </c>
      <c r="AN12" s="42">
        <f t="shared" si="2"/>
        <v>3</v>
      </c>
      <c r="AO12" s="42">
        <f t="shared" si="3"/>
        <v>4</v>
      </c>
      <c r="AP12" s="42">
        <f t="shared" si="4"/>
        <v>10</v>
      </c>
    </row>
    <row r="13" spans="2:42" ht="18.75" x14ac:dyDescent="0.25">
      <c r="B13" s="37">
        <v>9</v>
      </c>
      <c r="C13" s="256" t="s">
        <v>127</v>
      </c>
      <c r="D13" s="257"/>
      <c r="F13" s="107" t="s">
        <v>229</v>
      </c>
      <c r="G13" s="27" t="s">
        <v>229</v>
      </c>
      <c r="H13" s="51" t="s">
        <v>255</v>
      </c>
      <c r="I13" s="51" t="s">
        <v>230</v>
      </c>
      <c r="J13" s="51" t="s">
        <v>256</v>
      </c>
      <c r="K13" s="51" t="s">
        <v>257</v>
      </c>
      <c r="L13" s="51" t="s">
        <v>257</v>
      </c>
      <c r="M13" s="51" t="s">
        <v>257</v>
      </c>
      <c r="N13" s="27" t="s">
        <v>229</v>
      </c>
      <c r="O13" s="23" t="s">
        <v>229</v>
      </c>
      <c r="P13" s="51" t="s">
        <v>255</v>
      </c>
      <c r="Q13" s="51" t="s">
        <v>230</v>
      </c>
      <c r="R13" s="51" t="s">
        <v>254</v>
      </c>
      <c r="S13" s="51" t="s">
        <v>257</v>
      </c>
      <c r="T13" s="51" t="s">
        <v>257</v>
      </c>
      <c r="U13" s="51" t="s">
        <v>257</v>
      </c>
      <c r="V13" s="27" t="s">
        <v>229</v>
      </c>
      <c r="W13" s="23" t="s">
        <v>229</v>
      </c>
      <c r="X13" s="51" t="s">
        <v>255</v>
      </c>
      <c r="Y13" s="51" t="s">
        <v>256</v>
      </c>
      <c r="Z13" s="51" t="s">
        <v>254</v>
      </c>
      <c r="AA13" s="51" t="s">
        <v>257</v>
      </c>
      <c r="AB13" s="51" t="s">
        <v>257</v>
      </c>
      <c r="AC13" s="51" t="s">
        <v>257</v>
      </c>
      <c r="AD13" s="27" t="s">
        <v>229</v>
      </c>
      <c r="AE13" s="23" t="s">
        <v>229</v>
      </c>
      <c r="AF13" s="51" t="s">
        <v>255</v>
      </c>
      <c r="AG13" s="51" t="s">
        <v>256</v>
      </c>
      <c r="AH13" s="51" t="s">
        <v>254</v>
      </c>
      <c r="AI13" s="51" t="s">
        <v>257</v>
      </c>
      <c r="AJ13" s="63"/>
      <c r="AL13" s="42">
        <f t="shared" si="0"/>
        <v>7</v>
      </c>
      <c r="AM13" s="42">
        <f t="shared" si="1"/>
        <v>8</v>
      </c>
      <c r="AN13" s="42">
        <f t="shared" si="2"/>
        <v>2</v>
      </c>
      <c r="AO13" s="42">
        <f t="shared" si="3"/>
        <v>3</v>
      </c>
      <c r="AP13" s="42">
        <f t="shared" si="4"/>
        <v>10</v>
      </c>
    </row>
    <row r="14" spans="2:42" ht="18.75" x14ac:dyDescent="0.25">
      <c r="B14" s="37">
        <v>10</v>
      </c>
      <c r="C14" s="256" t="s">
        <v>139</v>
      </c>
      <c r="D14" s="257"/>
      <c r="F14" s="62" t="s">
        <v>257</v>
      </c>
      <c r="G14" s="51" t="s">
        <v>255</v>
      </c>
      <c r="H14" s="51" t="s">
        <v>230</v>
      </c>
      <c r="I14" s="51" t="s">
        <v>254</v>
      </c>
      <c r="J14" s="51" t="s">
        <v>257</v>
      </c>
      <c r="K14" s="51" t="s">
        <v>257</v>
      </c>
      <c r="L14" s="51" t="s">
        <v>257</v>
      </c>
      <c r="M14" s="27" t="s">
        <v>229</v>
      </c>
      <c r="N14" s="23" t="s">
        <v>229</v>
      </c>
      <c r="O14" s="51" t="s">
        <v>255</v>
      </c>
      <c r="P14" s="51" t="s">
        <v>230</v>
      </c>
      <c r="Q14" s="51" t="s">
        <v>254</v>
      </c>
      <c r="R14" s="51" t="s">
        <v>257</v>
      </c>
      <c r="S14" s="51" t="s">
        <v>257</v>
      </c>
      <c r="T14" s="51" t="s">
        <v>257</v>
      </c>
      <c r="U14" s="27" t="s">
        <v>229</v>
      </c>
      <c r="V14" s="23" t="s">
        <v>229</v>
      </c>
      <c r="W14" s="51" t="s">
        <v>255</v>
      </c>
      <c r="X14" s="51" t="s">
        <v>230</v>
      </c>
      <c r="Y14" s="51" t="s">
        <v>254</v>
      </c>
      <c r="Z14" s="51" t="s">
        <v>257</v>
      </c>
      <c r="AA14" s="51" t="s">
        <v>257</v>
      </c>
      <c r="AB14" s="51" t="s">
        <v>257</v>
      </c>
      <c r="AC14" s="27" t="s">
        <v>229</v>
      </c>
      <c r="AD14" s="23" t="s">
        <v>229</v>
      </c>
      <c r="AE14" s="51" t="s">
        <v>255</v>
      </c>
      <c r="AF14" s="51" t="s">
        <v>230</v>
      </c>
      <c r="AG14" s="51" t="s">
        <v>254</v>
      </c>
      <c r="AH14" s="51" t="s">
        <v>257</v>
      </c>
      <c r="AI14" s="51" t="s">
        <v>257</v>
      </c>
      <c r="AJ14" s="63"/>
      <c r="AL14" s="42">
        <f t="shared" si="0"/>
        <v>4</v>
      </c>
      <c r="AM14" s="42">
        <f t="shared" si="1"/>
        <v>6</v>
      </c>
      <c r="AN14" s="42">
        <f t="shared" si="2"/>
        <v>4</v>
      </c>
      <c r="AO14" s="42">
        <f t="shared" si="3"/>
        <v>4</v>
      </c>
      <c r="AP14" s="42">
        <f t="shared" si="4"/>
        <v>12</v>
      </c>
    </row>
    <row r="15" spans="2:42" ht="18.75" x14ac:dyDescent="0.25">
      <c r="B15" s="37">
        <v>11</v>
      </c>
      <c r="C15" s="256" t="s">
        <v>134</v>
      </c>
      <c r="D15" s="257"/>
      <c r="F15" s="62" t="s">
        <v>23</v>
      </c>
      <c r="G15" s="51" t="s">
        <v>230</v>
      </c>
      <c r="H15" s="51" t="s">
        <v>254</v>
      </c>
      <c r="I15" s="51" t="s">
        <v>257</v>
      </c>
      <c r="J15" s="51" t="s">
        <v>257</v>
      </c>
      <c r="K15" s="51" t="s">
        <v>257</v>
      </c>
      <c r="L15" s="27" t="s">
        <v>229</v>
      </c>
      <c r="M15" s="23" t="s">
        <v>229</v>
      </c>
      <c r="N15" s="51" t="s">
        <v>230</v>
      </c>
      <c r="O15" s="51" t="s">
        <v>230</v>
      </c>
      <c r="P15" s="51" t="s">
        <v>254</v>
      </c>
      <c r="Q15" s="51" t="s">
        <v>257</v>
      </c>
      <c r="R15" s="51" t="s">
        <v>257</v>
      </c>
      <c r="S15" s="51" t="s">
        <v>257</v>
      </c>
      <c r="T15" s="27" t="s">
        <v>229</v>
      </c>
      <c r="U15" s="23" t="s">
        <v>229</v>
      </c>
      <c r="V15" s="51" t="s">
        <v>230</v>
      </c>
      <c r="W15" s="51" t="s">
        <v>230</v>
      </c>
      <c r="X15" s="51" t="s">
        <v>254</v>
      </c>
      <c r="Y15" s="51" t="s">
        <v>257</v>
      </c>
      <c r="Z15" s="51" t="s">
        <v>257</v>
      </c>
      <c r="AA15" s="51" t="s">
        <v>257</v>
      </c>
      <c r="AB15" s="27" t="s">
        <v>229</v>
      </c>
      <c r="AC15" s="23" t="s">
        <v>229</v>
      </c>
      <c r="AD15" s="51" t="s">
        <v>230</v>
      </c>
      <c r="AE15" s="51" t="s">
        <v>230</v>
      </c>
      <c r="AF15" s="51" t="s">
        <v>254</v>
      </c>
      <c r="AG15" s="51" t="s">
        <v>257</v>
      </c>
      <c r="AH15" s="51" t="s">
        <v>257</v>
      </c>
      <c r="AI15" s="51" t="s">
        <v>257</v>
      </c>
      <c r="AJ15" s="63"/>
      <c r="AL15" s="42">
        <f t="shared" si="0"/>
        <v>0</v>
      </c>
      <c r="AM15" s="42">
        <f t="shared" si="1"/>
        <v>7</v>
      </c>
      <c r="AN15" s="42">
        <f t="shared" si="2"/>
        <v>7</v>
      </c>
      <c r="AO15" s="42">
        <f t="shared" si="3"/>
        <v>4</v>
      </c>
      <c r="AP15" s="42">
        <f t="shared" si="4"/>
        <v>12</v>
      </c>
    </row>
    <row r="16" spans="2:42" ht="18.75" x14ac:dyDescent="0.25">
      <c r="B16" s="37">
        <v>12</v>
      </c>
      <c r="C16" s="256" t="s">
        <v>136</v>
      </c>
      <c r="D16" s="257"/>
      <c r="F16" s="62" t="s">
        <v>254</v>
      </c>
      <c r="G16" s="51" t="s">
        <v>254</v>
      </c>
      <c r="H16" s="51" t="s">
        <v>257</v>
      </c>
      <c r="I16" s="51" t="s">
        <v>257</v>
      </c>
      <c r="J16" s="51" t="s">
        <v>257</v>
      </c>
      <c r="K16" s="27" t="s">
        <v>229</v>
      </c>
      <c r="L16" s="23" t="s">
        <v>229</v>
      </c>
      <c r="M16" s="51" t="s">
        <v>230</v>
      </c>
      <c r="N16" s="51" t="s">
        <v>256</v>
      </c>
      <c r="O16" s="51" t="s">
        <v>254</v>
      </c>
      <c r="P16" s="51" t="s">
        <v>257</v>
      </c>
      <c r="Q16" s="51" t="s">
        <v>257</v>
      </c>
      <c r="R16" s="51" t="s">
        <v>257</v>
      </c>
      <c r="S16" s="27" t="s">
        <v>229</v>
      </c>
      <c r="T16" s="23" t="s">
        <v>229</v>
      </c>
      <c r="U16" s="51" t="s">
        <v>230</v>
      </c>
      <c r="V16" s="51" t="s">
        <v>254</v>
      </c>
      <c r="W16" s="51" t="s">
        <v>254</v>
      </c>
      <c r="X16" s="51" t="s">
        <v>257</v>
      </c>
      <c r="Y16" s="51" t="s">
        <v>257</v>
      </c>
      <c r="Z16" s="51" t="s">
        <v>257</v>
      </c>
      <c r="AA16" s="27" t="s">
        <v>229</v>
      </c>
      <c r="AB16" s="23" t="s">
        <v>229</v>
      </c>
      <c r="AC16" s="51" t="s">
        <v>230</v>
      </c>
      <c r="AD16" s="51" t="s">
        <v>254</v>
      </c>
      <c r="AE16" s="51" t="s">
        <v>254</v>
      </c>
      <c r="AF16" s="51" t="s">
        <v>257</v>
      </c>
      <c r="AG16" s="51" t="s">
        <v>257</v>
      </c>
      <c r="AH16" s="51" t="s">
        <v>257</v>
      </c>
      <c r="AI16" s="27" t="s">
        <v>229</v>
      </c>
      <c r="AJ16" s="63"/>
      <c r="AL16" s="42">
        <f t="shared" si="0"/>
        <v>1</v>
      </c>
      <c r="AM16" s="42">
        <f t="shared" si="1"/>
        <v>7</v>
      </c>
      <c r="AN16" s="42">
        <f t="shared" si="2"/>
        <v>3</v>
      </c>
      <c r="AO16" s="42">
        <f t="shared" si="3"/>
        <v>7</v>
      </c>
      <c r="AP16" s="42">
        <f t="shared" si="4"/>
        <v>12</v>
      </c>
    </row>
    <row r="17" spans="2:42" ht="18.75" x14ac:dyDescent="0.25">
      <c r="B17" s="37">
        <v>13</v>
      </c>
      <c r="C17" s="256" t="s">
        <v>141</v>
      </c>
      <c r="D17" s="257"/>
      <c r="F17" s="62" t="s">
        <v>257</v>
      </c>
      <c r="G17" s="51" t="s">
        <v>257</v>
      </c>
      <c r="H17" s="51" t="s">
        <v>257</v>
      </c>
      <c r="I17" s="51" t="s">
        <v>30</v>
      </c>
      <c r="J17" s="27" t="s">
        <v>229</v>
      </c>
      <c r="K17" s="23" t="s">
        <v>229</v>
      </c>
      <c r="L17" s="51" t="s">
        <v>230</v>
      </c>
      <c r="M17" s="51" t="s">
        <v>256</v>
      </c>
      <c r="N17" s="51" t="s">
        <v>254</v>
      </c>
      <c r="O17" s="51" t="s">
        <v>257</v>
      </c>
      <c r="P17" s="51" t="s">
        <v>257</v>
      </c>
      <c r="Q17" s="51" t="s">
        <v>257</v>
      </c>
      <c r="R17" s="27" t="s">
        <v>229</v>
      </c>
      <c r="S17" s="23" t="s">
        <v>229</v>
      </c>
      <c r="T17" s="51" t="s">
        <v>230</v>
      </c>
      <c r="U17" s="51" t="s">
        <v>256</v>
      </c>
      <c r="V17" s="51" t="s">
        <v>254</v>
      </c>
      <c r="W17" s="51" t="s">
        <v>257</v>
      </c>
      <c r="X17" s="51" t="s">
        <v>257</v>
      </c>
      <c r="Y17" s="51" t="s">
        <v>257</v>
      </c>
      <c r="Z17" s="27" t="s">
        <v>229</v>
      </c>
      <c r="AA17" s="23" t="s">
        <v>229</v>
      </c>
      <c r="AB17" s="51" t="s">
        <v>230</v>
      </c>
      <c r="AC17" s="51" t="s">
        <v>254</v>
      </c>
      <c r="AD17" s="51" t="s">
        <v>254</v>
      </c>
      <c r="AE17" s="51" t="s">
        <v>257</v>
      </c>
      <c r="AF17" s="51" t="s">
        <v>257</v>
      </c>
      <c r="AG17" s="51" t="s">
        <v>257</v>
      </c>
      <c r="AH17" s="27" t="s">
        <v>229</v>
      </c>
      <c r="AI17" s="23" t="s">
        <v>229</v>
      </c>
      <c r="AJ17" s="63"/>
      <c r="AL17" s="42">
        <f t="shared" si="0"/>
        <v>2</v>
      </c>
      <c r="AM17" s="42">
        <f t="shared" si="1"/>
        <v>8</v>
      </c>
      <c r="AN17" s="42">
        <f t="shared" si="2"/>
        <v>3</v>
      </c>
      <c r="AO17" s="42">
        <f t="shared" si="3"/>
        <v>4</v>
      </c>
      <c r="AP17" s="42">
        <f t="shared" si="4"/>
        <v>13</v>
      </c>
    </row>
    <row r="18" spans="2:42" ht="18.75" x14ac:dyDescent="0.25">
      <c r="B18" s="37">
        <v>14</v>
      </c>
      <c r="C18" s="256" t="s">
        <v>132</v>
      </c>
      <c r="D18" s="257"/>
      <c r="F18" s="62" t="s">
        <v>257</v>
      </c>
      <c r="G18" s="51" t="s">
        <v>257</v>
      </c>
      <c r="H18" s="51" t="s">
        <v>257</v>
      </c>
      <c r="I18" s="27" t="s">
        <v>229</v>
      </c>
      <c r="J18" s="23" t="s">
        <v>229</v>
      </c>
      <c r="K18" s="51" t="s">
        <v>230</v>
      </c>
      <c r="L18" s="51" t="s">
        <v>256</v>
      </c>
      <c r="M18" s="51" t="s">
        <v>254</v>
      </c>
      <c r="N18" s="51" t="s">
        <v>257</v>
      </c>
      <c r="O18" s="51" t="s">
        <v>257</v>
      </c>
      <c r="P18" s="51" t="s">
        <v>257</v>
      </c>
      <c r="Q18" s="27" t="s">
        <v>229</v>
      </c>
      <c r="R18" s="23" t="s">
        <v>229</v>
      </c>
      <c r="S18" s="51" t="s">
        <v>230</v>
      </c>
      <c r="T18" s="51" t="s">
        <v>256</v>
      </c>
      <c r="U18" s="51" t="s">
        <v>254</v>
      </c>
      <c r="V18" s="51" t="s">
        <v>257</v>
      </c>
      <c r="W18" s="51" t="s">
        <v>257</v>
      </c>
      <c r="X18" s="51" t="s">
        <v>257</v>
      </c>
      <c r="Y18" s="27" t="s">
        <v>229</v>
      </c>
      <c r="Z18" s="23" t="s">
        <v>229</v>
      </c>
      <c r="AA18" s="51" t="s">
        <v>230</v>
      </c>
      <c r="AB18" s="51" t="s">
        <v>254</v>
      </c>
      <c r="AC18" s="51" t="s">
        <v>254</v>
      </c>
      <c r="AD18" s="51" t="s">
        <v>257</v>
      </c>
      <c r="AE18" s="51" t="s">
        <v>257</v>
      </c>
      <c r="AF18" s="51" t="s">
        <v>257</v>
      </c>
      <c r="AG18" s="27" t="s">
        <v>229</v>
      </c>
      <c r="AH18" s="23" t="s">
        <v>229</v>
      </c>
      <c r="AI18" s="51" t="s">
        <v>230</v>
      </c>
      <c r="AJ18" s="63"/>
      <c r="AL18" s="42">
        <f t="shared" si="0"/>
        <v>2</v>
      </c>
      <c r="AM18" s="42">
        <f t="shared" si="1"/>
        <v>8</v>
      </c>
      <c r="AN18" s="42">
        <f t="shared" si="2"/>
        <v>4</v>
      </c>
      <c r="AO18" s="42">
        <f t="shared" si="3"/>
        <v>4</v>
      </c>
      <c r="AP18" s="42">
        <f t="shared" si="4"/>
        <v>12</v>
      </c>
    </row>
    <row r="19" spans="2:42" ht="18.75" x14ac:dyDescent="0.25">
      <c r="B19" s="37">
        <v>15</v>
      </c>
      <c r="C19" s="256" t="s">
        <v>130</v>
      </c>
      <c r="D19" s="257"/>
      <c r="F19" s="62" t="s">
        <v>257</v>
      </c>
      <c r="G19" s="51" t="s">
        <v>257</v>
      </c>
      <c r="H19" s="27" t="s">
        <v>229</v>
      </c>
      <c r="I19" s="23" t="s">
        <v>229</v>
      </c>
      <c r="J19" s="51" t="s">
        <v>230</v>
      </c>
      <c r="K19" s="51" t="s">
        <v>256</v>
      </c>
      <c r="L19" s="51" t="s">
        <v>254</v>
      </c>
      <c r="M19" s="51" t="s">
        <v>257</v>
      </c>
      <c r="N19" s="51" t="s">
        <v>257</v>
      </c>
      <c r="O19" s="51" t="s">
        <v>257</v>
      </c>
      <c r="P19" s="27" t="s">
        <v>229</v>
      </c>
      <c r="Q19" s="23" t="s">
        <v>229</v>
      </c>
      <c r="R19" s="51" t="s">
        <v>230</v>
      </c>
      <c r="S19" s="51" t="s">
        <v>256</v>
      </c>
      <c r="T19" s="51" t="s">
        <v>254</v>
      </c>
      <c r="U19" s="51" t="s">
        <v>257</v>
      </c>
      <c r="V19" s="51" t="s">
        <v>257</v>
      </c>
      <c r="W19" s="51" t="s">
        <v>257</v>
      </c>
      <c r="X19" s="27" t="s">
        <v>229</v>
      </c>
      <c r="Y19" s="23" t="s">
        <v>229</v>
      </c>
      <c r="Z19" s="51" t="s">
        <v>230</v>
      </c>
      <c r="AA19" s="51" t="s">
        <v>254</v>
      </c>
      <c r="AB19" s="51" t="s">
        <v>254</v>
      </c>
      <c r="AC19" s="51" t="s">
        <v>257</v>
      </c>
      <c r="AD19" s="51" t="s">
        <v>257</v>
      </c>
      <c r="AE19" s="51" t="s">
        <v>257</v>
      </c>
      <c r="AF19" s="27" t="s">
        <v>229</v>
      </c>
      <c r="AG19" s="23" t="s">
        <v>229</v>
      </c>
      <c r="AH19" s="51" t="s">
        <v>230</v>
      </c>
      <c r="AI19" s="102" t="s">
        <v>256</v>
      </c>
      <c r="AJ19" s="63"/>
      <c r="AL19" s="50"/>
      <c r="AM19" s="50"/>
      <c r="AN19" s="50"/>
      <c r="AO19" s="50"/>
      <c r="AP19" s="50"/>
    </row>
    <row r="20" spans="2:42" ht="18.75" x14ac:dyDescent="0.25">
      <c r="B20" s="37">
        <v>16</v>
      </c>
      <c r="C20" s="256" t="s">
        <v>138</v>
      </c>
      <c r="D20" s="257"/>
      <c r="F20" s="62" t="s">
        <v>257</v>
      </c>
      <c r="G20" s="27" t="s">
        <v>229</v>
      </c>
      <c r="H20" s="23" t="s">
        <v>229</v>
      </c>
      <c r="I20" s="51" t="s">
        <v>255</v>
      </c>
      <c r="J20" s="51" t="s">
        <v>254</v>
      </c>
      <c r="K20" s="51" t="s">
        <v>254</v>
      </c>
      <c r="L20" s="51" t="s">
        <v>257</v>
      </c>
      <c r="M20" s="51" t="s">
        <v>257</v>
      </c>
      <c r="N20" s="51" t="s">
        <v>257</v>
      </c>
      <c r="O20" s="27" t="s">
        <v>229</v>
      </c>
      <c r="P20" s="23" t="s">
        <v>229</v>
      </c>
      <c r="Q20" s="51" t="s">
        <v>255</v>
      </c>
      <c r="R20" s="51" t="s">
        <v>230</v>
      </c>
      <c r="S20" s="51" t="s">
        <v>254</v>
      </c>
      <c r="T20" s="51" t="s">
        <v>257</v>
      </c>
      <c r="U20" s="51" t="s">
        <v>257</v>
      </c>
      <c r="V20" s="51" t="s">
        <v>257</v>
      </c>
      <c r="W20" s="27" t="s">
        <v>229</v>
      </c>
      <c r="X20" s="23" t="s">
        <v>229</v>
      </c>
      <c r="Y20" s="51" t="s">
        <v>230</v>
      </c>
      <c r="Z20" s="51" t="s">
        <v>256</v>
      </c>
      <c r="AA20" s="51" t="s">
        <v>254</v>
      </c>
      <c r="AB20" s="51" t="s">
        <v>257</v>
      </c>
      <c r="AC20" s="51" t="s">
        <v>257</v>
      </c>
      <c r="AD20" s="51" t="s">
        <v>257</v>
      </c>
      <c r="AE20" s="27" t="s">
        <v>229</v>
      </c>
      <c r="AF20" s="23" t="s">
        <v>229</v>
      </c>
      <c r="AG20" s="51" t="s">
        <v>230</v>
      </c>
      <c r="AH20" s="51" t="s">
        <v>256</v>
      </c>
      <c r="AI20" s="51" t="s">
        <v>254</v>
      </c>
      <c r="AJ20" s="63"/>
      <c r="AL20" s="50"/>
      <c r="AM20" s="50"/>
      <c r="AN20" s="50"/>
      <c r="AO20" s="50"/>
      <c r="AP20" s="50"/>
    </row>
    <row r="21" spans="2:42" ht="19.5" thickBot="1" x14ac:dyDescent="0.3">
      <c r="B21" s="37">
        <v>17</v>
      </c>
      <c r="C21" s="256" t="s">
        <v>135</v>
      </c>
      <c r="D21" s="257"/>
      <c r="F21" s="112" t="s">
        <v>229</v>
      </c>
      <c r="G21" s="109" t="s">
        <v>229</v>
      </c>
      <c r="H21" s="64" t="s">
        <v>230</v>
      </c>
      <c r="I21" s="64" t="s">
        <v>254</v>
      </c>
      <c r="J21" s="64" t="s">
        <v>254</v>
      </c>
      <c r="K21" s="64" t="s">
        <v>257</v>
      </c>
      <c r="L21" s="64" t="s">
        <v>257</v>
      </c>
      <c r="M21" s="64" t="s">
        <v>257</v>
      </c>
      <c r="N21" s="108" t="s">
        <v>229</v>
      </c>
      <c r="O21" s="109" t="s">
        <v>229</v>
      </c>
      <c r="P21" s="64" t="s">
        <v>255</v>
      </c>
      <c r="Q21" s="64" t="s">
        <v>254</v>
      </c>
      <c r="R21" s="64" t="s">
        <v>254</v>
      </c>
      <c r="S21" s="64" t="s">
        <v>257</v>
      </c>
      <c r="T21" s="64" t="s">
        <v>257</v>
      </c>
      <c r="U21" s="64" t="s">
        <v>257</v>
      </c>
      <c r="V21" s="108" t="s">
        <v>229</v>
      </c>
      <c r="W21" s="109" t="s">
        <v>229</v>
      </c>
      <c r="X21" s="64" t="s">
        <v>255</v>
      </c>
      <c r="Y21" s="64" t="s">
        <v>256</v>
      </c>
      <c r="Z21" s="64" t="s">
        <v>254</v>
      </c>
      <c r="AA21" s="64" t="s">
        <v>257</v>
      </c>
      <c r="AB21" s="64" t="s">
        <v>257</v>
      </c>
      <c r="AC21" s="64" t="s">
        <v>257</v>
      </c>
      <c r="AD21" s="108" t="s">
        <v>229</v>
      </c>
      <c r="AE21" s="109" t="s">
        <v>229</v>
      </c>
      <c r="AF21" s="64" t="s">
        <v>255</v>
      </c>
      <c r="AG21" s="64" t="s">
        <v>254</v>
      </c>
      <c r="AH21" s="64" t="s">
        <v>254</v>
      </c>
      <c r="AI21" s="64" t="s">
        <v>257</v>
      </c>
      <c r="AJ21" s="65"/>
      <c r="AL21" s="50"/>
      <c r="AM21" s="50"/>
      <c r="AN21" s="50"/>
      <c r="AO21" s="50"/>
      <c r="AP21" s="50"/>
    </row>
    <row r="22" spans="2:42" x14ac:dyDescent="0.25">
      <c r="F22" s="20" t="s">
        <v>94</v>
      </c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</row>
    <row r="23" spans="2:42" ht="18.75" x14ac:dyDescent="0.3">
      <c r="C23" s="177" t="s">
        <v>91</v>
      </c>
      <c r="D23" s="178"/>
      <c r="E23" s="36"/>
      <c r="F23" s="37">
        <f t="shared" ref="F23:AJ23" si="5">COUNTIF(F$5:F$21,"M*")</f>
        <v>4</v>
      </c>
      <c r="G23" s="37">
        <f t="shared" si="5"/>
        <v>4</v>
      </c>
      <c r="H23" s="37">
        <f t="shared" si="5"/>
        <v>4</v>
      </c>
      <c r="I23" s="37">
        <f t="shared" si="5"/>
        <v>4</v>
      </c>
      <c r="J23" s="37">
        <f t="shared" si="5"/>
        <v>4</v>
      </c>
      <c r="K23" s="37">
        <f t="shared" si="5"/>
        <v>4</v>
      </c>
      <c r="L23" s="37">
        <f t="shared" si="5"/>
        <v>4</v>
      </c>
      <c r="M23" s="37">
        <f t="shared" si="5"/>
        <v>4</v>
      </c>
      <c r="N23" s="37">
        <f t="shared" si="5"/>
        <v>4</v>
      </c>
      <c r="O23" s="37">
        <f t="shared" si="5"/>
        <v>4</v>
      </c>
      <c r="P23" s="37">
        <f t="shared" si="5"/>
        <v>4</v>
      </c>
      <c r="Q23" s="37">
        <f t="shared" si="5"/>
        <v>4</v>
      </c>
      <c r="R23" s="37">
        <f t="shared" si="5"/>
        <v>4</v>
      </c>
      <c r="S23" s="37">
        <f t="shared" si="5"/>
        <v>4</v>
      </c>
      <c r="T23" s="37">
        <f t="shared" si="5"/>
        <v>4</v>
      </c>
      <c r="U23" s="37">
        <f t="shared" si="5"/>
        <v>4</v>
      </c>
      <c r="V23" s="37">
        <f t="shared" si="5"/>
        <v>4</v>
      </c>
      <c r="W23" s="37">
        <f t="shared" si="5"/>
        <v>4</v>
      </c>
      <c r="X23" s="37">
        <f t="shared" si="5"/>
        <v>4</v>
      </c>
      <c r="Y23" s="37">
        <f t="shared" si="5"/>
        <v>4</v>
      </c>
      <c r="Z23" s="37">
        <f t="shared" si="5"/>
        <v>4</v>
      </c>
      <c r="AA23" s="37">
        <f t="shared" si="5"/>
        <v>4</v>
      </c>
      <c r="AB23" s="37">
        <f t="shared" si="5"/>
        <v>4</v>
      </c>
      <c r="AC23" s="37">
        <f t="shared" si="5"/>
        <v>4</v>
      </c>
      <c r="AD23" s="37">
        <f t="shared" si="5"/>
        <v>4</v>
      </c>
      <c r="AE23" s="37">
        <f t="shared" si="5"/>
        <v>4</v>
      </c>
      <c r="AF23" s="37">
        <f t="shared" si="5"/>
        <v>4</v>
      </c>
      <c r="AG23" s="37">
        <f t="shared" si="5"/>
        <v>4</v>
      </c>
      <c r="AH23" s="37">
        <f t="shared" si="5"/>
        <v>4</v>
      </c>
      <c r="AI23" s="37">
        <f t="shared" si="5"/>
        <v>4</v>
      </c>
      <c r="AJ23" s="37">
        <f t="shared" si="5"/>
        <v>0</v>
      </c>
    </row>
    <row r="24" spans="2:42" ht="18.75" x14ac:dyDescent="0.3">
      <c r="C24" s="177" t="s">
        <v>92</v>
      </c>
      <c r="D24" s="178"/>
      <c r="E24" s="36"/>
      <c r="F24" s="37">
        <f t="shared" ref="F24:AI24" si="6">COUNTIF(F$5:F$21,"A*")</f>
        <v>2</v>
      </c>
      <c r="G24" s="37">
        <f t="shared" si="6"/>
        <v>2</v>
      </c>
      <c r="H24" s="37">
        <f t="shared" si="6"/>
        <v>2</v>
      </c>
      <c r="I24" s="37">
        <f t="shared" si="6"/>
        <v>2</v>
      </c>
      <c r="J24" s="37">
        <f t="shared" si="6"/>
        <v>2</v>
      </c>
      <c r="K24" s="37">
        <f t="shared" si="6"/>
        <v>2</v>
      </c>
      <c r="L24" s="37">
        <f t="shared" si="6"/>
        <v>2</v>
      </c>
      <c r="M24" s="37">
        <f t="shared" si="6"/>
        <v>2</v>
      </c>
      <c r="N24" s="37">
        <f t="shared" si="6"/>
        <v>2</v>
      </c>
      <c r="O24" s="37">
        <f t="shared" si="6"/>
        <v>2</v>
      </c>
      <c r="P24" s="37">
        <f t="shared" si="6"/>
        <v>2</v>
      </c>
      <c r="Q24" s="37">
        <f t="shared" si="6"/>
        <v>2</v>
      </c>
      <c r="R24" s="37">
        <f t="shared" si="6"/>
        <v>2</v>
      </c>
      <c r="S24" s="37">
        <f t="shared" si="6"/>
        <v>2</v>
      </c>
      <c r="T24" s="37">
        <f t="shared" si="6"/>
        <v>2</v>
      </c>
      <c r="U24" s="37">
        <f t="shared" si="6"/>
        <v>2</v>
      </c>
      <c r="V24" s="37">
        <f t="shared" si="6"/>
        <v>2</v>
      </c>
      <c r="W24" s="37">
        <f t="shared" si="6"/>
        <v>2</v>
      </c>
      <c r="X24" s="37">
        <f t="shared" si="6"/>
        <v>2</v>
      </c>
      <c r="Y24" s="37">
        <f t="shared" si="6"/>
        <v>2</v>
      </c>
      <c r="Z24" s="37">
        <f t="shared" si="6"/>
        <v>2</v>
      </c>
      <c r="AA24" s="37">
        <f t="shared" si="6"/>
        <v>2</v>
      </c>
      <c r="AB24" s="37">
        <f t="shared" si="6"/>
        <v>2</v>
      </c>
      <c r="AC24" s="37">
        <f t="shared" si="6"/>
        <v>2</v>
      </c>
      <c r="AD24" s="37">
        <f t="shared" si="6"/>
        <v>3</v>
      </c>
      <c r="AE24" s="37">
        <f t="shared" si="6"/>
        <v>2</v>
      </c>
      <c r="AF24" s="37">
        <f t="shared" si="6"/>
        <v>2</v>
      </c>
      <c r="AG24" s="37">
        <f t="shared" si="6"/>
        <v>2</v>
      </c>
      <c r="AH24" s="37">
        <f t="shared" si="6"/>
        <v>2</v>
      </c>
      <c r="AI24" s="37">
        <f t="shared" si="6"/>
        <v>2</v>
      </c>
      <c r="AJ24" s="37" t="s">
        <v>94</v>
      </c>
    </row>
    <row r="25" spans="2:42" ht="18.75" x14ac:dyDescent="0.3">
      <c r="C25" s="177" t="s">
        <v>72</v>
      </c>
      <c r="D25" s="178"/>
      <c r="E25" s="36"/>
      <c r="F25" s="37">
        <f t="shared" ref="F25:AI25" si="7">COUNTIF(F$5:F$21,"N*")</f>
        <v>2</v>
      </c>
      <c r="G25" s="37">
        <f t="shared" si="7"/>
        <v>3</v>
      </c>
      <c r="H25" s="37">
        <f t="shared" si="7"/>
        <v>3</v>
      </c>
      <c r="I25" s="37">
        <f t="shared" si="7"/>
        <v>3</v>
      </c>
      <c r="J25" s="37">
        <f t="shared" si="7"/>
        <v>3</v>
      </c>
      <c r="K25" s="37">
        <f t="shared" si="7"/>
        <v>3</v>
      </c>
      <c r="L25" s="37">
        <f t="shared" si="7"/>
        <v>3</v>
      </c>
      <c r="M25" s="37">
        <f t="shared" si="7"/>
        <v>3</v>
      </c>
      <c r="N25" s="37">
        <f t="shared" si="7"/>
        <v>3</v>
      </c>
      <c r="O25" s="37">
        <f t="shared" si="7"/>
        <v>3</v>
      </c>
      <c r="P25" s="37">
        <f t="shared" si="7"/>
        <v>3</v>
      </c>
      <c r="Q25" s="37">
        <f t="shared" si="7"/>
        <v>3</v>
      </c>
      <c r="R25" s="37">
        <f t="shared" si="7"/>
        <v>3</v>
      </c>
      <c r="S25" s="37">
        <f t="shared" si="7"/>
        <v>3</v>
      </c>
      <c r="T25" s="37">
        <f t="shared" si="7"/>
        <v>3</v>
      </c>
      <c r="U25" s="37">
        <f t="shared" si="7"/>
        <v>3</v>
      </c>
      <c r="V25" s="37">
        <f t="shared" si="7"/>
        <v>3</v>
      </c>
      <c r="W25" s="37">
        <f t="shared" si="7"/>
        <v>3</v>
      </c>
      <c r="X25" s="37">
        <f t="shared" si="7"/>
        <v>3</v>
      </c>
      <c r="Y25" s="37">
        <f t="shared" si="7"/>
        <v>3</v>
      </c>
      <c r="Z25" s="37">
        <f t="shared" si="7"/>
        <v>3</v>
      </c>
      <c r="AA25" s="37">
        <f t="shared" si="7"/>
        <v>3</v>
      </c>
      <c r="AB25" s="37">
        <f t="shared" si="7"/>
        <v>3</v>
      </c>
      <c r="AC25" s="37">
        <f t="shared" si="7"/>
        <v>3</v>
      </c>
      <c r="AD25" s="37">
        <f t="shared" si="7"/>
        <v>3</v>
      </c>
      <c r="AE25" s="37">
        <f t="shared" si="7"/>
        <v>3</v>
      </c>
      <c r="AF25" s="37">
        <f t="shared" si="7"/>
        <v>3</v>
      </c>
      <c r="AG25" s="37">
        <f t="shared" si="7"/>
        <v>3</v>
      </c>
      <c r="AH25" s="37">
        <f t="shared" si="7"/>
        <v>3</v>
      </c>
      <c r="AI25" s="37">
        <f t="shared" si="7"/>
        <v>3</v>
      </c>
      <c r="AJ25" s="37" t="s">
        <v>94</v>
      </c>
    </row>
    <row r="26" spans="2:42" ht="18.75" x14ac:dyDescent="0.3">
      <c r="C26" s="177" t="s">
        <v>73</v>
      </c>
      <c r="D26" s="178"/>
      <c r="E26" s="36"/>
      <c r="F26" s="37">
        <f t="shared" ref="F26:AI26" si="8">COUNTIF(F$5:F$21,"O*")</f>
        <v>9</v>
      </c>
      <c r="G26" s="37">
        <f t="shared" si="8"/>
        <v>6</v>
      </c>
      <c r="H26" s="37">
        <f t="shared" si="8"/>
        <v>6</v>
      </c>
      <c r="I26" s="37">
        <f t="shared" si="8"/>
        <v>6</v>
      </c>
      <c r="J26" s="37">
        <f t="shared" si="8"/>
        <v>6</v>
      </c>
      <c r="K26" s="37">
        <f t="shared" si="8"/>
        <v>7</v>
      </c>
      <c r="L26" s="37">
        <f t="shared" si="8"/>
        <v>7</v>
      </c>
      <c r="M26" s="37">
        <f t="shared" si="8"/>
        <v>7</v>
      </c>
      <c r="N26" s="37">
        <f t="shared" si="8"/>
        <v>6</v>
      </c>
      <c r="O26" s="37">
        <f t="shared" si="8"/>
        <v>6</v>
      </c>
      <c r="P26" s="37">
        <f t="shared" si="8"/>
        <v>6</v>
      </c>
      <c r="Q26" s="37">
        <f t="shared" si="8"/>
        <v>6</v>
      </c>
      <c r="R26" s="37">
        <f t="shared" si="8"/>
        <v>6</v>
      </c>
      <c r="S26" s="37">
        <f t="shared" si="8"/>
        <v>7</v>
      </c>
      <c r="T26" s="37">
        <f t="shared" si="8"/>
        <v>7</v>
      </c>
      <c r="U26" s="37">
        <f t="shared" si="8"/>
        <v>7</v>
      </c>
      <c r="V26" s="37">
        <f t="shared" si="8"/>
        <v>6</v>
      </c>
      <c r="W26" s="37">
        <f t="shared" si="8"/>
        <v>6</v>
      </c>
      <c r="X26" s="37">
        <f t="shared" si="8"/>
        <v>6</v>
      </c>
      <c r="Y26" s="37">
        <f t="shared" si="8"/>
        <v>6</v>
      </c>
      <c r="Z26" s="37">
        <f t="shared" si="8"/>
        <v>6</v>
      </c>
      <c r="AA26" s="37">
        <f t="shared" si="8"/>
        <v>7</v>
      </c>
      <c r="AB26" s="37">
        <f t="shared" si="8"/>
        <v>7</v>
      </c>
      <c r="AC26" s="37">
        <f t="shared" si="8"/>
        <v>7</v>
      </c>
      <c r="AD26" s="37">
        <f t="shared" si="8"/>
        <v>6</v>
      </c>
      <c r="AE26" s="37">
        <f t="shared" si="8"/>
        <v>6</v>
      </c>
      <c r="AF26" s="37">
        <f t="shared" si="8"/>
        <v>6</v>
      </c>
      <c r="AG26" s="37">
        <f t="shared" si="8"/>
        <v>6</v>
      </c>
      <c r="AH26" s="37">
        <f t="shared" si="8"/>
        <v>6</v>
      </c>
      <c r="AI26" s="37">
        <f t="shared" si="8"/>
        <v>7</v>
      </c>
      <c r="AJ26" s="37" t="s">
        <v>94</v>
      </c>
    </row>
    <row r="27" spans="2:42" ht="18.75" x14ac:dyDescent="0.3">
      <c r="C27" s="177" t="s">
        <v>106</v>
      </c>
      <c r="D27" s="178"/>
      <c r="E27" s="36"/>
      <c r="F27" s="37">
        <f t="shared" ref="F27:AI27" si="9">COUNTIF(F$5:F$21,"ST*")</f>
        <v>0</v>
      </c>
      <c r="G27" s="37">
        <f t="shared" si="9"/>
        <v>2</v>
      </c>
      <c r="H27" s="37">
        <f t="shared" si="9"/>
        <v>2</v>
      </c>
      <c r="I27" s="37">
        <f t="shared" si="9"/>
        <v>2</v>
      </c>
      <c r="J27" s="37">
        <f t="shared" si="9"/>
        <v>2</v>
      </c>
      <c r="K27" s="37">
        <f t="shared" si="9"/>
        <v>1</v>
      </c>
      <c r="L27" s="37">
        <f t="shared" si="9"/>
        <v>1</v>
      </c>
      <c r="M27" s="37">
        <f t="shared" si="9"/>
        <v>1</v>
      </c>
      <c r="N27" s="37">
        <f t="shared" si="9"/>
        <v>2</v>
      </c>
      <c r="O27" s="37">
        <f t="shared" si="9"/>
        <v>2</v>
      </c>
      <c r="P27" s="37">
        <f t="shared" si="9"/>
        <v>2</v>
      </c>
      <c r="Q27" s="37">
        <f t="shared" si="9"/>
        <v>2</v>
      </c>
      <c r="R27" s="37">
        <f t="shared" si="9"/>
        <v>2</v>
      </c>
      <c r="S27" s="37">
        <f t="shared" si="9"/>
        <v>1</v>
      </c>
      <c r="T27" s="37">
        <f t="shared" si="9"/>
        <v>1</v>
      </c>
      <c r="U27" s="37">
        <f t="shared" si="9"/>
        <v>1</v>
      </c>
      <c r="V27" s="37">
        <f t="shared" si="9"/>
        <v>2</v>
      </c>
      <c r="W27" s="37">
        <f t="shared" si="9"/>
        <v>2</v>
      </c>
      <c r="X27" s="37">
        <f t="shared" si="9"/>
        <v>2</v>
      </c>
      <c r="Y27" s="37">
        <f t="shared" si="9"/>
        <v>2</v>
      </c>
      <c r="Z27" s="37">
        <f t="shared" si="9"/>
        <v>2</v>
      </c>
      <c r="AA27" s="37">
        <f t="shared" si="9"/>
        <v>1</v>
      </c>
      <c r="AB27" s="37">
        <f t="shared" si="9"/>
        <v>1</v>
      </c>
      <c r="AC27" s="37">
        <f t="shared" si="9"/>
        <v>1</v>
      </c>
      <c r="AD27" s="37">
        <f t="shared" si="9"/>
        <v>1</v>
      </c>
      <c r="AE27" s="37">
        <f t="shared" si="9"/>
        <v>2</v>
      </c>
      <c r="AF27" s="37">
        <f t="shared" si="9"/>
        <v>2</v>
      </c>
      <c r="AG27" s="37">
        <f t="shared" si="9"/>
        <v>2</v>
      </c>
      <c r="AH27" s="37">
        <f t="shared" si="9"/>
        <v>2</v>
      </c>
      <c r="AI27" s="37">
        <f t="shared" si="9"/>
        <v>1</v>
      </c>
      <c r="AJ27" s="37" t="s">
        <v>94</v>
      </c>
    </row>
    <row r="28" spans="2:42" ht="18.75" x14ac:dyDescent="0.3">
      <c r="C28" s="248" t="s">
        <v>104</v>
      </c>
      <c r="D28" s="249"/>
      <c r="E28" s="38"/>
      <c r="F28" s="39">
        <f>F30-F31</f>
        <v>-1</v>
      </c>
      <c r="G28" s="39">
        <f t="shared" ref="G28:AI28" si="10">G30-G31</f>
        <v>0</v>
      </c>
      <c r="H28" s="39">
        <f t="shared" si="10"/>
        <v>0</v>
      </c>
      <c r="I28" s="39">
        <f t="shared" si="10"/>
        <v>0</v>
      </c>
      <c r="J28" s="39">
        <f t="shared" si="10"/>
        <v>0</v>
      </c>
      <c r="K28" s="39">
        <f t="shared" si="10"/>
        <v>0</v>
      </c>
      <c r="L28" s="39">
        <f t="shared" si="10"/>
        <v>0</v>
      </c>
      <c r="M28" s="39">
        <f t="shared" si="10"/>
        <v>0</v>
      </c>
      <c r="N28" s="39">
        <f t="shared" si="10"/>
        <v>0</v>
      </c>
      <c r="O28" s="39">
        <f t="shared" si="10"/>
        <v>0</v>
      </c>
      <c r="P28" s="39">
        <f t="shared" si="10"/>
        <v>0</v>
      </c>
      <c r="Q28" s="39">
        <f t="shared" si="10"/>
        <v>0</v>
      </c>
      <c r="R28" s="39">
        <f t="shared" si="10"/>
        <v>0</v>
      </c>
      <c r="S28" s="39">
        <f t="shared" si="10"/>
        <v>0</v>
      </c>
      <c r="T28" s="39">
        <f t="shared" si="10"/>
        <v>0</v>
      </c>
      <c r="U28" s="39">
        <f t="shared" si="10"/>
        <v>0</v>
      </c>
      <c r="V28" s="39">
        <f t="shared" si="10"/>
        <v>0</v>
      </c>
      <c r="W28" s="39">
        <f t="shared" si="10"/>
        <v>0</v>
      </c>
      <c r="X28" s="39">
        <f t="shared" si="10"/>
        <v>0</v>
      </c>
      <c r="Y28" s="39">
        <f t="shared" si="10"/>
        <v>0</v>
      </c>
      <c r="Z28" s="39">
        <f t="shared" si="10"/>
        <v>0</v>
      </c>
      <c r="AA28" s="39">
        <f t="shared" si="10"/>
        <v>0</v>
      </c>
      <c r="AB28" s="39">
        <f t="shared" si="10"/>
        <v>0</v>
      </c>
      <c r="AC28" s="39">
        <f t="shared" si="10"/>
        <v>0</v>
      </c>
      <c r="AD28" s="39">
        <f t="shared" si="10"/>
        <v>1</v>
      </c>
      <c r="AE28" s="39">
        <f t="shared" si="10"/>
        <v>0</v>
      </c>
      <c r="AF28" s="39">
        <f t="shared" si="10"/>
        <v>0</v>
      </c>
      <c r="AG28" s="39">
        <f t="shared" si="10"/>
        <v>0</v>
      </c>
      <c r="AH28" s="39">
        <f t="shared" si="10"/>
        <v>0</v>
      </c>
      <c r="AI28" s="39">
        <f t="shared" si="10"/>
        <v>0</v>
      </c>
      <c r="AJ28" s="39" t="s">
        <v>94</v>
      </c>
    </row>
    <row r="29" spans="2:42" ht="9.75" customHeight="1" x14ac:dyDescent="0.3">
      <c r="C29" s="40"/>
      <c r="D29" s="40"/>
      <c r="E29" s="36"/>
      <c r="F29" s="180"/>
      <c r="G29" s="180"/>
      <c r="H29" s="180"/>
      <c r="I29" s="180"/>
      <c r="J29" s="180"/>
      <c r="K29" s="180"/>
      <c r="L29" s="180"/>
      <c r="M29" s="180"/>
      <c r="N29" s="180"/>
      <c r="O29" s="180"/>
      <c r="P29" s="180"/>
      <c r="Q29" s="180"/>
      <c r="R29" s="180"/>
      <c r="S29" s="180"/>
      <c r="T29" s="180"/>
      <c r="U29" s="180"/>
      <c r="V29" s="180"/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</row>
    <row r="30" spans="2:42" ht="18.75" x14ac:dyDescent="0.3">
      <c r="C30" s="177" t="s">
        <v>102</v>
      </c>
      <c r="D30" s="178"/>
      <c r="E30" s="36"/>
      <c r="F30" s="41">
        <f>SUM(F23:F25)</f>
        <v>8</v>
      </c>
      <c r="G30" s="41">
        <f t="shared" ref="G30:AI30" si="11">SUM(G23:G25)</f>
        <v>9</v>
      </c>
      <c r="H30" s="41">
        <f t="shared" si="11"/>
        <v>9</v>
      </c>
      <c r="I30" s="41">
        <f t="shared" si="11"/>
        <v>9</v>
      </c>
      <c r="J30" s="41">
        <f t="shared" si="11"/>
        <v>9</v>
      </c>
      <c r="K30" s="41">
        <f t="shared" si="11"/>
        <v>9</v>
      </c>
      <c r="L30" s="41">
        <f t="shared" si="11"/>
        <v>9</v>
      </c>
      <c r="M30" s="41">
        <f t="shared" si="11"/>
        <v>9</v>
      </c>
      <c r="N30" s="41">
        <f t="shared" si="11"/>
        <v>9</v>
      </c>
      <c r="O30" s="41">
        <f t="shared" si="11"/>
        <v>9</v>
      </c>
      <c r="P30" s="41">
        <f t="shared" si="11"/>
        <v>9</v>
      </c>
      <c r="Q30" s="41">
        <f t="shared" si="11"/>
        <v>9</v>
      </c>
      <c r="R30" s="41">
        <f t="shared" si="11"/>
        <v>9</v>
      </c>
      <c r="S30" s="41">
        <f t="shared" si="11"/>
        <v>9</v>
      </c>
      <c r="T30" s="41">
        <f t="shared" si="11"/>
        <v>9</v>
      </c>
      <c r="U30" s="41">
        <f t="shared" si="11"/>
        <v>9</v>
      </c>
      <c r="V30" s="41">
        <f t="shared" si="11"/>
        <v>9</v>
      </c>
      <c r="W30" s="41">
        <f t="shared" si="11"/>
        <v>9</v>
      </c>
      <c r="X30" s="41">
        <f t="shared" si="11"/>
        <v>9</v>
      </c>
      <c r="Y30" s="41">
        <f t="shared" si="11"/>
        <v>9</v>
      </c>
      <c r="Z30" s="41">
        <f t="shared" si="11"/>
        <v>9</v>
      </c>
      <c r="AA30" s="41">
        <f t="shared" si="11"/>
        <v>9</v>
      </c>
      <c r="AB30" s="41">
        <f t="shared" si="11"/>
        <v>9</v>
      </c>
      <c r="AC30" s="41">
        <f t="shared" si="11"/>
        <v>9</v>
      </c>
      <c r="AD30" s="41">
        <f t="shared" si="11"/>
        <v>10</v>
      </c>
      <c r="AE30" s="41">
        <f t="shared" si="11"/>
        <v>9</v>
      </c>
      <c r="AF30" s="41">
        <f t="shared" si="11"/>
        <v>9</v>
      </c>
      <c r="AG30" s="41">
        <f t="shared" si="11"/>
        <v>9</v>
      </c>
      <c r="AH30" s="41">
        <f t="shared" si="11"/>
        <v>9</v>
      </c>
      <c r="AI30" s="41">
        <f t="shared" si="11"/>
        <v>9</v>
      </c>
      <c r="AJ30" s="41" t="s">
        <v>94</v>
      </c>
    </row>
    <row r="31" spans="2:42" ht="18.75" x14ac:dyDescent="0.3">
      <c r="C31" s="177" t="s">
        <v>90</v>
      </c>
      <c r="D31" s="178"/>
      <c r="E31" s="36"/>
      <c r="F31" s="37">
        <v>9</v>
      </c>
      <c r="G31" s="37">
        <v>9</v>
      </c>
      <c r="H31" s="37">
        <v>9</v>
      </c>
      <c r="I31" s="37">
        <v>9</v>
      </c>
      <c r="J31" s="37">
        <v>9</v>
      </c>
      <c r="K31" s="37">
        <v>9</v>
      </c>
      <c r="L31" s="37">
        <v>9</v>
      </c>
      <c r="M31" s="37">
        <v>9</v>
      </c>
      <c r="N31" s="37">
        <v>9</v>
      </c>
      <c r="O31" s="37">
        <v>9</v>
      </c>
      <c r="P31" s="37">
        <v>9</v>
      </c>
      <c r="Q31" s="37">
        <v>9</v>
      </c>
      <c r="R31" s="37">
        <v>9</v>
      </c>
      <c r="S31" s="37">
        <v>9</v>
      </c>
      <c r="T31" s="37">
        <v>9</v>
      </c>
      <c r="U31" s="37">
        <v>9</v>
      </c>
      <c r="V31" s="37">
        <v>9</v>
      </c>
      <c r="W31" s="37">
        <v>9</v>
      </c>
      <c r="X31" s="37">
        <v>9</v>
      </c>
      <c r="Y31" s="37">
        <v>9</v>
      </c>
      <c r="Z31" s="37">
        <v>9</v>
      </c>
      <c r="AA31" s="37">
        <v>9</v>
      </c>
      <c r="AB31" s="37">
        <v>9</v>
      </c>
      <c r="AC31" s="37">
        <v>9</v>
      </c>
      <c r="AD31" s="37">
        <v>9</v>
      </c>
      <c r="AE31" s="37">
        <v>9</v>
      </c>
      <c r="AF31" s="37">
        <v>9</v>
      </c>
      <c r="AG31" s="37">
        <v>9</v>
      </c>
      <c r="AH31" s="37">
        <v>9</v>
      </c>
      <c r="AI31" s="37">
        <v>9</v>
      </c>
      <c r="AJ31" s="37" t="s">
        <v>94</v>
      </c>
    </row>
    <row r="32" spans="2:42" ht="18.75" x14ac:dyDescent="0.3">
      <c r="C32" s="177" t="s">
        <v>103</v>
      </c>
      <c r="D32" s="178"/>
      <c r="E32" s="36"/>
      <c r="F32" s="37">
        <v>15</v>
      </c>
      <c r="G32" s="37">
        <v>15</v>
      </c>
      <c r="H32" s="37">
        <v>15</v>
      </c>
      <c r="I32" s="37">
        <v>15</v>
      </c>
      <c r="J32" s="37">
        <v>15</v>
      </c>
      <c r="K32" s="37">
        <v>15</v>
      </c>
      <c r="L32" s="37">
        <v>15</v>
      </c>
      <c r="M32" s="37">
        <v>15</v>
      </c>
      <c r="N32" s="37">
        <v>15</v>
      </c>
      <c r="O32" s="37">
        <v>15</v>
      </c>
      <c r="P32" s="37">
        <v>15</v>
      </c>
      <c r="Q32" s="37">
        <v>15</v>
      </c>
      <c r="R32" s="37">
        <v>15</v>
      </c>
      <c r="S32" s="37">
        <v>15</v>
      </c>
      <c r="T32" s="37">
        <v>15</v>
      </c>
      <c r="U32" s="37">
        <v>15</v>
      </c>
      <c r="V32" s="37">
        <v>15</v>
      </c>
      <c r="W32" s="37">
        <v>15</v>
      </c>
      <c r="X32" s="37">
        <v>15</v>
      </c>
      <c r="Y32" s="37">
        <v>15</v>
      </c>
      <c r="Z32" s="37">
        <v>15</v>
      </c>
      <c r="AA32" s="37">
        <v>15</v>
      </c>
      <c r="AB32" s="37">
        <v>15</v>
      </c>
      <c r="AC32" s="37">
        <v>15</v>
      </c>
      <c r="AD32" s="37">
        <v>15</v>
      </c>
      <c r="AE32" s="37">
        <v>15</v>
      </c>
      <c r="AF32" s="37">
        <v>15</v>
      </c>
      <c r="AG32" s="37">
        <v>15</v>
      </c>
      <c r="AH32" s="37">
        <v>15</v>
      </c>
      <c r="AI32" s="37">
        <v>15</v>
      </c>
      <c r="AJ32" s="37" t="s">
        <v>94</v>
      </c>
    </row>
  </sheetData>
  <mergeCells count="34">
    <mergeCell ref="C15:D15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30:D30"/>
    <mergeCell ref="C31:D31"/>
    <mergeCell ref="C32:D32"/>
    <mergeCell ref="C24:D24"/>
    <mergeCell ref="C25:D25"/>
    <mergeCell ref="C26:D26"/>
    <mergeCell ref="C27:D27"/>
    <mergeCell ref="C28:D28"/>
    <mergeCell ref="F29:AJ29"/>
    <mergeCell ref="C16:D16"/>
    <mergeCell ref="C17:D17"/>
    <mergeCell ref="C18:D18"/>
    <mergeCell ref="C23:D23"/>
    <mergeCell ref="C19:D19"/>
    <mergeCell ref="C20:D20"/>
    <mergeCell ref="C21:D21"/>
    <mergeCell ref="B3:D4"/>
    <mergeCell ref="AP2:AP4"/>
    <mergeCell ref="F2:AJ2"/>
    <mergeCell ref="AL2:AL4"/>
    <mergeCell ref="AM2:AM4"/>
    <mergeCell ref="AN2:AN4"/>
    <mergeCell ref="AO2:AO4"/>
  </mergeCells>
  <phoneticPr fontId="14" type="noConversion"/>
  <conditionalFormatting sqref="F5:AI21">
    <cfRule type="containsText" dxfId="107" priority="2" operator="containsText" text="STN">
      <formula>NOT(ISERROR(SEARCH("STN",F5)))</formula>
    </cfRule>
    <cfRule type="containsText" dxfId="106" priority="3" operator="containsText" text="STN">
      <formula>NOT(ISERROR(SEARCH("STN",F5)))</formula>
    </cfRule>
    <cfRule type="containsText" dxfId="105" priority="4" operator="containsText" text="STM">
      <formula>NOT(ISERROR(SEARCH("STM",F5)))</formula>
    </cfRule>
    <cfRule type="containsText" dxfId="104" priority="5" operator="containsText" text="M">
      <formula>NOT(ISERROR(SEARCH("M",F5)))</formula>
    </cfRule>
    <cfRule type="containsText" dxfId="103" priority="6" operator="containsText" text="STM1">
      <formula>NOT(ISERROR(SEARCH("STM1",F5)))</formula>
    </cfRule>
    <cfRule type="containsText" dxfId="102" priority="7" operator="containsText" text="M">
      <formula>NOT(ISERROR(SEARCH("M",F5)))</formula>
    </cfRule>
    <cfRule type="containsText" dxfId="101" priority="8" operator="containsText" text="STM">
      <formula>NOT(ISERROR(SEARCH("STM",F5)))</formula>
    </cfRule>
    <cfRule type="containsText" dxfId="100" priority="9" operator="containsText" text="STM">
      <formula>NOT(ISERROR(SEARCH("STM",F5)))</formula>
    </cfRule>
  </conditionalFormatting>
  <conditionalFormatting sqref="F5:AJ21">
    <cfRule type="containsText" dxfId="99" priority="1" operator="containsText" text="AN13">
      <formula>NOT(ISERROR(SEARCH("AN13",F5)))</formula>
    </cfRule>
  </conditionalFormatting>
  <conditionalFormatting sqref="G5:AI5 F6:AI21">
    <cfRule type="containsText" dxfId="98" priority="10" operator="containsText" text="STM1">
      <formula>NOT(ISERROR(SEARCH("STM1",F5)))</formula>
    </cfRule>
    <cfRule type="containsText" dxfId="97" priority="11" operator="containsText" text="STA">
      <formula>NOT(ISERROR(SEARCH("STA",F5)))</formula>
    </cfRule>
    <cfRule type="containsText" dxfId="96" priority="12" operator="containsText" text="STM1">
      <formula>NOT(ISERROR(SEARCH("STM1",F5)))</formula>
    </cfRule>
    <cfRule type="containsText" dxfId="95" priority="13" operator="containsText" text="O">
      <formula>NOT(ISERROR(SEARCH("O",F5)))</formula>
    </cfRule>
    <cfRule type="containsText" dxfId="94" priority="14" operator="containsText" text="N">
      <formula>NOT(ISERROR(SEARCH("N",F5)))</formula>
    </cfRule>
    <cfRule type="containsText" dxfId="93" priority="15" operator="containsText" text="A">
      <formula>NOT(ISERROR(SEARCH("A",F5)))</formula>
    </cfRule>
    <cfRule type="containsText" dxfId="92" priority="16" operator="containsText" text="M">
      <formula>NOT(ISERROR(SEARCH("M",F5)))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FA4C8-D264-438F-8BA6-B397AF3F651E}">
  <dimension ref="B2:AO26"/>
  <sheetViews>
    <sheetView zoomScale="70" zoomScaleNormal="70" workbookViewId="0">
      <selection activeCell="L38" sqref="L38"/>
    </sheetView>
  </sheetViews>
  <sheetFormatPr defaultRowHeight="15.75" x14ac:dyDescent="0.25"/>
  <cols>
    <col min="1" max="1" width="3.42578125" style="18" customWidth="1"/>
    <col min="2" max="2" width="12.85546875" style="18" customWidth="1"/>
    <col min="3" max="3" width="15.42578125" style="20" customWidth="1"/>
    <col min="4" max="4" width="2.28515625" style="18" customWidth="1"/>
    <col min="5" max="35" width="10.7109375" style="18" customWidth="1"/>
    <col min="36" max="36" width="4.28515625" style="18" customWidth="1"/>
    <col min="37" max="16384" width="9.140625" style="18"/>
  </cols>
  <sheetData>
    <row r="2" spans="2:41" ht="39" customHeight="1" x14ac:dyDescent="0.5">
      <c r="E2" s="259" t="s">
        <v>117</v>
      </c>
      <c r="F2" s="259"/>
      <c r="G2" s="259"/>
      <c r="H2" s="259"/>
      <c r="I2" s="259"/>
      <c r="J2" s="259"/>
      <c r="K2" s="259"/>
      <c r="L2" s="259"/>
      <c r="M2" s="259"/>
      <c r="N2" s="259"/>
      <c r="O2" s="259"/>
      <c r="P2" s="259"/>
      <c r="Q2" s="259"/>
      <c r="R2" s="259"/>
      <c r="S2" s="259"/>
      <c r="T2" s="259"/>
      <c r="U2" s="259"/>
      <c r="V2" s="259"/>
      <c r="W2" s="259"/>
      <c r="X2" s="259"/>
      <c r="Y2" s="259"/>
      <c r="Z2" s="259"/>
      <c r="AA2" s="259"/>
      <c r="AB2" s="259"/>
      <c r="AC2" s="259"/>
      <c r="AD2" s="259"/>
      <c r="AE2" s="259"/>
      <c r="AF2" s="259"/>
      <c r="AG2" s="259"/>
      <c r="AH2" s="259"/>
      <c r="AI2" s="259"/>
      <c r="AK2" s="142" t="s">
        <v>112</v>
      </c>
      <c r="AL2" s="142" t="s">
        <v>113</v>
      </c>
      <c r="AM2" s="142" t="s">
        <v>116</v>
      </c>
      <c r="AN2" s="142" t="s">
        <v>114</v>
      </c>
      <c r="AO2" s="142" t="s">
        <v>115</v>
      </c>
    </row>
    <row r="3" spans="2:41" ht="39" x14ac:dyDescent="0.3">
      <c r="B3" s="260" t="s">
        <v>105</v>
      </c>
      <c r="C3" s="261"/>
      <c r="E3" s="28" t="s">
        <v>100</v>
      </c>
      <c r="F3" s="29" t="s">
        <v>101</v>
      </c>
      <c r="G3" s="29" t="s">
        <v>97</v>
      </c>
      <c r="H3" s="29" t="s">
        <v>98</v>
      </c>
      <c r="I3" s="29" t="s">
        <v>99</v>
      </c>
      <c r="J3" s="29" t="s">
        <v>100</v>
      </c>
      <c r="K3" s="29" t="s">
        <v>101</v>
      </c>
      <c r="L3" s="29" t="s">
        <v>95</v>
      </c>
      <c r="M3" s="29" t="s">
        <v>96</v>
      </c>
      <c r="N3" s="29" t="s">
        <v>97</v>
      </c>
      <c r="O3" s="29" t="s">
        <v>98</v>
      </c>
      <c r="P3" s="29" t="s">
        <v>99</v>
      </c>
      <c r="Q3" s="29" t="s">
        <v>100</v>
      </c>
      <c r="R3" s="29" t="s">
        <v>101</v>
      </c>
      <c r="S3" s="29" t="s">
        <v>95</v>
      </c>
      <c r="T3" s="29" t="s">
        <v>96</v>
      </c>
      <c r="U3" s="29" t="s">
        <v>97</v>
      </c>
      <c r="V3" s="29" t="s">
        <v>98</v>
      </c>
      <c r="W3" s="29" t="s">
        <v>99</v>
      </c>
      <c r="X3" s="29" t="s">
        <v>100</v>
      </c>
      <c r="Y3" s="29" t="s">
        <v>101</v>
      </c>
      <c r="Z3" s="29" t="s">
        <v>95</v>
      </c>
      <c r="AA3" s="29" t="s">
        <v>96</v>
      </c>
      <c r="AB3" s="29" t="s">
        <v>97</v>
      </c>
      <c r="AC3" s="29" t="s">
        <v>98</v>
      </c>
      <c r="AD3" s="29" t="s">
        <v>99</v>
      </c>
      <c r="AE3" s="29" t="s">
        <v>100</v>
      </c>
      <c r="AF3" s="29" t="s">
        <v>101</v>
      </c>
      <c r="AG3" s="29" t="s">
        <v>95</v>
      </c>
      <c r="AH3" s="30" t="s">
        <v>96</v>
      </c>
      <c r="AI3" s="31"/>
      <c r="AK3" s="143"/>
      <c r="AL3" s="143"/>
      <c r="AM3" s="143"/>
      <c r="AN3" s="143"/>
      <c r="AO3" s="143"/>
    </row>
    <row r="4" spans="2:41" ht="19.5" thickBot="1" x14ac:dyDescent="0.35">
      <c r="B4" s="262"/>
      <c r="C4" s="263"/>
      <c r="E4" s="32">
        <v>1</v>
      </c>
      <c r="F4" s="33">
        <v>2</v>
      </c>
      <c r="G4" s="33">
        <v>3</v>
      </c>
      <c r="H4" s="33">
        <v>4</v>
      </c>
      <c r="I4" s="33">
        <v>5</v>
      </c>
      <c r="J4" s="33">
        <v>6</v>
      </c>
      <c r="K4" s="33">
        <v>7</v>
      </c>
      <c r="L4" s="33">
        <v>8</v>
      </c>
      <c r="M4" s="33">
        <v>9</v>
      </c>
      <c r="N4" s="33">
        <v>10</v>
      </c>
      <c r="O4" s="33">
        <v>11</v>
      </c>
      <c r="P4" s="33">
        <v>12</v>
      </c>
      <c r="Q4" s="33">
        <v>13</v>
      </c>
      <c r="R4" s="33">
        <v>14</v>
      </c>
      <c r="S4" s="33">
        <v>15</v>
      </c>
      <c r="T4" s="33">
        <v>16</v>
      </c>
      <c r="U4" s="33">
        <v>17</v>
      </c>
      <c r="V4" s="33">
        <v>18</v>
      </c>
      <c r="W4" s="33">
        <v>19</v>
      </c>
      <c r="X4" s="33">
        <v>20</v>
      </c>
      <c r="Y4" s="33">
        <v>21</v>
      </c>
      <c r="Z4" s="33">
        <v>22</v>
      </c>
      <c r="AA4" s="33">
        <v>23</v>
      </c>
      <c r="AB4" s="33">
        <v>24</v>
      </c>
      <c r="AC4" s="33">
        <v>25</v>
      </c>
      <c r="AD4" s="33">
        <v>26</v>
      </c>
      <c r="AE4" s="33">
        <v>27</v>
      </c>
      <c r="AF4" s="33">
        <v>28</v>
      </c>
      <c r="AG4" s="33">
        <v>29</v>
      </c>
      <c r="AH4" s="34">
        <v>30</v>
      </c>
      <c r="AI4" s="35"/>
      <c r="AK4" s="144"/>
      <c r="AL4" s="144"/>
      <c r="AM4" s="144"/>
      <c r="AN4" s="144"/>
      <c r="AO4" s="144"/>
    </row>
    <row r="5" spans="2:41" ht="18.75" x14ac:dyDescent="0.25">
      <c r="B5" s="258" t="s">
        <v>79</v>
      </c>
      <c r="C5" s="258"/>
      <c r="E5" s="27" t="s">
        <v>107</v>
      </c>
      <c r="F5" s="23" t="s">
        <v>23</v>
      </c>
      <c r="G5" s="23" t="s">
        <v>24</v>
      </c>
      <c r="H5" s="23" t="s">
        <v>118</v>
      </c>
      <c r="I5" s="23" t="s">
        <v>28</v>
      </c>
      <c r="J5" s="23" t="s">
        <v>29</v>
      </c>
      <c r="K5" s="23" t="s">
        <v>23</v>
      </c>
      <c r="L5" s="23" t="s">
        <v>24</v>
      </c>
      <c r="M5" s="23" t="s">
        <v>25</v>
      </c>
      <c r="N5" s="23" t="s">
        <v>110</v>
      </c>
      <c r="O5" s="23" t="s">
        <v>120</v>
      </c>
      <c r="P5" s="23" t="s">
        <v>28</v>
      </c>
      <c r="Q5" s="23" t="s">
        <v>29</v>
      </c>
      <c r="R5" s="23" t="s">
        <v>25</v>
      </c>
      <c r="S5" s="23" t="s">
        <v>93</v>
      </c>
      <c r="T5" s="23" t="s">
        <v>123</v>
      </c>
      <c r="U5" s="23" t="s">
        <v>23</v>
      </c>
      <c r="V5" s="23" t="s">
        <v>24</v>
      </c>
      <c r="W5" s="23" t="s">
        <v>28</v>
      </c>
      <c r="X5" s="23" t="s">
        <v>29</v>
      </c>
      <c r="Y5" s="23" t="s">
        <v>23</v>
      </c>
      <c r="Z5" s="23" t="s">
        <v>24</v>
      </c>
      <c r="AA5" s="23" t="s">
        <v>108</v>
      </c>
      <c r="AB5" s="23" t="s">
        <v>93</v>
      </c>
      <c r="AC5" s="23" t="s">
        <v>120</v>
      </c>
      <c r="AD5" s="23" t="s">
        <v>28</v>
      </c>
      <c r="AE5" s="23" t="s">
        <v>29</v>
      </c>
      <c r="AF5" s="23" t="s">
        <v>23</v>
      </c>
      <c r="AG5" s="23" t="s">
        <v>24</v>
      </c>
      <c r="AH5" s="24" t="s">
        <v>25</v>
      </c>
      <c r="AI5" s="26"/>
      <c r="AK5" s="22">
        <f>COUNTIF($E5:$AI5,"ST*")</f>
        <v>4</v>
      </c>
      <c r="AL5" s="22">
        <f>COUNTIF($E5:$AI5,"M*")</f>
        <v>11</v>
      </c>
      <c r="AM5" s="22">
        <f>COUNTIF($E5:$AI5,"A*")</f>
        <v>7</v>
      </c>
      <c r="AN5" s="22">
        <f>COUNTIF($E5:$AI5,"N*")</f>
        <v>0</v>
      </c>
      <c r="AO5" s="22">
        <f>COUNTIF($E5:$AI5,"O*")</f>
        <v>8</v>
      </c>
    </row>
    <row r="6" spans="2:41" ht="18.75" x14ac:dyDescent="0.25">
      <c r="B6" s="258" t="s">
        <v>80</v>
      </c>
      <c r="C6" s="258"/>
      <c r="E6" s="21" t="s">
        <v>23</v>
      </c>
      <c r="F6" s="21" t="s">
        <v>25</v>
      </c>
      <c r="G6" s="21" t="s">
        <v>110</v>
      </c>
      <c r="H6" s="21" t="s">
        <v>120</v>
      </c>
      <c r="I6" s="21" t="s">
        <v>28</v>
      </c>
      <c r="J6" s="21" t="s">
        <v>29</v>
      </c>
      <c r="K6" s="21" t="s">
        <v>25</v>
      </c>
      <c r="L6" s="21" t="s">
        <v>110</v>
      </c>
      <c r="M6" s="21" t="s">
        <v>23</v>
      </c>
      <c r="N6" s="21" t="s">
        <v>24</v>
      </c>
      <c r="O6" s="21" t="s">
        <v>118</v>
      </c>
      <c r="P6" s="21" t="s">
        <v>28</v>
      </c>
      <c r="Q6" s="21" t="s">
        <v>29</v>
      </c>
      <c r="R6" s="21" t="s">
        <v>23</v>
      </c>
      <c r="S6" s="21" t="s">
        <v>24</v>
      </c>
      <c r="T6" s="21" t="s">
        <v>124</v>
      </c>
      <c r="U6" s="21" t="s">
        <v>25</v>
      </c>
      <c r="V6" s="21" t="s">
        <v>110</v>
      </c>
      <c r="W6" s="21" t="s">
        <v>28</v>
      </c>
      <c r="X6" s="21" t="s">
        <v>29</v>
      </c>
      <c r="Y6" s="21" t="s">
        <v>25</v>
      </c>
      <c r="Z6" s="21" t="s">
        <v>93</v>
      </c>
      <c r="AA6" s="21" t="s">
        <v>23</v>
      </c>
      <c r="AB6" s="21" t="s">
        <v>24</v>
      </c>
      <c r="AC6" s="21" t="s">
        <v>118</v>
      </c>
      <c r="AD6" s="21" t="s">
        <v>28</v>
      </c>
      <c r="AE6" s="21" t="s">
        <v>29</v>
      </c>
      <c r="AF6" s="21" t="s">
        <v>25</v>
      </c>
      <c r="AG6" s="21" t="s">
        <v>93</v>
      </c>
      <c r="AH6" s="25" t="s">
        <v>23</v>
      </c>
      <c r="AI6" s="19"/>
      <c r="AK6" s="22">
        <f t="shared" ref="AK6:AK15" si="0">COUNTIF($E6:$AI6,"ST*")</f>
        <v>4</v>
      </c>
      <c r="AL6" s="22">
        <f t="shared" ref="AL6:AL15" si="1">COUNTIF($E6:$AI6,"M*")</f>
        <v>10</v>
      </c>
      <c r="AM6" s="22">
        <f t="shared" ref="AM6:AM15" si="2">COUNTIF($E6:$AI6,"A*")</f>
        <v>8</v>
      </c>
      <c r="AN6" s="22">
        <f t="shared" ref="AN6:AN15" si="3">COUNTIF($E6:$AI6,"N*")</f>
        <v>0</v>
      </c>
      <c r="AO6" s="22">
        <f t="shared" ref="AO6:AO15" si="4">COUNTIF($E6:$AI6,"O*")</f>
        <v>8</v>
      </c>
    </row>
    <row r="7" spans="2:41" ht="18.75" x14ac:dyDescent="0.25">
      <c r="B7" s="258" t="s">
        <v>81</v>
      </c>
      <c r="C7" s="258"/>
      <c r="E7" s="21" t="s">
        <v>25</v>
      </c>
      <c r="F7" s="21" t="s">
        <v>23</v>
      </c>
      <c r="G7" s="21" t="s">
        <v>24</v>
      </c>
      <c r="H7" s="21" t="s">
        <v>118</v>
      </c>
      <c r="I7" s="21" t="s">
        <v>28</v>
      </c>
      <c r="J7" s="21" t="s">
        <v>29</v>
      </c>
      <c r="K7" s="21" t="s">
        <v>23</v>
      </c>
      <c r="L7" s="21" t="s">
        <v>24</v>
      </c>
      <c r="M7" s="21" t="s">
        <v>25</v>
      </c>
      <c r="N7" s="21" t="s">
        <v>110</v>
      </c>
      <c r="O7" s="21" t="s">
        <v>120</v>
      </c>
      <c r="P7" s="21" t="s">
        <v>28</v>
      </c>
      <c r="Q7" s="21" t="s">
        <v>29</v>
      </c>
      <c r="R7" s="21" t="s">
        <v>25</v>
      </c>
      <c r="S7" s="21" t="s">
        <v>110</v>
      </c>
      <c r="T7" s="21" t="s">
        <v>23</v>
      </c>
      <c r="U7" s="21" t="s">
        <v>24</v>
      </c>
      <c r="V7" s="21" t="s">
        <v>118</v>
      </c>
      <c r="W7" s="21" t="s">
        <v>28</v>
      </c>
      <c r="X7" s="21" t="s">
        <v>29</v>
      </c>
      <c r="Y7" s="21" t="s">
        <v>23</v>
      </c>
      <c r="Z7" s="21" t="s">
        <v>24</v>
      </c>
      <c r="AA7" s="21" t="s">
        <v>25</v>
      </c>
      <c r="AB7" s="21" t="s">
        <v>93</v>
      </c>
      <c r="AC7" s="21" t="s">
        <v>120</v>
      </c>
      <c r="AD7" s="21" t="s">
        <v>28</v>
      </c>
      <c r="AE7" s="21" t="s">
        <v>29</v>
      </c>
      <c r="AF7" s="21" t="s">
        <v>25</v>
      </c>
      <c r="AG7" s="21" t="s">
        <v>110</v>
      </c>
      <c r="AH7" s="25" t="s">
        <v>23</v>
      </c>
      <c r="AI7" s="19"/>
      <c r="AK7" s="22">
        <f t="shared" si="0"/>
        <v>3</v>
      </c>
      <c r="AL7" s="22">
        <f t="shared" si="1"/>
        <v>11</v>
      </c>
      <c r="AM7" s="22">
        <f t="shared" si="2"/>
        <v>8</v>
      </c>
      <c r="AN7" s="22">
        <f t="shared" si="3"/>
        <v>0</v>
      </c>
      <c r="AO7" s="22">
        <f t="shared" si="4"/>
        <v>8</v>
      </c>
    </row>
    <row r="8" spans="2:41" ht="18.75" x14ac:dyDescent="0.25">
      <c r="B8" s="258" t="s">
        <v>82</v>
      </c>
      <c r="C8" s="258"/>
      <c r="E8" s="21" t="s">
        <v>108</v>
      </c>
      <c r="F8" s="21" t="s">
        <v>93</v>
      </c>
      <c r="G8" s="21" t="s">
        <v>123</v>
      </c>
      <c r="H8" s="21" t="s">
        <v>121</v>
      </c>
      <c r="I8" s="21" t="s">
        <v>28</v>
      </c>
      <c r="J8" s="21" t="s">
        <v>29</v>
      </c>
      <c r="K8" s="21" t="s">
        <v>25</v>
      </c>
      <c r="L8" s="21" t="s">
        <v>93</v>
      </c>
      <c r="M8" s="21" t="s">
        <v>107</v>
      </c>
      <c r="N8" s="21" t="s">
        <v>24</v>
      </c>
      <c r="O8" s="21" t="s">
        <v>118</v>
      </c>
      <c r="P8" s="21" t="s">
        <v>28</v>
      </c>
      <c r="Q8" s="21" t="s">
        <v>29</v>
      </c>
      <c r="R8" s="21" t="s">
        <v>23</v>
      </c>
      <c r="S8" s="21" t="s">
        <v>119</v>
      </c>
      <c r="T8" s="21" t="s">
        <v>25</v>
      </c>
      <c r="U8" s="21" t="s">
        <v>110</v>
      </c>
      <c r="V8" s="21" t="s">
        <v>120</v>
      </c>
      <c r="W8" s="21" t="s">
        <v>28</v>
      </c>
      <c r="X8" s="21" t="s">
        <v>29</v>
      </c>
      <c r="Y8" s="21" t="s">
        <v>25</v>
      </c>
      <c r="Z8" s="21" t="s">
        <v>93</v>
      </c>
      <c r="AA8" s="21" t="s">
        <v>23</v>
      </c>
      <c r="AB8" s="21" t="s">
        <v>111</v>
      </c>
      <c r="AC8" s="21" t="s">
        <v>118</v>
      </c>
      <c r="AD8" s="21" t="s">
        <v>28</v>
      </c>
      <c r="AE8" s="21" t="s">
        <v>29</v>
      </c>
      <c r="AF8" s="21" t="s">
        <v>23</v>
      </c>
      <c r="AG8" s="21" t="s">
        <v>24</v>
      </c>
      <c r="AH8" s="25" t="s">
        <v>108</v>
      </c>
      <c r="AI8" s="19"/>
      <c r="AK8" s="22">
        <f t="shared" si="0"/>
        <v>6</v>
      </c>
      <c r="AL8" s="22">
        <f t="shared" si="1"/>
        <v>8</v>
      </c>
      <c r="AM8" s="22">
        <f t="shared" si="2"/>
        <v>8</v>
      </c>
      <c r="AN8" s="22">
        <f t="shared" si="3"/>
        <v>0</v>
      </c>
      <c r="AO8" s="22">
        <f t="shared" si="4"/>
        <v>8</v>
      </c>
    </row>
    <row r="9" spans="2:41" ht="18.75" x14ac:dyDescent="0.25">
      <c r="B9" s="258" t="s">
        <v>83</v>
      </c>
      <c r="C9" s="258"/>
      <c r="E9" s="21" t="s">
        <v>25</v>
      </c>
      <c r="F9" s="21" t="s">
        <v>110</v>
      </c>
      <c r="G9" s="21" t="s">
        <v>120</v>
      </c>
      <c r="H9" s="21" t="s">
        <v>23</v>
      </c>
      <c r="I9" s="21" t="s">
        <v>24</v>
      </c>
      <c r="J9" s="21" t="s">
        <v>28</v>
      </c>
      <c r="K9" s="21" t="s">
        <v>29</v>
      </c>
      <c r="L9" s="21" t="s">
        <v>25</v>
      </c>
      <c r="M9" s="21" t="s">
        <v>110</v>
      </c>
      <c r="N9" s="21" t="s">
        <v>120</v>
      </c>
      <c r="O9" s="21" t="s">
        <v>23</v>
      </c>
      <c r="P9" s="21" t="s">
        <v>24</v>
      </c>
      <c r="Q9" s="21" t="s">
        <v>28</v>
      </c>
      <c r="R9" s="21" t="s">
        <v>29</v>
      </c>
      <c r="S9" s="21" t="s">
        <v>25</v>
      </c>
      <c r="T9" s="21" t="s">
        <v>93</v>
      </c>
      <c r="U9" s="21" t="s">
        <v>120</v>
      </c>
      <c r="V9" s="21" t="s">
        <v>23</v>
      </c>
      <c r="W9" s="21" t="s">
        <v>24</v>
      </c>
      <c r="X9" s="21" t="s">
        <v>28</v>
      </c>
      <c r="Y9" s="21" t="s">
        <v>29</v>
      </c>
      <c r="Z9" s="21" t="s">
        <v>25</v>
      </c>
      <c r="AA9" s="21" t="s">
        <v>110</v>
      </c>
      <c r="AB9" s="21" t="s">
        <v>120</v>
      </c>
      <c r="AC9" s="21" t="s">
        <v>107</v>
      </c>
      <c r="AD9" s="21" t="s">
        <v>24</v>
      </c>
      <c r="AE9" s="21" t="s">
        <v>28</v>
      </c>
      <c r="AF9" s="21" t="s">
        <v>29</v>
      </c>
      <c r="AG9" s="21" t="s">
        <v>25</v>
      </c>
      <c r="AH9" s="25" t="s">
        <v>93</v>
      </c>
      <c r="AI9" s="19"/>
      <c r="AK9" s="22">
        <f t="shared" si="0"/>
        <v>4</v>
      </c>
      <c r="AL9" s="22">
        <f t="shared" si="1"/>
        <v>7</v>
      </c>
      <c r="AM9" s="22">
        <f t="shared" si="2"/>
        <v>11</v>
      </c>
      <c r="AN9" s="22">
        <f t="shared" si="3"/>
        <v>0</v>
      </c>
      <c r="AO9" s="22">
        <f t="shared" si="4"/>
        <v>8</v>
      </c>
    </row>
    <row r="10" spans="2:41" ht="18.75" x14ac:dyDescent="0.25">
      <c r="B10" s="258" t="s">
        <v>84</v>
      </c>
      <c r="C10" s="258"/>
      <c r="E10" s="21" t="s">
        <v>23</v>
      </c>
      <c r="F10" s="21" t="s">
        <v>24</v>
      </c>
      <c r="G10" s="21" t="s">
        <v>118</v>
      </c>
      <c r="H10" s="21" t="s">
        <v>28</v>
      </c>
      <c r="I10" s="21" t="s">
        <v>29</v>
      </c>
      <c r="J10" s="21" t="s">
        <v>25</v>
      </c>
      <c r="K10" s="21" t="s">
        <v>110</v>
      </c>
      <c r="L10" s="21" t="s">
        <v>23</v>
      </c>
      <c r="M10" s="21" t="s">
        <v>24</v>
      </c>
      <c r="N10" s="21" t="s">
        <v>118</v>
      </c>
      <c r="O10" s="21" t="s">
        <v>28</v>
      </c>
      <c r="P10" s="21" t="s">
        <v>29</v>
      </c>
      <c r="Q10" s="21" t="s">
        <v>108</v>
      </c>
      <c r="R10" s="21" t="s">
        <v>93</v>
      </c>
      <c r="S10" s="21" t="s">
        <v>23</v>
      </c>
      <c r="T10" s="21" t="s">
        <v>24</v>
      </c>
      <c r="U10" s="21" t="s">
        <v>118</v>
      </c>
      <c r="V10" s="21" t="s">
        <v>28</v>
      </c>
      <c r="W10" s="21" t="s">
        <v>29</v>
      </c>
      <c r="X10" s="21" t="s">
        <v>25</v>
      </c>
      <c r="Y10" s="21" t="s">
        <v>110</v>
      </c>
      <c r="Z10" s="21" t="s">
        <v>23</v>
      </c>
      <c r="AA10" s="21" t="s">
        <v>24</v>
      </c>
      <c r="AB10" s="21" t="s">
        <v>118</v>
      </c>
      <c r="AC10" s="21" t="s">
        <v>28</v>
      </c>
      <c r="AD10" s="21" t="s">
        <v>29</v>
      </c>
      <c r="AE10" s="21" t="s">
        <v>108</v>
      </c>
      <c r="AF10" s="21" t="s">
        <v>93</v>
      </c>
      <c r="AG10" s="21" t="s">
        <v>23</v>
      </c>
      <c r="AH10" s="25" t="s">
        <v>24</v>
      </c>
      <c r="AI10" s="19"/>
      <c r="AK10" s="22">
        <f t="shared" si="0"/>
        <v>4</v>
      </c>
      <c r="AL10" s="22">
        <f t="shared" si="1"/>
        <v>14</v>
      </c>
      <c r="AM10" s="22">
        <f t="shared" si="2"/>
        <v>4</v>
      </c>
      <c r="AN10" s="22">
        <f t="shared" si="3"/>
        <v>0</v>
      </c>
      <c r="AO10" s="22">
        <f t="shared" si="4"/>
        <v>8</v>
      </c>
    </row>
    <row r="11" spans="2:41" ht="18.75" x14ac:dyDescent="0.25">
      <c r="B11" s="258" t="s">
        <v>85</v>
      </c>
      <c r="C11" s="258"/>
      <c r="E11" s="21" t="s">
        <v>26</v>
      </c>
      <c r="F11" s="21" t="s">
        <v>28</v>
      </c>
      <c r="G11" s="21" t="s">
        <v>29</v>
      </c>
      <c r="H11" s="21" t="s">
        <v>30</v>
      </c>
      <c r="I11" s="21" t="s">
        <v>25</v>
      </c>
      <c r="J11" s="21" t="s">
        <v>23</v>
      </c>
      <c r="K11" s="21" t="s">
        <v>24</v>
      </c>
      <c r="L11" s="21" t="s">
        <v>26</v>
      </c>
      <c r="M11" s="21" t="s">
        <v>27</v>
      </c>
      <c r="N11" s="21" t="s">
        <v>28</v>
      </c>
      <c r="O11" s="21" t="s">
        <v>29</v>
      </c>
      <c r="P11" s="21" t="s">
        <v>30</v>
      </c>
      <c r="Q11" s="21" t="s">
        <v>23</v>
      </c>
      <c r="R11" s="21" t="s">
        <v>24</v>
      </c>
      <c r="S11" s="21" t="s">
        <v>108</v>
      </c>
      <c r="T11" s="21" t="s">
        <v>26</v>
      </c>
      <c r="U11" s="21" t="s">
        <v>27</v>
      </c>
      <c r="V11" s="21" t="s">
        <v>28</v>
      </c>
      <c r="W11" s="21" t="s">
        <v>29</v>
      </c>
      <c r="X11" s="21" t="s">
        <v>30</v>
      </c>
      <c r="Y11" s="21" t="s">
        <v>23</v>
      </c>
      <c r="Z11" s="21" t="s">
        <v>110</v>
      </c>
      <c r="AA11" s="21" t="s">
        <v>120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108</v>
      </c>
      <c r="AH11" s="25" t="s">
        <v>93</v>
      </c>
      <c r="AI11" s="19"/>
      <c r="AK11" s="22">
        <f t="shared" si="0"/>
        <v>3</v>
      </c>
      <c r="AL11" s="22">
        <f t="shared" si="1"/>
        <v>5</v>
      </c>
      <c r="AM11" s="22">
        <f t="shared" si="2"/>
        <v>3</v>
      </c>
      <c r="AN11" s="22">
        <f t="shared" si="3"/>
        <v>7</v>
      </c>
      <c r="AO11" s="22">
        <f t="shared" si="4"/>
        <v>12</v>
      </c>
    </row>
    <row r="12" spans="2:41" ht="18.75" x14ac:dyDescent="0.25">
      <c r="B12" s="258" t="s">
        <v>86</v>
      </c>
      <c r="C12" s="258"/>
      <c r="E12" s="21" t="s">
        <v>25</v>
      </c>
      <c r="F12" s="21" t="s">
        <v>26</v>
      </c>
      <c r="G12" s="21" t="s">
        <v>27</v>
      </c>
      <c r="H12" s="21" t="s">
        <v>28</v>
      </c>
      <c r="I12" s="21" t="s">
        <v>29</v>
      </c>
      <c r="J12" s="21" t="s">
        <v>30</v>
      </c>
      <c r="K12" s="21" t="s">
        <v>25</v>
      </c>
      <c r="L12" s="21" t="s">
        <v>93</v>
      </c>
      <c r="M12" s="21" t="s">
        <v>120</v>
      </c>
      <c r="N12" s="21" t="s">
        <v>26</v>
      </c>
      <c r="O12" s="21" t="s">
        <v>27</v>
      </c>
      <c r="P12" s="21" t="s">
        <v>28</v>
      </c>
      <c r="Q12" s="21" t="s">
        <v>29</v>
      </c>
      <c r="R12" s="21" t="s">
        <v>30</v>
      </c>
      <c r="S12" s="21" t="s">
        <v>25</v>
      </c>
      <c r="T12" s="21" t="s">
        <v>93</v>
      </c>
      <c r="U12" s="21" t="s">
        <v>120</v>
      </c>
      <c r="V12" s="21" t="s">
        <v>26</v>
      </c>
      <c r="W12" s="21" t="s">
        <v>27</v>
      </c>
      <c r="X12" s="21" t="s">
        <v>28</v>
      </c>
      <c r="Y12" s="21" t="s">
        <v>29</v>
      </c>
      <c r="Z12" s="21" t="s">
        <v>30</v>
      </c>
      <c r="AA12" s="21" t="s">
        <v>25</v>
      </c>
      <c r="AB12" s="21" t="s">
        <v>110</v>
      </c>
      <c r="AC12" s="21" t="s">
        <v>25</v>
      </c>
      <c r="AD12" s="21" t="s">
        <v>122</v>
      </c>
      <c r="AE12" s="21" t="s">
        <v>27</v>
      </c>
      <c r="AF12" s="21" t="s">
        <v>28</v>
      </c>
      <c r="AG12" s="21" t="s">
        <v>29</v>
      </c>
      <c r="AH12" s="25" t="s">
        <v>30</v>
      </c>
      <c r="AI12" s="19"/>
      <c r="AK12" s="22">
        <f t="shared" si="0"/>
        <v>1</v>
      </c>
      <c r="AL12" s="22">
        <f t="shared" si="1"/>
        <v>0</v>
      </c>
      <c r="AM12" s="22">
        <f t="shared" si="2"/>
        <v>9</v>
      </c>
      <c r="AN12" s="22">
        <f t="shared" si="3"/>
        <v>8</v>
      </c>
      <c r="AO12" s="22">
        <f t="shared" si="4"/>
        <v>12</v>
      </c>
    </row>
    <row r="13" spans="2:41" ht="18.75" x14ac:dyDescent="0.25">
      <c r="B13" s="258" t="s">
        <v>87</v>
      </c>
      <c r="C13" s="258"/>
      <c r="E13" s="21" t="s">
        <v>23</v>
      </c>
      <c r="F13" s="21" t="s">
        <v>108</v>
      </c>
      <c r="G13" s="21" t="s">
        <v>93</v>
      </c>
      <c r="H13" s="21" t="s">
        <v>26</v>
      </c>
      <c r="I13" s="21" t="s">
        <v>28</v>
      </c>
      <c r="J13" s="21" t="s">
        <v>29</v>
      </c>
      <c r="K13" s="21" t="s">
        <v>30</v>
      </c>
      <c r="L13" s="21" t="s">
        <v>107</v>
      </c>
      <c r="M13" s="21" t="s">
        <v>24</v>
      </c>
      <c r="N13" s="21" t="s">
        <v>25</v>
      </c>
      <c r="O13" s="21" t="s">
        <v>110</v>
      </c>
      <c r="P13" s="21" t="s">
        <v>26</v>
      </c>
      <c r="Q13" s="21" t="s">
        <v>28</v>
      </c>
      <c r="R13" s="21" t="s">
        <v>29</v>
      </c>
      <c r="S13" s="21" t="s">
        <v>30</v>
      </c>
      <c r="T13" s="21" t="s">
        <v>23</v>
      </c>
      <c r="U13" s="21" t="s">
        <v>111</v>
      </c>
      <c r="V13" s="21" t="s">
        <v>25</v>
      </c>
      <c r="W13" s="21" t="s">
        <v>110</v>
      </c>
      <c r="X13" s="21" t="s">
        <v>26</v>
      </c>
      <c r="Y13" s="21" t="s">
        <v>28</v>
      </c>
      <c r="Z13" s="21" t="s">
        <v>29</v>
      </c>
      <c r="AA13" s="21" t="s">
        <v>30</v>
      </c>
      <c r="AB13" s="21" t="s">
        <v>23</v>
      </c>
      <c r="AC13" s="21" t="s">
        <v>24</v>
      </c>
      <c r="AD13" s="21" t="s">
        <v>108</v>
      </c>
      <c r="AE13" s="21" t="s">
        <v>93</v>
      </c>
      <c r="AF13" s="21" t="s">
        <v>26</v>
      </c>
      <c r="AG13" s="21" t="s">
        <v>28</v>
      </c>
      <c r="AH13" s="25" t="s">
        <v>29</v>
      </c>
      <c r="AI13" s="19"/>
      <c r="AK13" s="22">
        <f t="shared" si="0"/>
        <v>6</v>
      </c>
      <c r="AL13" s="22">
        <f t="shared" si="1"/>
        <v>5</v>
      </c>
      <c r="AM13" s="22">
        <f t="shared" si="2"/>
        <v>4</v>
      </c>
      <c r="AN13" s="22">
        <f t="shared" si="3"/>
        <v>4</v>
      </c>
      <c r="AO13" s="22">
        <f t="shared" si="4"/>
        <v>11</v>
      </c>
    </row>
    <row r="14" spans="2:41" ht="18.75" x14ac:dyDescent="0.25">
      <c r="B14" s="258" t="s">
        <v>88</v>
      </c>
      <c r="C14" s="258"/>
      <c r="E14" s="21" t="s">
        <v>107</v>
      </c>
      <c r="F14" s="21" t="s">
        <v>25</v>
      </c>
      <c r="G14" s="21" t="s">
        <v>93</v>
      </c>
      <c r="H14" s="21" t="s">
        <v>123</v>
      </c>
      <c r="I14" s="21" t="s">
        <v>26</v>
      </c>
      <c r="J14" s="21" t="s">
        <v>28</v>
      </c>
      <c r="K14" s="21" t="s">
        <v>29</v>
      </c>
      <c r="L14" s="21" t="s">
        <v>30</v>
      </c>
      <c r="M14" s="21" t="s">
        <v>107</v>
      </c>
      <c r="N14" s="21" t="s">
        <v>25</v>
      </c>
      <c r="O14" s="21" t="s">
        <v>93</v>
      </c>
      <c r="P14" s="21" t="s">
        <v>123</v>
      </c>
      <c r="Q14" s="21" t="s">
        <v>26</v>
      </c>
      <c r="R14" s="21" t="s">
        <v>28</v>
      </c>
      <c r="S14" s="21" t="s">
        <v>29</v>
      </c>
      <c r="T14" s="21" t="s">
        <v>30</v>
      </c>
      <c r="U14" s="21" t="s">
        <v>107</v>
      </c>
      <c r="V14" s="21" t="s">
        <v>25</v>
      </c>
      <c r="W14" s="21" t="s">
        <v>93</v>
      </c>
      <c r="X14" s="21" t="s">
        <v>123</v>
      </c>
      <c r="Y14" s="21" t="s">
        <v>26</v>
      </c>
      <c r="Z14" s="21" t="s">
        <v>28</v>
      </c>
      <c r="AA14" s="21" t="s">
        <v>29</v>
      </c>
      <c r="AB14" s="21" t="s">
        <v>30</v>
      </c>
      <c r="AC14" s="21" t="s">
        <v>107</v>
      </c>
      <c r="AD14" s="21" t="s">
        <v>25</v>
      </c>
      <c r="AE14" s="21" t="s">
        <v>110</v>
      </c>
      <c r="AF14" s="21" t="s">
        <v>123</v>
      </c>
      <c r="AG14" s="21" t="s">
        <v>26</v>
      </c>
      <c r="AH14" s="25" t="s">
        <v>28</v>
      </c>
      <c r="AI14" s="19"/>
      <c r="AK14" s="22">
        <f t="shared" si="0"/>
        <v>9</v>
      </c>
      <c r="AL14" s="22">
        <f t="shared" si="1"/>
        <v>0</v>
      </c>
      <c r="AM14" s="22">
        <f t="shared" si="2"/>
        <v>7</v>
      </c>
      <c r="AN14" s="22">
        <f t="shared" si="3"/>
        <v>4</v>
      </c>
      <c r="AO14" s="22">
        <f t="shared" si="4"/>
        <v>10</v>
      </c>
    </row>
    <row r="15" spans="2:41" ht="18.75" x14ac:dyDescent="0.25">
      <c r="B15" s="258" t="s">
        <v>89</v>
      </c>
      <c r="C15" s="258"/>
      <c r="E15" s="21" t="s">
        <v>29</v>
      </c>
      <c r="F15" s="21" t="s">
        <v>30</v>
      </c>
      <c r="G15" s="21" t="s">
        <v>108</v>
      </c>
      <c r="H15" s="21" t="s">
        <v>93</v>
      </c>
      <c r="I15" s="21" t="s">
        <v>123</v>
      </c>
      <c r="J15" s="21" t="s">
        <v>26</v>
      </c>
      <c r="K15" s="21" t="s">
        <v>27</v>
      </c>
      <c r="L15" s="21" t="s">
        <v>28</v>
      </c>
      <c r="M15" s="21" t="s">
        <v>29</v>
      </c>
      <c r="N15" s="21" t="s">
        <v>30</v>
      </c>
      <c r="O15" s="21" t="s">
        <v>108</v>
      </c>
      <c r="P15" s="21" t="s">
        <v>93</v>
      </c>
      <c r="Q15" s="21" t="s">
        <v>120</v>
      </c>
      <c r="R15" s="21" t="s">
        <v>26</v>
      </c>
      <c r="S15" s="21" t="s">
        <v>27</v>
      </c>
      <c r="T15" s="21" t="s">
        <v>28</v>
      </c>
      <c r="U15" s="21" t="s">
        <v>29</v>
      </c>
      <c r="V15" s="21" t="s">
        <v>30</v>
      </c>
      <c r="W15" s="21" t="s">
        <v>107</v>
      </c>
      <c r="X15" s="21" t="s">
        <v>24</v>
      </c>
      <c r="Y15" s="21" t="s">
        <v>25</v>
      </c>
      <c r="Z15" s="21" t="s">
        <v>26</v>
      </c>
      <c r="AA15" s="21" t="s">
        <v>27</v>
      </c>
      <c r="AB15" s="21" t="s">
        <v>28</v>
      </c>
      <c r="AC15" s="21" t="s">
        <v>29</v>
      </c>
      <c r="AD15" s="21" t="s">
        <v>30</v>
      </c>
      <c r="AE15" s="21" t="s">
        <v>23</v>
      </c>
      <c r="AF15" s="21" t="s">
        <v>93</v>
      </c>
      <c r="AG15" s="21" t="s">
        <v>120</v>
      </c>
      <c r="AH15" s="25" t="s">
        <v>26</v>
      </c>
      <c r="AI15" s="19"/>
      <c r="AK15" s="22">
        <f t="shared" si="0"/>
        <v>4</v>
      </c>
      <c r="AL15" s="22">
        <f t="shared" si="1"/>
        <v>2</v>
      </c>
      <c r="AM15" s="22">
        <f t="shared" si="2"/>
        <v>6</v>
      </c>
      <c r="AN15" s="22">
        <f t="shared" si="3"/>
        <v>7</v>
      </c>
      <c r="AO15" s="22">
        <f t="shared" si="4"/>
        <v>11</v>
      </c>
    </row>
    <row r="16" spans="2:41" x14ac:dyDescent="0.25">
      <c r="E16" s="20" t="s">
        <v>94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spans="2:35" ht="18.75" x14ac:dyDescent="0.3">
      <c r="B17" s="181" t="s">
        <v>91</v>
      </c>
      <c r="C17" s="181"/>
      <c r="D17" s="36"/>
      <c r="E17" s="37">
        <f t="shared" ref="E17:AH17" si="5">COUNTIF(E$5:E$15,"M*")</f>
        <v>3</v>
      </c>
      <c r="F17" s="37">
        <f t="shared" si="5"/>
        <v>3</v>
      </c>
      <c r="G17" s="37">
        <f t="shared" si="5"/>
        <v>3</v>
      </c>
      <c r="H17" s="37">
        <f t="shared" si="5"/>
        <v>3</v>
      </c>
      <c r="I17" s="37">
        <f t="shared" si="5"/>
        <v>1</v>
      </c>
      <c r="J17" s="37">
        <f t="shared" si="5"/>
        <v>1</v>
      </c>
      <c r="K17" s="37">
        <f t="shared" si="5"/>
        <v>3</v>
      </c>
      <c r="L17" s="37">
        <f t="shared" si="5"/>
        <v>3</v>
      </c>
      <c r="M17" s="37">
        <f t="shared" si="5"/>
        <v>3</v>
      </c>
      <c r="N17" s="37">
        <f t="shared" si="5"/>
        <v>3</v>
      </c>
      <c r="O17" s="37">
        <f t="shared" si="5"/>
        <v>3</v>
      </c>
      <c r="P17" s="37">
        <f t="shared" si="5"/>
        <v>1</v>
      </c>
      <c r="Q17" s="37">
        <f t="shared" si="5"/>
        <v>1</v>
      </c>
      <c r="R17" s="37">
        <f t="shared" si="5"/>
        <v>3</v>
      </c>
      <c r="S17" s="37">
        <f t="shared" si="5"/>
        <v>3</v>
      </c>
      <c r="T17" s="37">
        <f t="shared" si="5"/>
        <v>3</v>
      </c>
      <c r="U17" s="37">
        <f t="shared" si="5"/>
        <v>3</v>
      </c>
      <c r="V17" s="37">
        <f t="shared" si="5"/>
        <v>3</v>
      </c>
      <c r="W17" s="37">
        <f t="shared" si="5"/>
        <v>1</v>
      </c>
      <c r="X17" s="37">
        <f t="shared" si="5"/>
        <v>1</v>
      </c>
      <c r="Y17" s="37">
        <f t="shared" si="5"/>
        <v>3</v>
      </c>
      <c r="Z17" s="37">
        <f t="shared" si="5"/>
        <v>3</v>
      </c>
      <c r="AA17" s="37">
        <f t="shared" si="5"/>
        <v>3</v>
      </c>
      <c r="AB17" s="37">
        <f t="shared" si="5"/>
        <v>3</v>
      </c>
      <c r="AC17" s="37">
        <f t="shared" si="5"/>
        <v>3</v>
      </c>
      <c r="AD17" s="37">
        <f t="shared" si="5"/>
        <v>1</v>
      </c>
      <c r="AE17" s="37">
        <f t="shared" si="5"/>
        <v>1</v>
      </c>
      <c r="AF17" s="37">
        <f t="shared" si="5"/>
        <v>2</v>
      </c>
      <c r="AG17" s="37">
        <f t="shared" si="5"/>
        <v>3</v>
      </c>
      <c r="AH17" s="37">
        <f t="shared" si="5"/>
        <v>3</v>
      </c>
      <c r="AI17" s="37" t="s">
        <v>94</v>
      </c>
    </row>
    <row r="18" spans="2:35" ht="18.75" x14ac:dyDescent="0.3">
      <c r="B18" s="181" t="s">
        <v>92</v>
      </c>
      <c r="C18" s="181"/>
      <c r="D18" s="36"/>
      <c r="E18" s="37">
        <f t="shared" ref="E18:AH18" si="6">COUNTIF(E$5:E$15,"A*")</f>
        <v>3</v>
      </c>
      <c r="F18" s="37">
        <f t="shared" si="6"/>
        <v>3</v>
      </c>
      <c r="G18" s="37">
        <f t="shared" si="6"/>
        <v>3</v>
      </c>
      <c r="H18" s="37">
        <f t="shared" si="6"/>
        <v>3</v>
      </c>
      <c r="I18" s="37">
        <f t="shared" si="6"/>
        <v>1</v>
      </c>
      <c r="J18" s="37">
        <f t="shared" si="6"/>
        <v>1</v>
      </c>
      <c r="K18" s="37">
        <f t="shared" si="6"/>
        <v>3</v>
      </c>
      <c r="L18" s="37">
        <f t="shared" si="6"/>
        <v>3</v>
      </c>
      <c r="M18" s="37">
        <f t="shared" si="6"/>
        <v>3</v>
      </c>
      <c r="N18" s="37">
        <f t="shared" si="6"/>
        <v>3</v>
      </c>
      <c r="O18" s="37">
        <f t="shared" si="6"/>
        <v>3</v>
      </c>
      <c r="P18" s="37">
        <f t="shared" si="6"/>
        <v>1</v>
      </c>
      <c r="Q18" s="37">
        <f t="shared" si="6"/>
        <v>1</v>
      </c>
      <c r="R18" s="37">
        <f t="shared" si="6"/>
        <v>3</v>
      </c>
      <c r="S18" s="37">
        <f t="shared" si="6"/>
        <v>3</v>
      </c>
      <c r="T18" s="37">
        <f t="shared" si="6"/>
        <v>3</v>
      </c>
      <c r="U18" s="37">
        <f t="shared" si="6"/>
        <v>3</v>
      </c>
      <c r="V18" s="37">
        <f t="shared" si="6"/>
        <v>3</v>
      </c>
      <c r="W18" s="37">
        <f t="shared" si="6"/>
        <v>1</v>
      </c>
      <c r="X18" s="37">
        <f t="shared" si="6"/>
        <v>1</v>
      </c>
      <c r="Y18" s="37">
        <f t="shared" si="6"/>
        <v>3</v>
      </c>
      <c r="Z18" s="37">
        <f t="shared" si="6"/>
        <v>3</v>
      </c>
      <c r="AA18" s="37">
        <f t="shared" si="6"/>
        <v>3</v>
      </c>
      <c r="AB18" s="37">
        <f t="shared" si="6"/>
        <v>3</v>
      </c>
      <c r="AC18" s="37">
        <f t="shared" si="6"/>
        <v>3</v>
      </c>
      <c r="AD18" s="37">
        <f t="shared" si="6"/>
        <v>1</v>
      </c>
      <c r="AE18" s="37">
        <f t="shared" si="6"/>
        <v>1</v>
      </c>
      <c r="AF18" s="37">
        <f t="shared" si="6"/>
        <v>4</v>
      </c>
      <c r="AG18" s="37">
        <f t="shared" si="6"/>
        <v>3</v>
      </c>
      <c r="AH18" s="37">
        <f t="shared" si="6"/>
        <v>3</v>
      </c>
      <c r="AI18" s="37" t="s">
        <v>94</v>
      </c>
    </row>
    <row r="19" spans="2:35" ht="18.75" x14ac:dyDescent="0.3">
      <c r="B19" s="181" t="s">
        <v>72</v>
      </c>
      <c r="C19" s="181"/>
      <c r="D19" s="36"/>
      <c r="E19" s="37">
        <f t="shared" ref="E19:AH19" si="7">COUNTIF(E$5:E$15,"N*")</f>
        <v>1</v>
      </c>
      <c r="F19" s="37">
        <f t="shared" si="7"/>
        <v>1</v>
      </c>
      <c r="G19" s="37">
        <f t="shared" si="7"/>
        <v>1</v>
      </c>
      <c r="H19" s="37">
        <f t="shared" si="7"/>
        <v>1</v>
      </c>
      <c r="I19" s="37">
        <f t="shared" si="7"/>
        <v>1</v>
      </c>
      <c r="J19" s="37">
        <f t="shared" si="7"/>
        <v>1</v>
      </c>
      <c r="K19" s="37">
        <f t="shared" si="7"/>
        <v>1</v>
      </c>
      <c r="L19" s="37">
        <f t="shared" si="7"/>
        <v>1</v>
      </c>
      <c r="M19" s="37">
        <f t="shared" si="7"/>
        <v>1</v>
      </c>
      <c r="N19" s="37">
        <f t="shared" si="7"/>
        <v>1</v>
      </c>
      <c r="O19" s="37">
        <f t="shared" si="7"/>
        <v>1</v>
      </c>
      <c r="P19" s="37">
        <f t="shared" si="7"/>
        <v>1</v>
      </c>
      <c r="Q19" s="37">
        <f t="shared" si="7"/>
        <v>1</v>
      </c>
      <c r="R19" s="37">
        <f t="shared" si="7"/>
        <v>1</v>
      </c>
      <c r="S19" s="37">
        <f t="shared" si="7"/>
        <v>1</v>
      </c>
      <c r="T19" s="37">
        <f t="shared" si="7"/>
        <v>1</v>
      </c>
      <c r="U19" s="37">
        <f t="shared" si="7"/>
        <v>1</v>
      </c>
      <c r="V19" s="37">
        <f t="shared" si="7"/>
        <v>1</v>
      </c>
      <c r="W19" s="37">
        <f t="shared" si="7"/>
        <v>1</v>
      </c>
      <c r="X19" s="37">
        <f t="shared" si="7"/>
        <v>1</v>
      </c>
      <c r="Y19" s="37">
        <f t="shared" si="7"/>
        <v>1</v>
      </c>
      <c r="Z19" s="37">
        <f t="shared" si="7"/>
        <v>1</v>
      </c>
      <c r="AA19" s="37">
        <f t="shared" si="7"/>
        <v>1</v>
      </c>
      <c r="AB19" s="37">
        <f t="shared" si="7"/>
        <v>1</v>
      </c>
      <c r="AC19" s="37">
        <f t="shared" si="7"/>
        <v>1</v>
      </c>
      <c r="AD19" s="37">
        <f t="shared" si="7"/>
        <v>1</v>
      </c>
      <c r="AE19" s="37">
        <f t="shared" si="7"/>
        <v>1</v>
      </c>
      <c r="AF19" s="37">
        <f t="shared" si="7"/>
        <v>1</v>
      </c>
      <c r="AG19" s="37">
        <f t="shared" si="7"/>
        <v>1</v>
      </c>
      <c r="AH19" s="37">
        <f t="shared" si="7"/>
        <v>1</v>
      </c>
      <c r="AI19" s="37" t="s">
        <v>94</v>
      </c>
    </row>
    <row r="20" spans="2:35" ht="18.75" x14ac:dyDescent="0.3">
      <c r="B20" s="181" t="s">
        <v>73</v>
      </c>
      <c r="C20" s="181"/>
      <c r="D20" s="36"/>
      <c r="E20" s="37">
        <f t="shared" ref="E20:AH20" si="8">COUNTIF(E$5:E$15,"O*")</f>
        <v>1</v>
      </c>
      <c r="F20" s="37">
        <f t="shared" si="8"/>
        <v>2</v>
      </c>
      <c r="G20" s="37">
        <f t="shared" si="8"/>
        <v>1</v>
      </c>
      <c r="H20" s="37">
        <f t="shared" si="8"/>
        <v>3</v>
      </c>
      <c r="I20" s="37">
        <f t="shared" si="8"/>
        <v>7</v>
      </c>
      <c r="J20" s="37">
        <f t="shared" si="8"/>
        <v>8</v>
      </c>
      <c r="K20" s="37">
        <f t="shared" si="8"/>
        <v>3</v>
      </c>
      <c r="L20" s="37">
        <f t="shared" si="8"/>
        <v>2</v>
      </c>
      <c r="M20" s="37">
        <f t="shared" si="8"/>
        <v>1</v>
      </c>
      <c r="N20" s="37">
        <f t="shared" si="8"/>
        <v>2</v>
      </c>
      <c r="O20" s="37">
        <f t="shared" si="8"/>
        <v>2</v>
      </c>
      <c r="P20" s="37">
        <f t="shared" si="8"/>
        <v>7</v>
      </c>
      <c r="Q20" s="37">
        <f t="shared" si="8"/>
        <v>7</v>
      </c>
      <c r="R20" s="37">
        <f t="shared" si="8"/>
        <v>4</v>
      </c>
      <c r="S20" s="37">
        <f t="shared" si="8"/>
        <v>2</v>
      </c>
      <c r="T20" s="37">
        <f t="shared" si="8"/>
        <v>2</v>
      </c>
      <c r="U20" s="37">
        <f t="shared" si="8"/>
        <v>1</v>
      </c>
      <c r="V20" s="37">
        <f t="shared" si="8"/>
        <v>3</v>
      </c>
      <c r="W20" s="37">
        <f t="shared" si="8"/>
        <v>6</v>
      </c>
      <c r="X20" s="37">
        <f t="shared" si="8"/>
        <v>7</v>
      </c>
      <c r="Y20" s="37">
        <f t="shared" si="8"/>
        <v>3</v>
      </c>
      <c r="Z20" s="37">
        <f t="shared" si="8"/>
        <v>3</v>
      </c>
      <c r="AA20" s="37">
        <f t="shared" si="8"/>
        <v>2</v>
      </c>
      <c r="AB20" s="37">
        <f t="shared" si="8"/>
        <v>2</v>
      </c>
      <c r="AC20" s="37">
        <f t="shared" si="8"/>
        <v>2</v>
      </c>
      <c r="AD20" s="37">
        <f t="shared" si="8"/>
        <v>7</v>
      </c>
      <c r="AE20" s="37">
        <f t="shared" si="8"/>
        <v>6</v>
      </c>
      <c r="AF20" s="37">
        <f t="shared" si="8"/>
        <v>3</v>
      </c>
      <c r="AG20" s="37">
        <f t="shared" si="8"/>
        <v>2</v>
      </c>
      <c r="AH20" s="37">
        <f t="shared" si="8"/>
        <v>3</v>
      </c>
      <c r="AI20" s="37" t="s">
        <v>94</v>
      </c>
    </row>
    <row r="21" spans="2:35" ht="18.75" x14ac:dyDescent="0.3">
      <c r="B21" s="177" t="s">
        <v>106</v>
      </c>
      <c r="C21" s="178"/>
      <c r="D21" s="36"/>
      <c r="E21" s="37">
        <f t="shared" ref="E21:AH21" si="9">COUNTIF(E$5:E$15,"ST*")</f>
        <v>3</v>
      </c>
      <c r="F21" s="37">
        <f t="shared" si="9"/>
        <v>2</v>
      </c>
      <c r="G21" s="37">
        <f t="shared" si="9"/>
        <v>3</v>
      </c>
      <c r="H21" s="37">
        <f t="shared" si="9"/>
        <v>1</v>
      </c>
      <c r="I21" s="37">
        <f t="shared" si="9"/>
        <v>1</v>
      </c>
      <c r="J21" s="37">
        <f t="shared" si="9"/>
        <v>0</v>
      </c>
      <c r="K21" s="37">
        <f t="shared" si="9"/>
        <v>1</v>
      </c>
      <c r="L21" s="37">
        <f t="shared" si="9"/>
        <v>2</v>
      </c>
      <c r="M21" s="37">
        <f t="shared" si="9"/>
        <v>3</v>
      </c>
      <c r="N21" s="37">
        <f t="shared" si="9"/>
        <v>2</v>
      </c>
      <c r="O21" s="37">
        <f t="shared" si="9"/>
        <v>2</v>
      </c>
      <c r="P21" s="37">
        <f t="shared" si="9"/>
        <v>1</v>
      </c>
      <c r="Q21" s="37">
        <f t="shared" si="9"/>
        <v>1</v>
      </c>
      <c r="R21" s="37">
        <f t="shared" si="9"/>
        <v>0</v>
      </c>
      <c r="S21" s="37">
        <f t="shared" si="9"/>
        <v>2</v>
      </c>
      <c r="T21" s="37">
        <f t="shared" si="9"/>
        <v>2</v>
      </c>
      <c r="U21" s="37">
        <f t="shared" si="9"/>
        <v>3</v>
      </c>
      <c r="V21" s="37">
        <f t="shared" si="9"/>
        <v>1</v>
      </c>
      <c r="W21" s="37">
        <f t="shared" si="9"/>
        <v>2</v>
      </c>
      <c r="X21" s="37">
        <f t="shared" si="9"/>
        <v>1</v>
      </c>
      <c r="Y21" s="37">
        <f t="shared" si="9"/>
        <v>1</v>
      </c>
      <c r="Z21" s="37">
        <f t="shared" si="9"/>
        <v>1</v>
      </c>
      <c r="AA21" s="37">
        <f t="shared" si="9"/>
        <v>2</v>
      </c>
      <c r="AB21" s="37">
        <f t="shared" si="9"/>
        <v>2</v>
      </c>
      <c r="AC21" s="37">
        <f t="shared" si="9"/>
        <v>2</v>
      </c>
      <c r="AD21" s="37">
        <f t="shared" si="9"/>
        <v>1</v>
      </c>
      <c r="AE21" s="37">
        <f t="shared" si="9"/>
        <v>2</v>
      </c>
      <c r="AF21" s="37">
        <f t="shared" si="9"/>
        <v>1</v>
      </c>
      <c r="AG21" s="37">
        <f t="shared" si="9"/>
        <v>2</v>
      </c>
      <c r="AH21" s="37">
        <f t="shared" si="9"/>
        <v>1</v>
      </c>
      <c r="AI21" s="37" t="s">
        <v>94</v>
      </c>
    </row>
    <row r="22" spans="2:35" ht="18.75" x14ac:dyDescent="0.3">
      <c r="B22" s="179" t="s">
        <v>104</v>
      </c>
      <c r="C22" s="179"/>
      <c r="D22" s="38"/>
      <c r="E22" s="39">
        <f>E24-E25</f>
        <v>0</v>
      </c>
      <c r="F22" s="39">
        <f t="shared" ref="F22:AH22" si="10">F24-F25</f>
        <v>0</v>
      </c>
      <c r="G22" s="39">
        <f t="shared" si="10"/>
        <v>0</v>
      </c>
      <c r="H22" s="39">
        <f t="shared" si="10"/>
        <v>0</v>
      </c>
      <c r="I22" s="39">
        <f t="shared" si="10"/>
        <v>0</v>
      </c>
      <c r="J22" s="39">
        <f t="shared" si="10"/>
        <v>0</v>
      </c>
      <c r="K22" s="39">
        <f t="shared" si="10"/>
        <v>0</v>
      </c>
      <c r="L22" s="39">
        <f t="shared" si="10"/>
        <v>0</v>
      </c>
      <c r="M22" s="39">
        <f t="shared" si="10"/>
        <v>0</v>
      </c>
      <c r="N22" s="39">
        <f t="shared" si="10"/>
        <v>0</v>
      </c>
      <c r="O22" s="39">
        <f t="shared" si="10"/>
        <v>0</v>
      </c>
      <c r="P22" s="39">
        <f t="shared" si="10"/>
        <v>0</v>
      </c>
      <c r="Q22" s="39">
        <f t="shared" si="10"/>
        <v>0</v>
      </c>
      <c r="R22" s="39">
        <f t="shared" si="10"/>
        <v>0</v>
      </c>
      <c r="S22" s="39">
        <f t="shared" si="10"/>
        <v>0</v>
      </c>
      <c r="T22" s="39">
        <f t="shared" si="10"/>
        <v>0</v>
      </c>
      <c r="U22" s="39">
        <f t="shared" si="10"/>
        <v>0</v>
      </c>
      <c r="V22" s="39">
        <f t="shared" si="10"/>
        <v>0</v>
      </c>
      <c r="W22" s="39">
        <f t="shared" si="10"/>
        <v>0</v>
      </c>
      <c r="X22" s="39">
        <f t="shared" si="10"/>
        <v>0</v>
      </c>
      <c r="Y22" s="39">
        <f t="shared" si="10"/>
        <v>0</v>
      </c>
      <c r="Z22" s="39">
        <f t="shared" si="10"/>
        <v>0</v>
      </c>
      <c r="AA22" s="39">
        <f t="shared" si="10"/>
        <v>0</v>
      </c>
      <c r="AB22" s="39">
        <f t="shared" si="10"/>
        <v>0</v>
      </c>
      <c r="AC22" s="39">
        <f t="shared" si="10"/>
        <v>0</v>
      </c>
      <c r="AD22" s="39">
        <f t="shared" si="10"/>
        <v>0</v>
      </c>
      <c r="AE22" s="39">
        <f t="shared" si="10"/>
        <v>0</v>
      </c>
      <c r="AF22" s="39">
        <f t="shared" si="10"/>
        <v>0</v>
      </c>
      <c r="AG22" s="39">
        <f t="shared" si="10"/>
        <v>0</v>
      </c>
      <c r="AH22" s="39">
        <f t="shared" si="10"/>
        <v>0</v>
      </c>
      <c r="AI22" s="39" t="s">
        <v>94</v>
      </c>
    </row>
    <row r="23" spans="2:35" ht="9.75" customHeight="1" x14ac:dyDescent="0.3">
      <c r="B23" s="40"/>
      <c r="C23" s="40"/>
      <c r="D23" s="36"/>
      <c r="E23" s="180"/>
      <c r="F23" s="180"/>
      <c r="G23" s="180"/>
      <c r="H23" s="180"/>
      <c r="I23" s="180"/>
      <c r="J23" s="180"/>
      <c r="K23" s="180"/>
      <c r="L23" s="180"/>
      <c r="M23" s="180"/>
      <c r="N23" s="180"/>
      <c r="O23" s="180"/>
      <c r="P23" s="180"/>
      <c r="Q23" s="180"/>
      <c r="R23" s="180"/>
      <c r="S23" s="180"/>
      <c r="T23" s="180"/>
      <c r="U23" s="180"/>
      <c r="V23" s="180"/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</row>
    <row r="24" spans="2:35" ht="18.75" x14ac:dyDescent="0.3">
      <c r="B24" s="181" t="s">
        <v>102</v>
      </c>
      <c r="C24" s="181"/>
      <c r="D24" s="36"/>
      <c r="E24" s="41">
        <f>SUM(E17:E19)</f>
        <v>7</v>
      </c>
      <c r="F24" s="41">
        <f t="shared" ref="F24:AH24" si="11">SUM(F17:F19)</f>
        <v>7</v>
      </c>
      <c r="G24" s="41">
        <f t="shared" si="11"/>
        <v>7</v>
      </c>
      <c r="H24" s="41">
        <f t="shared" si="11"/>
        <v>7</v>
      </c>
      <c r="I24" s="41">
        <f t="shared" si="11"/>
        <v>3</v>
      </c>
      <c r="J24" s="41">
        <f t="shared" si="11"/>
        <v>3</v>
      </c>
      <c r="K24" s="41">
        <f t="shared" si="11"/>
        <v>7</v>
      </c>
      <c r="L24" s="41">
        <f t="shared" si="11"/>
        <v>7</v>
      </c>
      <c r="M24" s="41">
        <f t="shared" si="11"/>
        <v>7</v>
      </c>
      <c r="N24" s="41">
        <f t="shared" si="11"/>
        <v>7</v>
      </c>
      <c r="O24" s="41">
        <f t="shared" si="11"/>
        <v>7</v>
      </c>
      <c r="P24" s="41">
        <f t="shared" si="11"/>
        <v>3</v>
      </c>
      <c r="Q24" s="41">
        <f t="shared" si="11"/>
        <v>3</v>
      </c>
      <c r="R24" s="41">
        <f t="shared" si="11"/>
        <v>7</v>
      </c>
      <c r="S24" s="41">
        <f t="shared" si="11"/>
        <v>7</v>
      </c>
      <c r="T24" s="41">
        <f t="shared" si="11"/>
        <v>7</v>
      </c>
      <c r="U24" s="41">
        <f t="shared" si="11"/>
        <v>7</v>
      </c>
      <c r="V24" s="41">
        <f t="shared" si="11"/>
        <v>7</v>
      </c>
      <c r="W24" s="41">
        <f t="shared" si="11"/>
        <v>3</v>
      </c>
      <c r="X24" s="41">
        <f t="shared" si="11"/>
        <v>3</v>
      </c>
      <c r="Y24" s="41">
        <f t="shared" si="11"/>
        <v>7</v>
      </c>
      <c r="Z24" s="41">
        <f t="shared" si="11"/>
        <v>7</v>
      </c>
      <c r="AA24" s="41">
        <f t="shared" si="11"/>
        <v>7</v>
      </c>
      <c r="AB24" s="41">
        <f t="shared" si="11"/>
        <v>7</v>
      </c>
      <c r="AC24" s="41">
        <f t="shared" si="11"/>
        <v>7</v>
      </c>
      <c r="AD24" s="41">
        <f t="shared" si="11"/>
        <v>3</v>
      </c>
      <c r="AE24" s="41">
        <f t="shared" si="11"/>
        <v>3</v>
      </c>
      <c r="AF24" s="41">
        <f t="shared" si="11"/>
        <v>7</v>
      </c>
      <c r="AG24" s="41">
        <f t="shared" si="11"/>
        <v>7</v>
      </c>
      <c r="AH24" s="41">
        <f t="shared" si="11"/>
        <v>7</v>
      </c>
      <c r="AI24" s="41" t="s">
        <v>94</v>
      </c>
    </row>
    <row r="25" spans="2:35" ht="18.75" x14ac:dyDescent="0.3">
      <c r="B25" s="181" t="s">
        <v>90</v>
      </c>
      <c r="C25" s="181"/>
      <c r="D25" s="36"/>
      <c r="E25" s="37">
        <v>7</v>
      </c>
      <c r="F25" s="37">
        <v>7</v>
      </c>
      <c r="G25" s="37">
        <v>7</v>
      </c>
      <c r="H25" s="37">
        <v>7</v>
      </c>
      <c r="I25" s="37">
        <v>3</v>
      </c>
      <c r="J25" s="37">
        <v>3</v>
      </c>
      <c r="K25" s="37">
        <v>7</v>
      </c>
      <c r="L25" s="37">
        <v>7</v>
      </c>
      <c r="M25" s="37">
        <v>7</v>
      </c>
      <c r="N25" s="37">
        <v>7</v>
      </c>
      <c r="O25" s="37">
        <v>7</v>
      </c>
      <c r="P25" s="37">
        <v>3</v>
      </c>
      <c r="Q25" s="37">
        <v>3</v>
      </c>
      <c r="R25" s="37">
        <v>7</v>
      </c>
      <c r="S25" s="37">
        <v>7</v>
      </c>
      <c r="T25" s="37">
        <v>7</v>
      </c>
      <c r="U25" s="37">
        <v>7</v>
      </c>
      <c r="V25" s="37">
        <v>7</v>
      </c>
      <c r="W25" s="37">
        <v>3</v>
      </c>
      <c r="X25" s="37">
        <v>3</v>
      </c>
      <c r="Y25" s="37">
        <v>7</v>
      </c>
      <c r="Z25" s="37">
        <v>7</v>
      </c>
      <c r="AA25" s="37">
        <v>7</v>
      </c>
      <c r="AB25" s="37">
        <v>7</v>
      </c>
      <c r="AC25" s="37">
        <v>7</v>
      </c>
      <c r="AD25" s="37">
        <v>3</v>
      </c>
      <c r="AE25" s="37">
        <v>3</v>
      </c>
      <c r="AF25" s="37">
        <v>7</v>
      </c>
      <c r="AG25" s="37">
        <v>7</v>
      </c>
      <c r="AH25" s="37">
        <v>7</v>
      </c>
      <c r="AI25" s="37" t="s">
        <v>94</v>
      </c>
    </row>
    <row r="26" spans="2:35" ht="18.75" x14ac:dyDescent="0.3">
      <c r="B26" s="181" t="s">
        <v>103</v>
      </c>
      <c r="C26" s="181"/>
      <c r="D26" s="36"/>
      <c r="E26" s="37">
        <v>11</v>
      </c>
      <c r="F26" s="37">
        <v>11</v>
      </c>
      <c r="G26" s="37">
        <v>11</v>
      </c>
      <c r="H26" s="37">
        <v>11</v>
      </c>
      <c r="I26" s="37">
        <v>11</v>
      </c>
      <c r="J26" s="37">
        <v>11</v>
      </c>
      <c r="K26" s="37">
        <v>11</v>
      </c>
      <c r="L26" s="37">
        <v>11</v>
      </c>
      <c r="M26" s="37">
        <v>11</v>
      </c>
      <c r="N26" s="37">
        <v>11</v>
      </c>
      <c r="O26" s="37">
        <v>11</v>
      </c>
      <c r="P26" s="37">
        <v>11</v>
      </c>
      <c r="Q26" s="37">
        <v>11</v>
      </c>
      <c r="R26" s="37">
        <v>11</v>
      </c>
      <c r="S26" s="37">
        <v>11</v>
      </c>
      <c r="T26" s="37">
        <v>11</v>
      </c>
      <c r="U26" s="37">
        <v>11</v>
      </c>
      <c r="V26" s="37">
        <v>11</v>
      </c>
      <c r="W26" s="37">
        <v>11</v>
      </c>
      <c r="X26" s="37">
        <v>11</v>
      </c>
      <c r="Y26" s="37">
        <v>11</v>
      </c>
      <c r="Z26" s="37">
        <v>11</v>
      </c>
      <c r="AA26" s="37">
        <v>11</v>
      </c>
      <c r="AB26" s="37">
        <v>11</v>
      </c>
      <c r="AC26" s="37">
        <v>11</v>
      </c>
      <c r="AD26" s="37">
        <v>11</v>
      </c>
      <c r="AE26" s="37">
        <v>11</v>
      </c>
      <c r="AF26" s="37">
        <v>11</v>
      </c>
      <c r="AG26" s="37">
        <v>11</v>
      </c>
      <c r="AH26" s="37">
        <v>11</v>
      </c>
      <c r="AI26" s="37" t="s">
        <v>94</v>
      </c>
    </row>
  </sheetData>
  <mergeCells count="28">
    <mergeCell ref="AN2:AN4"/>
    <mergeCell ref="AO2:AO4"/>
    <mergeCell ref="B9:C9"/>
    <mergeCell ref="E2:AI2"/>
    <mergeCell ref="AK2:AK4"/>
    <mergeCell ref="AL2:AL4"/>
    <mergeCell ref="AM2:AM4"/>
    <mergeCell ref="B3:C4"/>
    <mergeCell ref="B5:C5"/>
    <mergeCell ref="B6:C6"/>
    <mergeCell ref="B7:C7"/>
    <mergeCell ref="B8:C8"/>
    <mergeCell ref="E23:AI23"/>
    <mergeCell ref="B24:C24"/>
    <mergeCell ref="B17:C17"/>
    <mergeCell ref="B18:C18"/>
    <mergeCell ref="B10:C10"/>
    <mergeCell ref="B11:C11"/>
    <mergeCell ref="B12:C12"/>
    <mergeCell ref="B13:C13"/>
    <mergeCell ref="B14:C14"/>
    <mergeCell ref="B15:C15"/>
    <mergeCell ref="B25:C25"/>
    <mergeCell ref="B26:C26"/>
    <mergeCell ref="B19:C19"/>
    <mergeCell ref="B20:C20"/>
    <mergeCell ref="B21:C21"/>
    <mergeCell ref="B22:C22"/>
  </mergeCells>
  <conditionalFormatting sqref="E5:AH10">
    <cfRule type="containsText" dxfId="91" priority="23" operator="containsText" text="STN">
      <formula>NOT(ISERROR(SEARCH("STN",E5)))</formula>
    </cfRule>
    <cfRule type="containsText" dxfId="90" priority="24" operator="containsText" text="STN">
      <formula>NOT(ISERROR(SEARCH("STN",E5)))</formula>
    </cfRule>
    <cfRule type="containsText" dxfId="89" priority="25" operator="containsText" text="STM">
      <formula>NOT(ISERROR(SEARCH("STM",E5)))</formula>
    </cfRule>
    <cfRule type="containsText" dxfId="88" priority="26" operator="containsText" text="M">
      <formula>NOT(ISERROR(SEARCH("M",E5)))</formula>
    </cfRule>
    <cfRule type="containsText" dxfId="87" priority="27" operator="containsText" text="STM1">
      <formula>NOT(ISERROR(SEARCH("STM1",E5)))</formula>
    </cfRule>
    <cfRule type="containsText" dxfId="86" priority="28" operator="containsText" text="M">
      <formula>NOT(ISERROR(SEARCH("M",E5)))</formula>
    </cfRule>
    <cfRule type="containsText" dxfId="85" priority="29" operator="containsText" text="STM">
      <formula>NOT(ISERROR(SEARCH("STM",E5)))</formula>
    </cfRule>
    <cfRule type="containsText" dxfId="84" priority="30" operator="containsText" text="STM">
      <formula>NOT(ISERROR(SEARCH("STM",E5)))</formula>
    </cfRule>
  </conditionalFormatting>
  <conditionalFormatting sqref="E5:AH15">
    <cfRule type="containsText" dxfId="83" priority="19" operator="containsText" text="A">
      <formula>NOT(ISERROR(SEARCH("A",E5)))</formula>
    </cfRule>
    <cfRule type="containsText" dxfId="82" priority="5" operator="containsText" text="STM1">
      <formula>NOT(ISERROR(SEARCH("STM1",E5)))</formula>
    </cfRule>
  </conditionalFormatting>
  <conditionalFormatting sqref="E11:AH15">
    <cfRule type="containsText" dxfId="81" priority="16" operator="containsText" text="STM1">
      <formula>NOT(ISERROR(SEARCH("STM1",E11)))</formula>
    </cfRule>
    <cfRule type="containsText" dxfId="80" priority="17" operator="containsText" text="O">
      <formula>NOT(ISERROR(SEARCH("O",E11)))</formula>
    </cfRule>
    <cfRule type="containsText" dxfId="79" priority="18" operator="containsText" text="N">
      <formula>NOT(ISERROR(SEARCH("N",E11)))</formula>
    </cfRule>
    <cfRule type="containsText" dxfId="78" priority="6" operator="containsText" text="STN">
      <formula>NOT(ISERROR(SEARCH("STN",E11)))</formula>
    </cfRule>
    <cfRule type="containsText" dxfId="77" priority="7" operator="containsText" text="STN">
      <formula>NOT(ISERROR(SEARCH("STN",E11)))</formula>
    </cfRule>
    <cfRule type="containsText" dxfId="76" priority="8" operator="containsText" text="STM">
      <formula>NOT(ISERROR(SEARCH("STM",E11)))</formula>
    </cfRule>
    <cfRule type="containsText" dxfId="75" priority="9" operator="containsText" text="M">
      <formula>NOT(ISERROR(SEARCH("M",E11)))</formula>
    </cfRule>
    <cfRule type="containsText" dxfId="74" priority="10" operator="containsText" text="STM1">
      <formula>NOT(ISERROR(SEARCH("STM1",E11)))</formula>
    </cfRule>
    <cfRule type="containsText" dxfId="73" priority="11" operator="containsText" text="M">
      <formula>NOT(ISERROR(SEARCH("M",E11)))</formula>
    </cfRule>
    <cfRule type="containsText" dxfId="72" priority="12" operator="containsText" text="STM">
      <formula>NOT(ISERROR(SEARCH("STM",E11)))</formula>
    </cfRule>
    <cfRule type="containsText" dxfId="71" priority="13" operator="containsText" text="STM">
      <formula>NOT(ISERROR(SEARCH("STM",E11)))</formula>
    </cfRule>
    <cfRule type="containsText" dxfId="70" priority="14" operator="containsText" text="STM1">
      <formula>NOT(ISERROR(SEARCH("STM1",E11)))</formula>
    </cfRule>
    <cfRule type="containsText" dxfId="69" priority="15" operator="containsText" text="STA">
      <formula>NOT(ISERROR(SEARCH("STA",E11)))</formula>
    </cfRule>
    <cfRule type="containsText" dxfId="68" priority="20" operator="containsText" text="M">
      <formula>NOT(ISERROR(SEARCH("M",E11)))</formula>
    </cfRule>
  </conditionalFormatting>
  <conditionalFormatting sqref="E5:AI15">
    <cfRule type="containsText" dxfId="67" priority="3" operator="containsText" text="STM1">
      <formula>NOT(ISERROR(SEARCH("STM1",E5)))</formula>
    </cfRule>
    <cfRule type="containsText" dxfId="66" priority="4" operator="containsText" text="STM1">
      <formula>NOT(ISERROR(SEARCH("STM1",E5)))</formula>
    </cfRule>
    <cfRule type="containsText" dxfId="65" priority="1" operator="containsText" text="STN">
      <formula>NOT(ISERROR(SEARCH("STN",E5)))</formula>
    </cfRule>
    <cfRule type="containsText" dxfId="64" priority="2" operator="containsText" text="STA">
      <formula>NOT(ISERROR(SEARCH("STA",E5)))</formula>
    </cfRule>
  </conditionalFormatting>
  <conditionalFormatting sqref="F5:AH5 E6:AH10">
    <cfRule type="containsText" dxfId="63" priority="31" operator="containsText" text="STM1">
      <formula>NOT(ISERROR(SEARCH("STM1",E5)))</formula>
    </cfRule>
    <cfRule type="containsText" dxfId="62" priority="32" operator="containsText" text="STA">
      <formula>NOT(ISERROR(SEARCH("STA",E5)))</formula>
    </cfRule>
    <cfRule type="containsText" dxfId="61" priority="33" operator="containsText" text="STM1">
      <formula>NOT(ISERROR(SEARCH("STM1",E5)))</formula>
    </cfRule>
    <cfRule type="containsText" dxfId="60" priority="34" operator="containsText" text="O">
      <formula>NOT(ISERROR(SEARCH("O",E5)))</formula>
    </cfRule>
    <cfRule type="containsText" dxfId="59" priority="35" operator="containsText" text="N">
      <formula>NOT(ISERROR(SEARCH("N",E5)))</formula>
    </cfRule>
    <cfRule type="containsText" dxfId="58" priority="36" operator="containsText" text="A">
      <formula>NOT(ISERROR(SEARCH("A",E5)))</formula>
    </cfRule>
    <cfRule type="containsText" dxfId="57" priority="37" operator="containsText" text="M">
      <formula>NOT(ISERROR(SEARCH("M",E5)))</formula>
    </cfRule>
  </conditionalFormatting>
  <conditionalFormatting sqref="F6:AI10 AI11:AI15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{99461AEA-4907-447E-8F69-ED827E2BDE8D}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9461AEA-4907-447E-8F69-ED827E2BD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F6:AI10 AI11:AI15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0ecd8b7c-869e-4f04-a6a3-066c3c63b3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مستند" ma:contentTypeID="0x01010053585A714B17B949862FA1B71BD97610" ma:contentTypeVersion="20" ma:contentTypeDescription="إنشاء مستند جديد." ma:contentTypeScope="" ma:versionID="dd8bd6d392f178541f6ccf1c351709a2">
  <xsd:schema xmlns:xsd="http://www.w3.org/2001/XMLSchema" xmlns:xs="http://www.w3.org/2001/XMLSchema" xmlns:p="http://schemas.microsoft.com/office/2006/metadata/properties" xmlns:ns1="http://schemas.microsoft.com/sharepoint/v3" xmlns:ns3="f1e9c892-1499-41bb-8a64-60ef909d8682" xmlns:ns4="0ecd8b7c-869e-4f04-a6a3-066c3c63b311" targetNamespace="http://schemas.microsoft.com/office/2006/metadata/properties" ma:root="true" ma:fieldsID="9f246d41c9a2b9a4922388dcb99eeb28" ns1:_="" ns3:_="" ns4:_="">
    <xsd:import namespace="http://schemas.microsoft.com/sharepoint/v3"/>
    <xsd:import namespace="f1e9c892-1499-41bb-8a64-60ef909d8682"/>
    <xsd:import namespace="0ecd8b7c-869e-4f04-a6a3-066c3c63b31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ServiceObjectDetectorVersions" minOccurs="0"/>
                <xsd:element ref="ns4:_activity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خصائص نهج التوافق الموحد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إجراءات واجهة المستخدم الخاصة بنهج التوافق الموحد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9c892-1499-41bb-8a64-60ef909d868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تمت مشاركته مع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مشتركة مع تفاصيل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تجزئة تلميح المشاركة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cd8b7c-869e-4f04-a6a3-066c3c63b3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نوع المحتوى"/>
        <xsd:element ref="dc:title" minOccurs="0" maxOccurs="1" ma:index="4" ma:displayName="العنوان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335F04-3ECE-4043-846B-35335B1D83ED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1e9c892-1499-41bb-8a64-60ef909d8682"/>
    <ds:schemaRef ds:uri="http://schemas.microsoft.com/office/2006/metadata/properties"/>
    <ds:schemaRef ds:uri="http://schemas.microsoft.com/office/infopath/2007/PartnerControls"/>
    <ds:schemaRef ds:uri="http://purl.org/dc/elements/1.1/"/>
    <ds:schemaRef ds:uri="0ecd8b7c-869e-4f04-a6a3-066c3c63b311"/>
    <ds:schemaRef ds:uri="http://schemas.microsoft.com/sharepoint/v3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7131BC6-00FD-4253-878E-994124306B8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D06F05-5672-4668-89C3-4F6754D4BC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1e9c892-1499-41bb-8a64-60ef909d8682"/>
    <ds:schemaRef ds:uri="0ecd8b7c-869e-4f04-a6a3-066c3c63b3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6ceee3-7fed-44e8-a399-cd4111988137}" enabled="0" method="" siteId="{456ceee3-7fed-44e8-a399-cd411198813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Setting </vt:lpstr>
      <vt:lpstr>master</vt:lpstr>
      <vt:lpstr>Full staffs as per JD</vt:lpstr>
      <vt:lpstr>Officers</vt:lpstr>
      <vt:lpstr>Supervisors</vt:lpstr>
      <vt:lpstr>Load Control</vt:lpstr>
      <vt:lpstr>Export Checker</vt:lpstr>
      <vt:lpstr>Sheet2</vt:lpstr>
      <vt:lpstr>Export Operators</vt:lpstr>
      <vt:lpstr>Flight Attending</vt:lpstr>
      <vt:lpstr>Acceptance</vt:lpstr>
      <vt:lpstr>setting_MonthList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C Magcaling</dc:creator>
  <cp:lastModifiedBy>Rodolfo C Magcaling</cp:lastModifiedBy>
  <cp:lastPrinted>2025-12-10T10:55:30Z</cp:lastPrinted>
  <dcterms:created xsi:type="dcterms:W3CDTF">2025-09-02T04:15:34Z</dcterms:created>
  <dcterms:modified xsi:type="dcterms:W3CDTF">2025-12-25T09:50:36Z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0x01010053585A714B17B949862FA1B71BD97610</vt:lpwstr>
  </property>
</Properties>
</file>